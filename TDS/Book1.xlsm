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c/Library/Mobile Documents/com~apple~CloudDocs/TDS/"/>
    </mc:Choice>
  </mc:AlternateContent>
  <xr:revisionPtr revIDLastSave="0" documentId="13_ncr:1_{CE049B8E-7FBD-114A-8FDC-21488465AA44}" xr6:coauthVersionLast="47" xr6:coauthVersionMax="47" xr10:uidLastSave="{00000000-0000-0000-0000-000000000000}"/>
  <bookViews>
    <workbookView xWindow="42260" yWindow="820" windowWidth="33020" windowHeight="19860" xr2:uid="{B26157B4-6C9A-C246-8CCB-5EDB40355A65}"/>
  </bookViews>
  <sheets>
    <sheet name="PPP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" l="1"/>
  <c r="A38" i="1"/>
  <c r="A55" i="1"/>
  <c r="A62" i="1"/>
  <c r="A79" i="1"/>
  <c r="A86" i="1"/>
  <c r="A91" i="1"/>
  <c r="A103" i="1"/>
  <c r="A115" i="1"/>
  <c r="A121" i="1"/>
  <c r="A128" i="1"/>
  <c r="A135" i="1"/>
  <c r="A145" i="1"/>
  <c r="A152" i="1"/>
  <c r="A158" i="1"/>
  <c r="A159" i="1"/>
  <c r="A164" i="1"/>
  <c r="A176" i="1"/>
  <c r="A182" i="1"/>
  <c r="A183" i="1"/>
  <c r="A186" i="1"/>
  <c r="A188" i="1"/>
  <c r="E9" i="1"/>
  <c r="F194" i="1"/>
  <c r="E194" i="1"/>
  <c r="A194" i="1" s="1"/>
  <c r="D194" i="1"/>
  <c r="F193" i="1"/>
  <c r="E193" i="1"/>
  <c r="A193" i="1" s="1"/>
  <c r="D193" i="1"/>
  <c r="F192" i="1"/>
  <c r="E192" i="1"/>
  <c r="A192" i="1" s="1"/>
  <c r="F191" i="1"/>
  <c r="E191" i="1"/>
  <c r="A191" i="1" s="1"/>
  <c r="D191" i="1"/>
  <c r="F190" i="1"/>
  <c r="E190" i="1"/>
  <c r="A190" i="1" s="1"/>
  <c r="D190" i="1"/>
  <c r="F189" i="1"/>
  <c r="E189" i="1"/>
  <c r="A189" i="1" s="1"/>
  <c r="D189" i="1"/>
  <c r="F188" i="1"/>
  <c r="E188" i="1"/>
  <c r="D188" i="1"/>
  <c r="F187" i="1"/>
  <c r="E187" i="1"/>
  <c r="A187" i="1" s="1"/>
  <c r="D187" i="1"/>
  <c r="F186" i="1"/>
  <c r="E186" i="1"/>
  <c r="D186" i="1"/>
  <c r="F185" i="1"/>
  <c r="E185" i="1"/>
  <c r="A185" i="1" s="1"/>
  <c r="D185" i="1"/>
  <c r="F184" i="1"/>
  <c r="E184" i="1"/>
  <c r="A184" i="1" s="1"/>
  <c r="D184" i="1"/>
  <c r="F183" i="1"/>
  <c r="E183" i="1"/>
  <c r="D183" i="1"/>
  <c r="F182" i="1"/>
  <c r="E182" i="1"/>
  <c r="D182" i="1"/>
  <c r="F181" i="1"/>
  <c r="E181" i="1"/>
  <c r="A181" i="1" s="1"/>
  <c r="D181" i="1"/>
  <c r="F180" i="1"/>
  <c r="E180" i="1"/>
  <c r="A180" i="1" s="1"/>
  <c r="D180" i="1"/>
  <c r="F179" i="1"/>
  <c r="E179" i="1"/>
  <c r="A179" i="1" s="1"/>
  <c r="D179" i="1"/>
  <c r="F178" i="1"/>
  <c r="E178" i="1"/>
  <c r="A178" i="1" s="1"/>
  <c r="D178" i="1"/>
  <c r="F177" i="1"/>
  <c r="E177" i="1"/>
  <c r="A177" i="1" s="1"/>
  <c r="D177" i="1"/>
  <c r="F176" i="1"/>
  <c r="E176" i="1"/>
  <c r="D176" i="1"/>
  <c r="F175" i="1"/>
  <c r="E175" i="1"/>
  <c r="A175" i="1" s="1"/>
  <c r="D175" i="1"/>
  <c r="F174" i="1"/>
  <c r="E174" i="1"/>
  <c r="A174" i="1" s="1"/>
  <c r="D174" i="1"/>
  <c r="F173" i="1"/>
  <c r="E173" i="1"/>
  <c r="A173" i="1" s="1"/>
  <c r="D173" i="1"/>
  <c r="F172" i="1"/>
  <c r="E172" i="1"/>
  <c r="A172" i="1" s="1"/>
  <c r="D172" i="1"/>
  <c r="F171" i="1"/>
  <c r="E171" i="1"/>
  <c r="A171" i="1" s="1"/>
  <c r="D171" i="1"/>
  <c r="F170" i="1"/>
  <c r="E170" i="1"/>
  <c r="A170" i="1" s="1"/>
  <c r="D170" i="1"/>
  <c r="F169" i="1"/>
  <c r="E169" i="1"/>
  <c r="A169" i="1" s="1"/>
  <c r="D169" i="1"/>
  <c r="F168" i="1"/>
  <c r="E168" i="1"/>
  <c r="A168" i="1" s="1"/>
  <c r="D168" i="1"/>
  <c r="F167" i="1"/>
  <c r="E167" i="1"/>
  <c r="A167" i="1" s="1"/>
  <c r="D167" i="1"/>
  <c r="F166" i="1"/>
  <c r="E166" i="1"/>
  <c r="A166" i="1" s="1"/>
  <c r="D166" i="1"/>
  <c r="F165" i="1"/>
  <c r="E165" i="1"/>
  <c r="A165" i="1" s="1"/>
  <c r="D165" i="1"/>
  <c r="F164" i="1"/>
  <c r="E164" i="1"/>
  <c r="D164" i="1"/>
  <c r="F163" i="1"/>
  <c r="E163" i="1"/>
  <c r="A163" i="1" s="1"/>
  <c r="D163" i="1"/>
  <c r="F162" i="1"/>
  <c r="E162" i="1"/>
  <c r="A162" i="1" s="1"/>
  <c r="D162" i="1"/>
  <c r="F161" i="1"/>
  <c r="E161" i="1"/>
  <c r="A161" i="1" s="1"/>
  <c r="D161" i="1"/>
  <c r="F160" i="1"/>
  <c r="E160" i="1"/>
  <c r="A160" i="1" s="1"/>
  <c r="D160" i="1"/>
  <c r="F159" i="1"/>
  <c r="E159" i="1"/>
  <c r="D159" i="1"/>
  <c r="F158" i="1"/>
  <c r="E158" i="1"/>
  <c r="D158" i="1"/>
  <c r="F157" i="1"/>
  <c r="E157" i="1"/>
  <c r="A157" i="1" s="1"/>
  <c r="D157" i="1"/>
  <c r="F156" i="1"/>
  <c r="E156" i="1"/>
  <c r="A156" i="1" s="1"/>
  <c r="D156" i="1"/>
  <c r="F155" i="1"/>
  <c r="E155" i="1"/>
  <c r="A155" i="1" s="1"/>
  <c r="D155" i="1"/>
  <c r="F154" i="1"/>
  <c r="E154" i="1"/>
  <c r="A154" i="1" s="1"/>
  <c r="D154" i="1"/>
  <c r="F153" i="1"/>
  <c r="E153" i="1"/>
  <c r="A153" i="1" s="1"/>
  <c r="D153" i="1"/>
  <c r="F152" i="1"/>
  <c r="E152" i="1"/>
  <c r="F151" i="1"/>
  <c r="E151" i="1"/>
  <c r="A151" i="1" s="1"/>
  <c r="D151" i="1"/>
  <c r="F150" i="1"/>
  <c r="E150" i="1"/>
  <c r="A150" i="1" s="1"/>
  <c r="D150" i="1"/>
  <c r="F149" i="1"/>
  <c r="E149" i="1"/>
  <c r="A149" i="1" s="1"/>
  <c r="D149" i="1"/>
  <c r="F148" i="1"/>
  <c r="E148" i="1"/>
  <c r="A148" i="1" s="1"/>
  <c r="D148" i="1"/>
  <c r="F147" i="1"/>
  <c r="E147" i="1"/>
  <c r="A147" i="1" s="1"/>
  <c r="D147" i="1"/>
  <c r="F146" i="1"/>
  <c r="E146" i="1"/>
  <c r="A146" i="1" s="1"/>
  <c r="D146" i="1"/>
  <c r="F145" i="1"/>
  <c r="E145" i="1"/>
  <c r="D145" i="1"/>
  <c r="F144" i="1"/>
  <c r="E144" i="1"/>
  <c r="A144" i="1" s="1"/>
  <c r="D144" i="1"/>
  <c r="F143" i="1"/>
  <c r="E143" i="1"/>
  <c r="A143" i="1" s="1"/>
  <c r="D143" i="1"/>
  <c r="F142" i="1"/>
  <c r="E142" i="1"/>
  <c r="A142" i="1" s="1"/>
  <c r="D142" i="1"/>
  <c r="F141" i="1"/>
  <c r="E141" i="1"/>
  <c r="A141" i="1" s="1"/>
  <c r="D141" i="1"/>
  <c r="F140" i="1"/>
  <c r="E140" i="1"/>
  <c r="A140" i="1" s="1"/>
  <c r="D140" i="1"/>
  <c r="F139" i="1"/>
  <c r="E139" i="1"/>
  <c r="A139" i="1" s="1"/>
  <c r="D139" i="1"/>
  <c r="F138" i="1"/>
  <c r="E138" i="1"/>
  <c r="A138" i="1" s="1"/>
  <c r="D138" i="1"/>
  <c r="F137" i="1"/>
  <c r="E137" i="1"/>
  <c r="A137" i="1" s="1"/>
  <c r="D137" i="1"/>
  <c r="F136" i="1"/>
  <c r="E136" i="1"/>
  <c r="A136" i="1" s="1"/>
  <c r="D136" i="1"/>
  <c r="F135" i="1"/>
  <c r="E135" i="1"/>
  <c r="D135" i="1"/>
  <c r="F134" i="1"/>
  <c r="E134" i="1"/>
  <c r="A134" i="1" s="1"/>
  <c r="D134" i="1"/>
  <c r="F133" i="1"/>
  <c r="E133" i="1"/>
  <c r="A133" i="1" s="1"/>
  <c r="D133" i="1"/>
  <c r="F132" i="1"/>
  <c r="E132" i="1"/>
  <c r="A132" i="1" s="1"/>
  <c r="D132" i="1"/>
  <c r="F131" i="1"/>
  <c r="E131" i="1"/>
  <c r="A131" i="1" s="1"/>
  <c r="D131" i="1"/>
  <c r="F130" i="1"/>
  <c r="E130" i="1"/>
  <c r="A130" i="1" s="1"/>
  <c r="D130" i="1"/>
  <c r="F129" i="1"/>
  <c r="E129" i="1"/>
  <c r="A129" i="1" s="1"/>
  <c r="D129" i="1"/>
  <c r="F128" i="1"/>
  <c r="E128" i="1"/>
  <c r="D128" i="1"/>
  <c r="F127" i="1"/>
  <c r="E127" i="1"/>
  <c r="A127" i="1" s="1"/>
  <c r="D127" i="1"/>
  <c r="F126" i="1"/>
  <c r="E126" i="1"/>
  <c r="A126" i="1" s="1"/>
  <c r="D126" i="1"/>
  <c r="F125" i="1"/>
  <c r="E125" i="1"/>
  <c r="A125" i="1" s="1"/>
  <c r="D125" i="1"/>
  <c r="F124" i="1"/>
  <c r="E124" i="1"/>
  <c r="A124" i="1" s="1"/>
  <c r="D124" i="1"/>
  <c r="F123" i="1"/>
  <c r="E123" i="1"/>
  <c r="A123" i="1" s="1"/>
  <c r="D123" i="1"/>
  <c r="F122" i="1"/>
  <c r="E122" i="1"/>
  <c r="A122" i="1" s="1"/>
  <c r="D122" i="1"/>
  <c r="F121" i="1"/>
  <c r="E121" i="1"/>
  <c r="D121" i="1"/>
  <c r="F120" i="1"/>
  <c r="E120" i="1"/>
  <c r="A120" i="1" s="1"/>
  <c r="D120" i="1"/>
  <c r="F119" i="1"/>
  <c r="E119" i="1"/>
  <c r="D119" i="1"/>
  <c r="F118" i="1"/>
  <c r="E118" i="1"/>
  <c r="A118" i="1" s="1"/>
  <c r="D118" i="1"/>
  <c r="F117" i="1"/>
  <c r="E117" i="1"/>
  <c r="A117" i="1" s="1"/>
  <c r="D117" i="1"/>
  <c r="F116" i="1"/>
  <c r="E116" i="1"/>
  <c r="A116" i="1" s="1"/>
  <c r="D116" i="1"/>
  <c r="F115" i="1"/>
  <c r="E115" i="1"/>
  <c r="D115" i="1"/>
  <c r="F114" i="1"/>
  <c r="E114" i="1"/>
  <c r="A114" i="1" s="1"/>
  <c r="D114" i="1"/>
  <c r="F113" i="1"/>
  <c r="E113" i="1"/>
  <c r="A113" i="1" s="1"/>
  <c r="D113" i="1"/>
  <c r="F112" i="1"/>
  <c r="E112" i="1"/>
  <c r="A112" i="1" s="1"/>
  <c r="D112" i="1"/>
  <c r="F111" i="1"/>
  <c r="E111" i="1"/>
  <c r="A111" i="1" s="1"/>
  <c r="D111" i="1"/>
  <c r="F110" i="1"/>
  <c r="E110" i="1"/>
  <c r="A110" i="1" s="1"/>
  <c r="D110" i="1"/>
  <c r="F109" i="1"/>
  <c r="E109" i="1"/>
  <c r="A109" i="1" s="1"/>
  <c r="D109" i="1"/>
  <c r="F108" i="1"/>
  <c r="E108" i="1"/>
  <c r="A108" i="1" s="1"/>
  <c r="D108" i="1"/>
  <c r="F107" i="1"/>
  <c r="E107" i="1"/>
  <c r="A107" i="1" s="1"/>
  <c r="D107" i="1"/>
  <c r="F106" i="1"/>
  <c r="E106" i="1"/>
  <c r="A106" i="1" s="1"/>
  <c r="D106" i="1"/>
  <c r="F105" i="1"/>
  <c r="E105" i="1"/>
  <c r="A105" i="1" s="1"/>
  <c r="D105" i="1"/>
  <c r="F104" i="1"/>
  <c r="E104" i="1"/>
  <c r="A104" i="1" s="1"/>
  <c r="D104" i="1"/>
  <c r="F103" i="1"/>
  <c r="E103" i="1"/>
  <c r="F102" i="1"/>
  <c r="E102" i="1"/>
  <c r="A102" i="1" s="1"/>
  <c r="D102" i="1"/>
  <c r="F101" i="1"/>
  <c r="E101" i="1"/>
  <c r="A101" i="1" s="1"/>
  <c r="D101" i="1"/>
  <c r="F100" i="1"/>
  <c r="E100" i="1"/>
  <c r="A100" i="1" s="1"/>
  <c r="D100" i="1"/>
  <c r="F99" i="1"/>
  <c r="E99" i="1"/>
  <c r="A99" i="1" s="1"/>
  <c r="D99" i="1"/>
  <c r="F98" i="1"/>
  <c r="E98" i="1"/>
  <c r="A98" i="1" s="1"/>
  <c r="D98" i="1"/>
  <c r="F97" i="1"/>
  <c r="E97" i="1"/>
  <c r="A97" i="1" s="1"/>
  <c r="D97" i="1"/>
  <c r="F96" i="1"/>
  <c r="E96" i="1"/>
  <c r="A96" i="1" s="1"/>
  <c r="D96" i="1"/>
  <c r="F95" i="1"/>
  <c r="E95" i="1"/>
  <c r="A95" i="1" s="1"/>
  <c r="D95" i="1"/>
  <c r="F94" i="1"/>
  <c r="E94" i="1"/>
  <c r="A94" i="1" s="1"/>
  <c r="D94" i="1"/>
  <c r="F93" i="1"/>
  <c r="E93" i="1"/>
  <c r="A93" i="1" s="1"/>
  <c r="D93" i="1"/>
  <c r="F92" i="1"/>
  <c r="E92" i="1"/>
  <c r="A92" i="1" s="1"/>
  <c r="D92" i="1"/>
  <c r="F91" i="1"/>
  <c r="E91" i="1"/>
  <c r="D91" i="1"/>
  <c r="F90" i="1"/>
  <c r="E90" i="1"/>
  <c r="A90" i="1" s="1"/>
  <c r="D90" i="1"/>
  <c r="F89" i="1"/>
  <c r="E89" i="1"/>
  <c r="A89" i="1" s="1"/>
  <c r="F88" i="1"/>
  <c r="E88" i="1"/>
  <c r="A88" i="1" s="1"/>
  <c r="D88" i="1"/>
  <c r="F87" i="1"/>
  <c r="E87" i="1"/>
  <c r="A87" i="1" s="1"/>
  <c r="D87" i="1"/>
  <c r="F86" i="1"/>
  <c r="E86" i="1"/>
  <c r="D86" i="1"/>
  <c r="F85" i="1"/>
  <c r="E85" i="1"/>
  <c r="A85" i="1" s="1"/>
  <c r="D85" i="1"/>
  <c r="F84" i="1"/>
  <c r="E84" i="1"/>
  <c r="A84" i="1" s="1"/>
  <c r="D84" i="1"/>
  <c r="F83" i="1"/>
  <c r="E83" i="1"/>
  <c r="A83" i="1" s="1"/>
  <c r="F82" i="1"/>
  <c r="E82" i="1"/>
  <c r="A82" i="1" s="1"/>
  <c r="D82" i="1"/>
  <c r="F81" i="1"/>
  <c r="E81" i="1"/>
  <c r="A81" i="1" s="1"/>
  <c r="D81" i="1"/>
  <c r="F80" i="1"/>
  <c r="E80" i="1"/>
  <c r="A80" i="1" s="1"/>
  <c r="D80" i="1"/>
  <c r="F79" i="1"/>
  <c r="E79" i="1"/>
  <c r="D79" i="1"/>
  <c r="F78" i="1"/>
  <c r="E78" i="1"/>
  <c r="A78" i="1" s="1"/>
  <c r="D78" i="1"/>
  <c r="F77" i="1"/>
  <c r="E77" i="1"/>
  <c r="A77" i="1" s="1"/>
  <c r="D77" i="1"/>
  <c r="F76" i="1"/>
  <c r="E76" i="1"/>
  <c r="A76" i="1" s="1"/>
  <c r="D76" i="1"/>
  <c r="F75" i="1"/>
  <c r="E75" i="1"/>
  <c r="A75" i="1" s="1"/>
  <c r="D75" i="1"/>
  <c r="F74" i="1"/>
  <c r="E74" i="1"/>
  <c r="A74" i="1" s="1"/>
  <c r="D74" i="1"/>
  <c r="F73" i="1"/>
  <c r="E73" i="1"/>
  <c r="A73" i="1" s="1"/>
  <c r="D73" i="1"/>
  <c r="F72" i="1"/>
  <c r="E72" i="1"/>
  <c r="A72" i="1" s="1"/>
  <c r="D72" i="1"/>
  <c r="F71" i="1"/>
  <c r="E71" i="1"/>
  <c r="A71" i="1" s="1"/>
  <c r="D71" i="1"/>
  <c r="F70" i="1"/>
  <c r="E70" i="1"/>
  <c r="A70" i="1" s="1"/>
  <c r="D70" i="1"/>
  <c r="F69" i="1"/>
  <c r="E69" i="1"/>
  <c r="A69" i="1" s="1"/>
  <c r="D69" i="1"/>
  <c r="F68" i="1"/>
  <c r="E68" i="1"/>
  <c r="A68" i="1" s="1"/>
  <c r="D68" i="1"/>
  <c r="F67" i="1"/>
  <c r="E67" i="1"/>
  <c r="A67" i="1" s="1"/>
  <c r="D67" i="1"/>
  <c r="F66" i="1"/>
  <c r="E66" i="1"/>
  <c r="A66" i="1" s="1"/>
  <c r="D66" i="1"/>
  <c r="F65" i="1"/>
  <c r="E65" i="1"/>
  <c r="A65" i="1" s="1"/>
  <c r="D65" i="1"/>
  <c r="F64" i="1"/>
  <c r="E64" i="1"/>
  <c r="A64" i="1" s="1"/>
  <c r="D64" i="1"/>
  <c r="F63" i="1"/>
  <c r="E63" i="1"/>
  <c r="A63" i="1" s="1"/>
  <c r="D63" i="1"/>
  <c r="F62" i="1"/>
  <c r="E62" i="1"/>
  <c r="D62" i="1"/>
  <c r="F61" i="1"/>
  <c r="E61" i="1"/>
  <c r="A61" i="1" s="1"/>
  <c r="D61" i="1"/>
  <c r="F60" i="1"/>
  <c r="E60" i="1"/>
  <c r="A60" i="1" s="1"/>
  <c r="D60" i="1"/>
  <c r="F59" i="1"/>
  <c r="E59" i="1"/>
  <c r="A59" i="1" s="1"/>
  <c r="D59" i="1"/>
  <c r="F58" i="1"/>
  <c r="E58" i="1"/>
  <c r="A58" i="1" s="1"/>
  <c r="D58" i="1"/>
  <c r="F57" i="1"/>
  <c r="E57" i="1"/>
  <c r="A57" i="1" s="1"/>
  <c r="D57" i="1"/>
  <c r="F56" i="1"/>
  <c r="E56" i="1"/>
  <c r="A56" i="1" s="1"/>
  <c r="D56" i="1"/>
  <c r="F55" i="1"/>
  <c r="E55" i="1"/>
  <c r="D55" i="1"/>
  <c r="F54" i="1"/>
  <c r="E54" i="1"/>
  <c r="A54" i="1" s="1"/>
  <c r="D54" i="1"/>
  <c r="F53" i="1"/>
  <c r="E53" i="1"/>
  <c r="A53" i="1" s="1"/>
  <c r="D53" i="1"/>
  <c r="F52" i="1"/>
  <c r="E52" i="1"/>
  <c r="A52" i="1" s="1"/>
  <c r="D52" i="1"/>
  <c r="F51" i="1"/>
  <c r="E51" i="1"/>
  <c r="A51" i="1" s="1"/>
  <c r="D51" i="1"/>
  <c r="F50" i="1"/>
  <c r="E50" i="1"/>
  <c r="A50" i="1" s="1"/>
  <c r="D50" i="1"/>
  <c r="F49" i="1"/>
  <c r="E49" i="1"/>
  <c r="A49" i="1" s="1"/>
  <c r="D49" i="1"/>
  <c r="F48" i="1"/>
  <c r="E48" i="1"/>
  <c r="A48" i="1" s="1"/>
  <c r="D48" i="1"/>
  <c r="F47" i="1"/>
  <c r="E47" i="1"/>
  <c r="A47" i="1" s="1"/>
  <c r="D47" i="1"/>
  <c r="F46" i="1"/>
  <c r="E46" i="1"/>
  <c r="A46" i="1" s="1"/>
  <c r="D46" i="1"/>
  <c r="F45" i="1"/>
  <c r="E45" i="1"/>
  <c r="A45" i="1" s="1"/>
  <c r="F44" i="1"/>
  <c r="E44" i="1"/>
  <c r="A44" i="1" s="1"/>
  <c r="D44" i="1"/>
  <c r="F43" i="1"/>
  <c r="E43" i="1"/>
  <c r="A43" i="1" s="1"/>
  <c r="D43" i="1"/>
  <c r="F42" i="1"/>
  <c r="E42" i="1"/>
  <c r="A42" i="1" s="1"/>
  <c r="D42" i="1"/>
  <c r="F41" i="1"/>
  <c r="E41" i="1"/>
  <c r="A41" i="1" s="1"/>
  <c r="D41" i="1"/>
  <c r="F40" i="1"/>
  <c r="E40" i="1"/>
  <c r="A40" i="1" s="1"/>
  <c r="D40" i="1"/>
  <c r="F39" i="1"/>
  <c r="E39" i="1"/>
  <c r="A39" i="1" s="1"/>
  <c r="D39" i="1"/>
  <c r="F38" i="1"/>
  <c r="E38" i="1"/>
  <c r="D38" i="1"/>
  <c r="F37" i="1"/>
  <c r="E37" i="1"/>
  <c r="A37" i="1" s="1"/>
  <c r="D37" i="1"/>
  <c r="F36" i="1"/>
  <c r="E36" i="1"/>
  <c r="A36" i="1" s="1"/>
  <c r="D36" i="1"/>
  <c r="F35" i="1"/>
  <c r="E35" i="1"/>
  <c r="A35" i="1" s="1"/>
  <c r="D35" i="1"/>
  <c r="F34" i="1"/>
  <c r="E34" i="1"/>
  <c r="A34" i="1" s="1"/>
  <c r="D34" i="1"/>
  <c r="F33" i="1"/>
  <c r="E33" i="1"/>
  <c r="A33" i="1" s="1"/>
  <c r="D33" i="1"/>
  <c r="F32" i="1"/>
  <c r="E32" i="1"/>
  <c r="A32" i="1" s="1"/>
  <c r="D32" i="1"/>
  <c r="F31" i="1"/>
  <c r="E31" i="1"/>
  <c r="A31" i="1" s="1"/>
  <c r="D31" i="1"/>
  <c r="F30" i="1"/>
  <c r="E30" i="1"/>
  <c r="A30" i="1" s="1"/>
  <c r="D30" i="1"/>
  <c r="F29" i="1"/>
  <c r="E29" i="1"/>
  <c r="A29" i="1" s="1"/>
  <c r="D29" i="1"/>
  <c r="F28" i="1"/>
  <c r="E28" i="1"/>
  <c r="A28" i="1" s="1"/>
  <c r="D28" i="1"/>
  <c r="F27" i="1"/>
  <c r="E27" i="1"/>
  <c r="A27" i="1" s="1"/>
  <c r="D27" i="1"/>
  <c r="F26" i="1"/>
  <c r="E26" i="1"/>
  <c r="A26" i="1" s="1"/>
  <c r="D26" i="1"/>
  <c r="F25" i="1"/>
  <c r="E25" i="1"/>
  <c r="A25" i="1" s="1"/>
  <c r="D25" i="1"/>
  <c r="F24" i="1"/>
  <c r="E24" i="1"/>
  <c r="A24" i="1" s="1"/>
  <c r="D24" i="1"/>
  <c r="F23" i="1"/>
  <c r="E23" i="1"/>
  <c r="A23" i="1" s="1"/>
  <c r="D23" i="1"/>
  <c r="F22" i="1"/>
  <c r="E22" i="1"/>
  <c r="A22" i="1" s="1"/>
  <c r="D22" i="1"/>
  <c r="F21" i="1"/>
  <c r="E21" i="1"/>
  <c r="D21" i="1"/>
  <c r="F20" i="1"/>
  <c r="E20" i="1"/>
  <c r="A20" i="1" s="1"/>
  <c r="D20" i="1"/>
  <c r="F19" i="1"/>
  <c r="E19" i="1"/>
  <c r="A19" i="1" s="1"/>
  <c r="D19" i="1"/>
  <c r="F18" i="1"/>
  <c r="E18" i="1"/>
  <c r="A18" i="1" s="1"/>
  <c r="D18" i="1"/>
  <c r="F17" i="1"/>
  <c r="E17" i="1"/>
  <c r="A17" i="1" s="1"/>
  <c r="D17" i="1"/>
  <c r="F16" i="1"/>
  <c r="E16" i="1"/>
  <c r="A16" i="1" s="1"/>
  <c r="D16" i="1"/>
  <c r="F15" i="1"/>
  <c r="E15" i="1"/>
  <c r="A15" i="1" s="1"/>
  <c r="D15" i="1"/>
  <c r="F14" i="1"/>
  <c r="E14" i="1"/>
  <c r="A14" i="1" s="1"/>
  <c r="D14" i="1"/>
  <c r="F13" i="1"/>
  <c r="E13" i="1"/>
  <c r="A13" i="1" s="1"/>
  <c r="D13" i="1"/>
  <c r="F12" i="1"/>
  <c r="E12" i="1"/>
  <c r="D12" i="1"/>
  <c r="F11" i="1"/>
  <c r="E11" i="1"/>
  <c r="A11" i="1" s="1"/>
  <c r="D11" i="1"/>
  <c r="F10" i="1"/>
  <c r="E10" i="1"/>
  <c r="A10" i="1" s="1"/>
  <c r="D10" i="1"/>
  <c r="F9" i="1"/>
  <c r="D9" i="1"/>
  <c r="F8" i="1"/>
  <c r="E8" i="1"/>
  <c r="A8" i="1" s="1"/>
  <c r="D8" i="1"/>
  <c r="F7" i="1"/>
  <c r="E7" i="1"/>
  <c r="A7" i="1" s="1"/>
  <c r="D7" i="1"/>
  <c r="F6" i="1"/>
  <c r="E6" i="1"/>
  <c r="D6" i="1"/>
  <c r="F5" i="1"/>
  <c r="E5" i="1"/>
  <c r="A5" i="1" s="1"/>
  <c r="D5" i="1"/>
  <c r="F4" i="1"/>
  <c r="E4" i="1"/>
  <c r="D4" i="1"/>
  <c r="F3" i="1"/>
  <c r="E3" i="1"/>
  <c r="D3" i="1"/>
  <c r="D2" i="1"/>
  <c r="E2" i="1"/>
  <c r="F2" i="1"/>
</calcChain>
</file>

<file path=xl/sharedStrings.xml><?xml version="1.0" encoding="utf-8"?>
<sst xmlns="http://schemas.openxmlformats.org/spreadsheetml/2006/main" count="1187" uniqueCount="379">
  <si>
    <t>Country Name</t>
  </si>
  <si>
    <t>E-Government Index</t>
  </si>
  <si>
    <t>GNI</t>
  </si>
  <si>
    <t>Population</t>
  </si>
  <si>
    <t>TII</t>
  </si>
  <si>
    <t>E-Participation Index</t>
  </si>
  <si>
    <t>Online Service Index</t>
  </si>
  <si>
    <t>Human Capital Index</t>
  </si>
  <si>
    <t>Telecommunication Infrastructure Index</t>
  </si>
  <si>
    <t>Country</t>
  </si>
  <si>
    <t>GNI per capita (PPP) (Int$)</t>
  </si>
  <si>
    <t>Population (millions)</t>
  </si>
  <si>
    <t>Denmark</t>
  </si>
  <si>
    <t>Ukraine</t>
  </si>
  <si>
    <t xml:space="preserve">South Korea </t>
  </si>
  <si>
    <t xml:space="preserve">Australia </t>
  </si>
  <si>
    <t>U.A.E.</t>
  </si>
  <si>
    <t>Estonia</t>
  </si>
  <si>
    <t xml:space="preserve">Japan </t>
  </si>
  <si>
    <t xml:space="preserve">Denmark </t>
  </si>
  <si>
    <t xml:space="preserve">Iceland </t>
  </si>
  <si>
    <t xml:space="preserve">Kuwait </t>
  </si>
  <si>
    <t>Singapore</t>
  </si>
  <si>
    <t xml:space="preserve">Estonia </t>
  </si>
  <si>
    <t xml:space="preserve">Finland </t>
  </si>
  <si>
    <t>South Korea</t>
  </si>
  <si>
    <t xml:space="preserve">Saudi Arabia </t>
  </si>
  <si>
    <t xml:space="preserve">Netherlands </t>
  </si>
  <si>
    <t>Iceland</t>
  </si>
  <si>
    <t xml:space="preserve">Germany </t>
  </si>
  <si>
    <t xml:space="preserve">Qatar </t>
  </si>
  <si>
    <t>Saudi Arabia</t>
  </si>
  <si>
    <t>U.K.</t>
  </si>
  <si>
    <t xml:space="preserve">Singapore </t>
  </si>
  <si>
    <t xml:space="preserve">New Zealand </t>
  </si>
  <si>
    <t>Liechtenstein</t>
  </si>
  <si>
    <t>Australia</t>
  </si>
  <si>
    <t>Luxembourg</t>
  </si>
  <si>
    <t>Finland</t>
  </si>
  <si>
    <t>Netherlands</t>
  </si>
  <si>
    <t xml:space="preserve">Kazakhstan </t>
  </si>
  <si>
    <t xml:space="preserve">U.A.E. </t>
  </si>
  <si>
    <t xml:space="preserve">Bahrain </t>
  </si>
  <si>
    <t xml:space="preserve">U.S.A. </t>
  </si>
  <si>
    <t xml:space="preserve">China </t>
  </si>
  <si>
    <t xml:space="preserve">Brunei Darussalam </t>
  </si>
  <si>
    <t>Germany</t>
  </si>
  <si>
    <t xml:space="preserve">Argentina </t>
  </si>
  <si>
    <t xml:space="preserve">Sweden </t>
  </si>
  <si>
    <t>Japan</t>
  </si>
  <si>
    <t>Turkiye</t>
  </si>
  <si>
    <t>Malaysia</t>
  </si>
  <si>
    <t>Sweden</t>
  </si>
  <si>
    <t xml:space="preserve">Greece </t>
  </si>
  <si>
    <t>Norway</t>
  </si>
  <si>
    <t xml:space="preserve">Ireland </t>
  </si>
  <si>
    <t>Austria</t>
  </si>
  <si>
    <t>New Zealand</t>
  </si>
  <si>
    <t xml:space="preserve">Canada </t>
  </si>
  <si>
    <t xml:space="preserve">Norway </t>
  </si>
  <si>
    <t>Spain</t>
  </si>
  <si>
    <t xml:space="preserve">Croatia </t>
  </si>
  <si>
    <t xml:space="preserve">Israel </t>
  </si>
  <si>
    <t>Bahrain</t>
  </si>
  <si>
    <t>U.S.A.</t>
  </si>
  <si>
    <t xml:space="preserve">Malta </t>
  </si>
  <si>
    <t>Ireland</t>
  </si>
  <si>
    <t>Serbia</t>
  </si>
  <si>
    <t>Lithuania</t>
  </si>
  <si>
    <t xml:space="preserve">Ecuador </t>
  </si>
  <si>
    <t xml:space="preserve">Brazil </t>
  </si>
  <si>
    <t xml:space="preserve">Switzerland </t>
  </si>
  <si>
    <t xml:space="preserve">Spain </t>
  </si>
  <si>
    <t xml:space="preserve">Oman </t>
  </si>
  <si>
    <t>Israel</t>
  </si>
  <si>
    <t xml:space="preserve">Latvia </t>
  </si>
  <si>
    <t>Kazakhstan</t>
  </si>
  <si>
    <t xml:space="preserve">South Africa </t>
  </si>
  <si>
    <t xml:space="preserve">Lithuania </t>
  </si>
  <si>
    <t>Uruguay</t>
  </si>
  <si>
    <t>Libya</t>
  </si>
  <si>
    <t>Switzerland</t>
  </si>
  <si>
    <t xml:space="preserve">Uruguay </t>
  </si>
  <si>
    <t>Malta</t>
  </si>
  <si>
    <t xml:space="preserve">Armenia </t>
  </si>
  <si>
    <t xml:space="preserve">Poland </t>
  </si>
  <si>
    <t>Latvia</t>
  </si>
  <si>
    <t xml:space="preserve">Chile </t>
  </si>
  <si>
    <t xml:space="preserve">Hungary </t>
  </si>
  <si>
    <t>Chile</t>
  </si>
  <si>
    <t xml:space="preserve">Cyprus </t>
  </si>
  <si>
    <t>Croatia</t>
  </si>
  <si>
    <t xml:space="preserve">Slovenia </t>
  </si>
  <si>
    <t>Russia</t>
  </si>
  <si>
    <t>Slovenia</t>
  </si>
  <si>
    <t>Georgia</t>
  </si>
  <si>
    <t>France</t>
  </si>
  <si>
    <t>China</t>
  </si>
  <si>
    <t xml:space="preserve">Indonesia </t>
  </si>
  <si>
    <t xml:space="preserve">San Marino </t>
  </si>
  <si>
    <t>Greece</t>
  </si>
  <si>
    <t>Poland</t>
  </si>
  <si>
    <t>Cyprus</t>
  </si>
  <si>
    <t xml:space="preserve">Mongolia </t>
  </si>
  <si>
    <t xml:space="preserve">Czechia </t>
  </si>
  <si>
    <t xml:space="preserve">Thailand </t>
  </si>
  <si>
    <t xml:space="preserve">Belgium </t>
  </si>
  <si>
    <t>South Africa</t>
  </si>
  <si>
    <t xml:space="preserve">Peru </t>
  </si>
  <si>
    <t xml:space="preserve">Italy </t>
  </si>
  <si>
    <t>Oman</t>
  </si>
  <si>
    <t>Argentina</t>
  </si>
  <si>
    <t xml:space="preserve">Andorra </t>
  </si>
  <si>
    <t xml:space="preserve">Rwanda </t>
  </si>
  <si>
    <t xml:space="preserve">Portugal </t>
  </si>
  <si>
    <t>Montenegro</t>
  </si>
  <si>
    <t xml:space="preserve">India </t>
  </si>
  <si>
    <t xml:space="preserve">Russia </t>
  </si>
  <si>
    <t>Data not available</t>
  </si>
  <si>
    <t>Mongolia</t>
  </si>
  <si>
    <t xml:space="preserve">Albania </t>
  </si>
  <si>
    <t>Czechia</t>
  </si>
  <si>
    <t>Canada</t>
  </si>
  <si>
    <t xml:space="preserve">Mexico </t>
  </si>
  <si>
    <t>Armenia</t>
  </si>
  <si>
    <t xml:space="preserve">Colombia </t>
  </si>
  <si>
    <t xml:space="preserve">Monaco </t>
  </si>
  <si>
    <t>Portugal</t>
  </si>
  <si>
    <t xml:space="preserve">Philippines </t>
  </si>
  <si>
    <t xml:space="preserve">Bulgaria </t>
  </si>
  <si>
    <t>Brazil</t>
  </si>
  <si>
    <t xml:space="preserve">Mauritius </t>
  </si>
  <si>
    <t>Italy</t>
  </si>
  <si>
    <t xml:space="preserve">Moldova </t>
  </si>
  <si>
    <t xml:space="preserve">Belarus </t>
  </si>
  <si>
    <t>Thailand</t>
  </si>
  <si>
    <t xml:space="preserve">Costa Rica </t>
  </si>
  <si>
    <t>Qatar</t>
  </si>
  <si>
    <t xml:space="preserve">Slovakia </t>
  </si>
  <si>
    <t>Bulgaria</t>
  </si>
  <si>
    <t xml:space="preserve">Kenya </t>
  </si>
  <si>
    <t>Belgium</t>
  </si>
  <si>
    <t xml:space="preserve">Uzbekistan </t>
  </si>
  <si>
    <t>Iran</t>
  </si>
  <si>
    <t>Peru</t>
  </si>
  <si>
    <t xml:space="preserve">Romania </t>
  </si>
  <si>
    <t>Hungary</t>
  </si>
  <si>
    <t xml:space="preserve">Barbados </t>
  </si>
  <si>
    <t>Slovakia</t>
  </si>
  <si>
    <t xml:space="preserve">Marshall Islands </t>
  </si>
  <si>
    <t>Costa Rica</t>
  </si>
  <si>
    <t>Albania</t>
  </si>
  <si>
    <t>Uzbekistan</t>
  </si>
  <si>
    <t xml:space="preserve">Dominican Republic </t>
  </si>
  <si>
    <t xml:space="preserve">Jordan </t>
  </si>
  <si>
    <t xml:space="preserve">Seychelles </t>
  </si>
  <si>
    <t>Indonesia</t>
  </si>
  <si>
    <t xml:space="preserve">Morocco </t>
  </si>
  <si>
    <t>Mexico</t>
  </si>
  <si>
    <t xml:space="preserve">Kyrgyzstan </t>
  </si>
  <si>
    <t>Kuwait</t>
  </si>
  <si>
    <t>Ecuador</t>
  </si>
  <si>
    <t xml:space="preserve">Azerbaijan </t>
  </si>
  <si>
    <t xml:space="preserve">Grenada </t>
  </si>
  <si>
    <t xml:space="preserve">Viet Nam </t>
  </si>
  <si>
    <t>Colombia</t>
  </si>
  <si>
    <t xml:space="preserve">Bangladesh </t>
  </si>
  <si>
    <t xml:space="preserve">Palau </t>
  </si>
  <si>
    <t>Moldova</t>
  </si>
  <si>
    <t xml:space="preserve">Suriname </t>
  </si>
  <si>
    <t>Vietnam</t>
  </si>
  <si>
    <t xml:space="preserve">Tonga </t>
  </si>
  <si>
    <t>Romania</t>
  </si>
  <si>
    <t xml:space="preserve">Paraguay </t>
  </si>
  <si>
    <t xml:space="preserve">St Kitts and Nevis </t>
  </si>
  <si>
    <t>Philippines</t>
  </si>
  <si>
    <t>Azerbaijan</t>
  </si>
  <si>
    <t xml:space="preserve">Egypt </t>
  </si>
  <si>
    <t xml:space="preserve">Bahamas </t>
  </si>
  <si>
    <t>Brunei Darussalam</t>
  </si>
  <si>
    <t xml:space="preserve">Botswana </t>
  </si>
  <si>
    <t>Mauritius</t>
  </si>
  <si>
    <t>North Macedonia</t>
  </si>
  <si>
    <t xml:space="preserve">Pakistan </t>
  </si>
  <si>
    <t xml:space="preserve">Fiji </t>
  </si>
  <si>
    <t>Belarus</t>
  </si>
  <si>
    <t xml:space="preserve">Panama </t>
  </si>
  <si>
    <t>Kyrgyzstan</t>
  </si>
  <si>
    <t>Panama</t>
  </si>
  <si>
    <t xml:space="preserve">Bosnia and Herzegovina </t>
  </si>
  <si>
    <t xml:space="preserve">Cabo Verde </t>
  </si>
  <si>
    <t>Paraguay</t>
  </si>
  <si>
    <t xml:space="preserve">Tunisia </t>
  </si>
  <si>
    <t>Monaco</t>
  </si>
  <si>
    <t xml:space="preserve">Ghana </t>
  </si>
  <si>
    <t>Bahamas</t>
  </si>
  <si>
    <t xml:space="preserve">Guatemala </t>
  </si>
  <si>
    <t>Dominican Republic</t>
  </si>
  <si>
    <t xml:space="preserve">Gabon </t>
  </si>
  <si>
    <t>Trinidad and Tobago</t>
  </si>
  <si>
    <t xml:space="preserve">Antigua and Barbuda </t>
  </si>
  <si>
    <t>Tunisia</t>
  </si>
  <si>
    <t xml:space="preserve">Guinea </t>
  </si>
  <si>
    <t>Maldives</t>
  </si>
  <si>
    <t xml:space="preserve">Trinidad and Tobago </t>
  </si>
  <si>
    <t xml:space="preserve">Bhutan </t>
  </si>
  <si>
    <t>Andorra</t>
  </si>
  <si>
    <t xml:space="preserve">Cuba </t>
  </si>
  <si>
    <t xml:space="preserve">Algeria </t>
  </si>
  <si>
    <t>Jordan</t>
  </si>
  <si>
    <t xml:space="preserve">Venezuela </t>
  </si>
  <si>
    <t>Morocco</t>
  </si>
  <si>
    <t xml:space="preserve">Uganda </t>
  </si>
  <si>
    <t>Barbados</t>
  </si>
  <si>
    <t>Seychelles</t>
  </si>
  <si>
    <t xml:space="preserve">Bolivia </t>
  </si>
  <si>
    <t>Fiji</t>
  </si>
  <si>
    <t xml:space="preserve">Jamaica </t>
  </si>
  <si>
    <t>Egypt</t>
  </si>
  <si>
    <t xml:space="preserve">Lebanon </t>
  </si>
  <si>
    <t xml:space="preserve">Sri Lanka </t>
  </si>
  <si>
    <t>Jamaica</t>
  </si>
  <si>
    <t>India</t>
  </si>
  <si>
    <t xml:space="preserve">St Vincent and the Grenadines </t>
  </si>
  <si>
    <t>Eswatini</t>
  </si>
  <si>
    <t>Sri Lanka</t>
  </si>
  <si>
    <t xml:space="preserve">Vanuatu </t>
  </si>
  <si>
    <t xml:space="preserve">Iran </t>
  </si>
  <si>
    <t>Bolivia</t>
  </si>
  <si>
    <t xml:space="preserve">Malawi </t>
  </si>
  <si>
    <t>Bangladesh</t>
  </si>
  <si>
    <t xml:space="preserve">Togo </t>
  </si>
  <si>
    <t xml:space="preserve">Nepal </t>
  </si>
  <si>
    <t>San Marino</t>
  </si>
  <si>
    <t>Bhutan</t>
  </si>
  <si>
    <t xml:space="preserve">Nigeria </t>
  </si>
  <si>
    <t xml:space="preserve">Turkmenistan </t>
  </si>
  <si>
    <t xml:space="preserve">Cambodia </t>
  </si>
  <si>
    <t>Grenada</t>
  </si>
  <si>
    <t>Antigua and Barbuda</t>
  </si>
  <si>
    <t>Côte d'Ivoire</t>
  </si>
  <si>
    <t>Suriname</t>
  </si>
  <si>
    <t xml:space="preserve">Cameroon </t>
  </si>
  <si>
    <t xml:space="preserve">Tajikistan </t>
  </si>
  <si>
    <t xml:space="preserve">El Salvador </t>
  </si>
  <si>
    <t>Bosnia and Herzegovina</t>
  </si>
  <si>
    <t xml:space="preserve">Senegal </t>
  </si>
  <si>
    <t xml:space="preserve">Benin </t>
  </si>
  <si>
    <t>Ghana</t>
  </si>
  <si>
    <t>Kenya</t>
  </si>
  <si>
    <t xml:space="preserve">Samoa </t>
  </si>
  <si>
    <t>St Kitts and Nevis</t>
  </si>
  <si>
    <t>Cabo Verde</t>
  </si>
  <si>
    <t xml:space="preserve">Zambia </t>
  </si>
  <si>
    <t xml:space="preserve">Namibia </t>
  </si>
  <si>
    <t xml:space="preserve">Kiribati </t>
  </si>
  <si>
    <t>Botswana</t>
  </si>
  <si>
    <t xml:space="preserve">Solomon Islands </t>
  </si>
  <si>
    <t>Namibia</t>
  </si>
  <si>
    <t>El Salvador</t>
  </si>
  <si>
    <t xml:space="preserve">Guyana </t>
  </si>
  <si>
    <t>Algeria</t>
  </si>
  <si>
    <t xml:space="preserve">Iraq </t>
  </si>
  <si>
    <t>St Vincent and the Grenadines</t>
  </si>
  <si>
    <t>Rwanda</t>
  </si>
  <si>
    <t xml:space="preserve">Tanzania </t>
  </si>
  <si>
    <t xml:space="preserve">St Lucia </t>
  </si>
  <si>
    <t>Nepal</t>
  </si>
  <si>
    <t>Cambodia</t>
  </si>
  <si>
    <t xml:space="preserve">Dominica </t>
  </si>
  <si>
    <t>Gabon</t>
  </si>
  <si>
    <t xml:space="preserve">Sao Tome and Principe </t>
  </si>
  <si>
    <t>Guatemala</t>
  </si>
  <si>
    <t xml:space="preserve">Myanmar </t>
  </si>
  <si>
    <t>Tajikistan</t>
  </si>
  <si>
    <t xml:space="preserve">Sierra Leone </t>
  </si>
  <si>
    <t>Timor-Leste</t>
  </si>
  <si>
    <t xml:space="preserve">Honduras </t>
  </si>
  <si>
    <t>Lebanon</t>
  </si>
  <si>
    <t>Dominica</t>
  </si>
  <si>
    <t xml:space="preserve">Nicaragua </t>
  </si>
  <si>
    <t xml:space="preserve">Micronesia </t>
  </si>
  <si>
    <t>Guyana</t>
  </si>
  <si>
    <t xml:space="preserve">Chad </t>
  </si>
  <si>
    <t>Vanuatu</t>
  </si>
  <si>
    <t>Zambia</t>
  </si>
  <si>
    <t xml:space="preserve">Nauru </t>
  </si>
  <si>
    <t>Venezuela</t>
  </si>
  <si>
    <t xml:space="preserve">Madagascar </t>
  </si>
  <si>
    <t>Nicaragua</t>
  </si>
  <si>
    <t>St Lucia</t>
  </si>
  <si>
    <t xml:space="preserve">Zimbabwe </t>
  </si>
  <si>
    <t xml:space="preserve">Mauritania </t>
  </si>
  <si>
    <t>Tonga</t>
  </si>
  <si>
    <t xml:space="preserve">Belize </t>
  </si>
  <si>
    <t>Senegal</t>
  </si>
  <si>
    <t xml:space="preserve">Tuvalu </t>
  </si>
  <si>
    <t>Pakistan</t>
  </si>
  <si>
    <t>Palau</t>
  </si>
  <si>
    <t>Laos</t>
  </si>
  <si>
    <t>Myanmar</t>
  </si>
  <si>
    <t xml:space="preserve">Somalia </t>
  </si>
  <si>
    <t xml:space="preserve">Angola </t>
  </si>
  <si>
    <t>Cuba</t>
  </si>
  <si>
    <t xml:space="preserve">Mozambique </t>
  </si>
  <si>
    <t>Samoa</t>
  </si>
  <si>
    <t>Belize</t>
  </si>
  <si>
    <t xml:space="preserve">Mali </t>
  </si>
  <si>
    <t>Honduras</t>
  </si>
  <si>
    <t>Marshall Islands</t>
  </si>
  <si>
    <t xml:space="preserve">Guinea-Bissau </t>
  </si>
  <si>
    <t>Nigeria</t>
  </si>
  <si>
    <t>Turkmenistan</t>
  </si>
  <si>
    <t>Benin</t>
  </si>
  <si>
    <t xml:space="preserve">Democratic Republic of the Congo </t>
  </si>
  <si>
    <t>Kiribati</t>
  </si>
  <si>
    <t>Iraq</t>
  </si>
  <si>
    <t>Zimbabwe</t>
  </si>
  <si>
    <t xml:space="preserve">Equatorial Guinea </t>
  </si>
  <si>
    <t>Uganda</t>
  </si>
  <si>
    <t xml:space="preserve">Ethiopia </t>
  </si>
  <si>
    <t>Nauru</t>
  </si>
  <si>
    <t xml:space="preserve">North Korea </t>
  </si>
  <si>
    <t xml:space="preserve">Lesotho </t>
  </si>
  <si>
    <t xml:space="preserve">P.N.G. </t>
  </si>
  <si>
    <t>Tanzania</t>
  </si>
  <si>
    <t xml:space="preserve">Burkina Faso </t>
  </si>
  <si>
    <t>Sao Tome and Principe</t>
  </si>
  <si>
    <t>Syria</t>
  </si>
  <si>
    <t>Cameroon</t>
  </si>
  <si>
    <t xml:space="preserve">Burundi </t>
  </si>
  <si>
    <t xml:space="preserve">Sudan </t>
  </si>
  <si>
    <t>Angola</t>
  </si>
  <si>
    <t>Lesotho</t>
  </si>
  <si>
    <t>Tuvalu</t>
  </si>
  <si>
    <t xml:space="preserve">Congo </t>
  </si>
  <si>
    <t xml:space="preserve">Gambia </t>
  </si>
  <si>
    <t xml:space="preserve">Djibouti </t>
  </si>
  <si>
    <t>Guinea</t>
  </si>
  <si>
    <t>Togo</t>
  </si>
  <si>
    <t xml:space="preserve">Niger </t>
  </si>
  <si>
    <t>Malawi</t>
  </si>
  <si>
    <t xml:space="preserve">Syria </t>
  </si>
  <si>
    <t>Solomon Islands</t>
  </si>
  <si>
    <t>Mauritania</t>
  </si>
  <si>
    <t>Congo</t>
  </si>
  <si>
    <t xml:space="preserve">Liberia </t>
  </si>
  <si>
    <t>Micronesia</t>
  </si>
  <si>
    <t xml:space="preserve">Comoros </t>
  </si>
  <si>
    <t>Madagascar</t>
  </si>
  <si>
    <t>Ethiopia</t>
  </si>
  <si>
    <t xml:space="preserve">Yemen </t>
  </si>
  <si>
    <t>Guinea-Bissau</t>
  </si>
  <si>
    <t>P.N.G.</t>
  </si>
  <si>
    <t>Sierra Leone</t>
  </si>
  <si>
    <t>Mali</t>
  </si>
  <si>
    <t>Djibouti</t>
  </si>
  <si>
    <t>Burkina Faso</t>
  </si>
  <si>
    <t xml:space="preserve">Eritrea </t>
  </si>
  <si>
    <t>Equatorial Guinea</t>
  </si>
  <si>
    <t>Afghanistan</t>
  </si>
  <si>
    <t>Mozambique</t>
  </si>
  <si>
    <t xml:space="preserve">Haiti </t>
  </si>
  <si>
    <t>Sudan</t>
  </si>
  <si>
    <t>South Sudan</t>
  </si>
  <si>
    <t>Democratic Republic of the Congo</t>
  </si>
  <si>
    <t>Comoros</t>
  </si>
  <si>
    <t>Gambia</t>
  </si>
  <si>
    <t>North Korea</t>
  </si>
  <si>
    <t>Liberia</t>
  </si>
  <si>
    <t xml:space="preserve">C.A.R. </t>
  </si>
  <si>
    <t>Burundi</t>
  </si>
  <si>
    <t>Yemen</t>
  </si>
  <si>
    <t>Haiti</t>
  </si>
  <si>
    <t>Niger</t>
  </si>
  <si>
    <t>Chad</t>
  </si>
  <si>
    <t>Eritrea</t>
  </si>
  <si>
    <t>Somalia</t>
  </si>
  <si>
    <t>C.A.R.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</si>
</sst>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0" xfId="0" applyFont="1" applyFill="1"/>
    <xf numFmtId="2" fontId="2" fillId="4" borderId="0" xfId="0" applyNumberFormat="1" applyFont="1" applyFill="1"/>
    <xf numFmtId="2" fontId="0" fillId="0" borderId="0" xfId="0" applyNumberFormat="1"/>
    <xf numFmtId="0" fontId="0" fillId="0" borderId="1" xfId="0" applyBorder="1"/>
    <xf numFmtId="4" fontId="0" fillId="0" borderId="0" xfId="0" applyNumberFormat="1"/>
    <xf numFmtId="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988458350636617E-2"/>
          <c:y val="6.7911457404972439E-2"/>
          <c:w val="0.92881337379486839"/>
          <c:h val="0.86411328652513553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8612733264062892E-2"/>
                  <c:y val="-4.5138888271832782E-3"/>
                </c:manualLayout>
              </c:layout>
              <c:tx>
                <c:rich>
                  <a:bodyPr/>
                  <a:lstStyle/>
                  <a:p>
                    <a:fld id="{CEEC76E3-91F1-9A4E-9D84-2264F8DA263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7E1-244A-9314-406E074ADCCA}"/>
                </c:ext>
              </c:extLst>
            </c:dLbl>
            <c:dLbl>
              <c:idx val="1"/>
              <c:layout>
                <c:manualLayout>
                  <c:x val="-1.9989385404586679E-2"/>
                  <c:y val="-1.1284722067958195E-2"/>
                </c:manualLayout>
              </c:layout>
              <c:tx>
                <c:rich>
                  <a:bodyPr/>
                  <a:lstStyle/>
                  <a:p>
                    <a:fld id="{AF035D91-1800-3643-A1C3-C07D83D929E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7E1-244A-9314-406E074ADC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9D9EDE-28C7-9546-A5B2-AD73EAC06DF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E1-244A-9314-406E074ADCCA}"/>
                </c:ext>
              </c:extLst>
            </c:dLbl>
            <c:dLbl>
              <c:idx val="3"/>
              <c:layout>
                <c:manualLayout>
                  <c:x val="-6.0714853943052371E-2"/>
                  <c:y val="0"/>
                </c:manualLayout>
              </c:layout>
              <c:tx>
                <c:rich>
                  <a:bodyPr/>
                  <a:lstStyle/>
                  <a:p>
                    <a:fld id="{042ED10D-C873-BC41-8B59-4FB1F26CEE5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7E1-244A-9314-406E074ADC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418348-86CF-0F4D-BB16-89E9B0218C9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E1-244A-9314-406E074ADCCA}"/>
                </c:ext>
              </c:extLst>
            </c:dLbl>
            <c:dLbl>
              <c:idx val="5"/>
              <c:layout>
                <c:manualLayout>
                  <c:x val="-5.2848680556393197E-2"/>
                  <c:y val="9.0277776543665565E-3"/>
                </c:manualLayout>
              </c:layout>
              <c:tx>
                <c:rich>
                  <a:bodyPr/>
                  <a:lstStyle/>
                  <a:p>
                    <a:fld id="{119CBDF2-AF7F-244A-A3C4-93C1CA2DCD0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E7E1-244A-9314-406E074ADCCA}"/>
                </c:ext>
              </c:extLst>
            </c:dLbl>
            <c:dLbl>
              <c:idx val="6"/>
              <c:layout>
                <c:manualLayout>
                  <c:x val="-3.5569161728409952E-2"/>
                  <c:y val="-2.9340188520612032E-2"/>
                </c:manualLayout>
              </c:layout>
              <c:tx>
                <c:rich>
                  <a:bodyPr/>
                  <a:lstStyle/>
                  <a:p>
                    <a:fld id="{678420CC-0A5E-F34E-9527-951FA3E6422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2.7856492163407329E-2"/>
                      <c:h val="3.804088694716634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7E1-244A-9314-406E074ADCCA}"/>
                </c:ext>
              </c:extLst>
            </c:dLbl>
            <c:dLbl>
              <c:idx val="7"/>
              <c:layout>
                <c:manualLayout>
                  <c:x val="-3.0536203639404732E-2"/>
                  <c:y val="-2.0688418130218375E-17"/>
                </c:manualLayout>
              </c:layout>
              <c:tx>
                <c:rich>
                  <a:bodyPr/>
                  <a:lstStyle/>
                  <a:p>
                    <a:fld id="{2AA5D097-58BB-0747-96C2-B5704E78FA5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E7E1-244A-9314-406E074ADC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C87477-847D-9F45-A833-4CA9E2E6F5E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E1-244A-9314-406E074ADCCA}"/>
                </c:ext>
              </c:extLst>
            </c:dLbl>
            <c:dLbl>
              <c:idx val="9"/>
              <c:layout>
                <c:manualLayout>
                  <c:x val="-2.4661272062763966E-2"/>
                  <c:y val="-2.256944413591639E-2"/>
                </c:manualLayout>
              </c:layout>
              <c:tx>
                <c:rich>
                  <a:bodyPr/>
                  <a:lstStyle/>
                  <a:p>
                    <a:fld id="{55FC485F-E79D-CA44-88CB-4F604507086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E7E1-244A-9314-406E074ADC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D21F65-8F1D-844A-9ABB-19E07C7672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E1-244A-9314-406E074ADC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0CA06B-50B4-3243-AAAC-6A3B0738E52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E1-244A-9314-406E074ADC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1C5F2D-471E-D148-97CF-3DD0CC20030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E1-244A-9314-406E074ADC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16D202-7656-894E-8A17-545F5E6128E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E1-244A-9314-406E074ADC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D8AF7B-FA76-944D-98BE-F1FF54D8D64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E1-244A-9314-406E074ADC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D798D5-9263-AA4F-B1BB-D1F4F23FCB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E1-244A-9314-406E074ADC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31B5C8-E0B8-4942-8A26-FB5D3DFA1AE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E1-244A-9314-406E074ADC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7DE739-39AA-1045-BCA9-02DF5A011C9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E1-244A-9314-406E074ADC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7188E4-3D16-1843-A234-A56D2B5552A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E1-244A-9314-406E074ADC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061708-DA4B-274B-A7AA-6CF2693BFF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E1-244A-9314-406E074ADC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84E7A7-1220-2744-9886-58072A29FFA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E1-244A-9314-406E074ADC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229126-24D6-E940-9B06-649ABDB3610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E1-244A-9314-406E074ADC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42FD07B-26FC-CA44-ABD1-08DAD6AB86A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E1-244A-9314-406E074ADC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C4B2953-8440-3E4E-BDF0-407EAACE6A3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E1-244A-9314-406E074ADC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8DC6DC-31E1-0242-9BF5-70BD08DE67D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E1-244A-9314-406E074ADC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092D58-A6AA-A842-A7D8-69B1F5BF501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E1-244A-9314-406E074ADC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292097-7848-214B-961E-F346EA9A450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E1-244A-9314-406E074ADC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C0E80A-7E2B-284F-859B-D7A14162FCE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E1-244A-9314-406E074ADCC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6554598-29F5-3F49-93D4-ED230F748C5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E1-244A-9314-406E074ADCC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36B4006-B76F-C54F-8487-FC9138EEAD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E1-244A-9314-406E074ADCC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25E4E2E-F58E-1B45-A5E7-0B90B3727ED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E1-244A-9314-406E074ADCC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BDC783-C2A3-7747-A921-6E576F94898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E1-244A-9314-406E074ADCC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C280C1-E9FF-C147-8A05-9BF9495FEA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E1-244A-9314-406E074ADCC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485D0DA-2506-0C46-8198-BF696CFD8D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E1-244A-9314-406E074ADCC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40CA5ED-8682-0A46-AD06-16E7D22BB6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E1-244A-9314-406E074ADCC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DC3BEEF-EF53-AF47-A1E0-793C2AB7401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E1-244A-9314-406E074ADCC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4C4567-2CA0-6244-8182-34E16B8B7A0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E1-244A-9314-406E074ADCC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D936D1-3D31-3442-8392-CAAE735854D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E1-244A-9314-406E074ADCC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4892B5F-19CA-5B4A-912F-F4F4E747F2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E1-244A-9314-406E074ADCC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18204D5-4F48-8C4A-88FC-B86707130CE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E1-244A-9314-406E074ADCC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16B085-6918-0C41-A983-A1860F3E036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E1-244A-9314-406E074ADCC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8D96351-5E49-F94E-9E0C-348A462DCDE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E1-244A-9314-406E074ADCC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81A65EC-5680-2741-9AD0-BF3C6BCE13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E1-244A-9314-406E074ADCC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E1-244A-9314-406E074ADCC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8114F5-E7DF-BD4F-8A31-668E9001C03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E1-244A-9314-406E074ADCC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0E417C-5A79-2544-BFDE-82A2650E09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E1-244A-9314-406E074ADCC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DA3C72-AECC-8D47-AC27-D42BAEEDCCF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E1-244A-9314-406E074ADCC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EFE55E-2642-7840-B8A5-A364DFB1838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E1-244A-9314-406E074ADCC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D04CD2-6D30-784B-ACBB-30806D23BC8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E1-244A-9314-406E074ADCC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5993C1-2114-F848-8AED-7406E73BCDB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E1-244A-9314-406E074ADCC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BFAF78C-3E0D-D347-80DA-E32061BEBE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E1-244A-9314-406E074ADCC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9C7418-0FAB-8C49-83B6-AB3A753EA54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E1-244A-9314-406E074ADCC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4E9455-4BFB-9E46-AC41-CE8B66A288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E1-244A-9314-406E074ADCC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CA613C-2FA5-E24A-8A23-827117513E2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E1-244A-9314-406E074ADCC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E0D7B8-15B9-2B4F-9D1E-264747A3910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E1-244A-9314-406E074ADCC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B1F1F1A-D28A-F947-82B4-C9DF0BEA1B6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E1-244A-9314-406E074ADCC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BFE252-506F-3242-967F-92B31D6A52B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E1-244A-9314-406E074ADCC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CF0C5C4-452A-284E-9E3D-BEC1DF86EC4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E1-244A-9314-406E074ADCC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0E16CA-04F5-DC47-9DAC-75CDF09C0C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E1-244A-9314-406E074ADCC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2A777F1-1AE7-BF4B-8152-930AF0B80F9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E1-244A-9314-406E074ADCC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029728-39D8-274C-88E3-0907AF0D06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E1-244A-9314-406E074ADCC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B5B68D-7183-744D-ACA9-27C513C9073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E1-244A-9314-406E074ADCC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DB42806-E5FD-C045-BB1D-A6F6B9370CD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E1-244A-9314-406E074ADCC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743029-AA29-604D-BC9E-5F404D3CFFE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E1-244A-9314-406E074ADCC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50AF07E-99EC-AE41-9E66-4145A7B3B48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E1-244A-9314-406E074ADCC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24FDFC2-DFF4-494A-82F1-9C081B73CC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E1-244A-9314-406E074ADCC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446F97-8E43-1141-9140-47F55BCF80E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E1-244A-9314-406E074ADCC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1269F56-43D2-6547-8FA6-F8EE23296E2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E1-244A-9314-406E074ADCC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75D8F4-411C-6C44-9A1C-C9242C93AC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E1-244A-9314-406E074ADCC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DFABE6-BE7B-A846-A5B5-625BB9344EF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E1-244A-9314-406E074ADCC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891FA30-B63F-534B-83B1-2DE6E9A25F7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E1-244A-9314-406E074ADCC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8354840-A07E-3644-B005-DDD9196ADA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E1-244A-9314-406E074ADCC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9821C2-2915-7C42-83D2-8EFE7EF978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E1-244A-9314-406E074ADCC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5E2A1EE-8798-8447-B4B8-452649B8EF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E1-244A-9314-406E074ADCC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B60BBF-D4B7-F34B-AF48-74ECFE0B8DF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E1-244A-9314-406E074ADCC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CD0F9B-EBA7-C44E-A1D9-4DCD779A00A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E1-244A-9314-406E074ADCC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011138-5DF5-9045-87D7-E5A77C7431B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E1-244A-9314-406E074ADCC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76C708-43CF-5D4D-8605-F80ECC175E9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E1-244A-9314-406E074ADCC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C5A0067-8D9B-884D-8415-2F4AC1747CC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E1-244A-9314-406E074ADCC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53DCCA-C8A0-504A-82DB-17EE343524D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E1-244A-9314-406E074ADCC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52F0876-1AFA-0D40-8882-70698089FC0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E1-244A-9314-406E074ADCC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E1-244A-9314-406E074ADCC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0922011-77BA-CE4C-8D2E-97C4858CABB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E1-244A-9314-406E074ADCC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39616A4-3130-F24F-BE83-AD8764DF226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E1-244A-9314-406E074ADCC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3D04F1-806D-2F42-9B51-2407DF5072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E1-244A-9314-406E074ADCCA}"/>
                </c:ext>
              </c:extLst>
            </c:dLbl>
            <c:dLbl>
              <c:idx val="8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E7E1-244A-9314-406E074ADCC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8463D2-6668-F848-99C3-D2D6BEE6B3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E1-244A-9314-406E074ADCC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E1-244A-9314-406E074ADCC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CA7EFD2-99B1-6C44-A5F1-69D9BA840AF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E1-244A-9314-406E074ADCC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43C06B4-8086-1240-ADCC-B1BA5818933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E1-244A-9314-406E074ADCC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77C7B39-C8F4-8D48-8397-BB8B0F0ECB1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E1-244A-9314-406E074ADCC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1852EB-1B4B-4F46-8B83-6DE9333C84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E1-244A-9314-406E074ADCC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0468D5-F6EA-7145-BEBF-2A826A96689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E1-244A-9314-406E074ADCC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EB1B9D5-8E18-854B-B73C-4E2091D7C3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E1-244A-9314-406E074ADCC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31EFD5-2EF7-3B41-B138-E28AA2F4A29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E1-244A-9314-406E074ADCC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A65B8B-3628-2443-A0E7-D99873CC60F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E1-244A-9314-406E074ADCC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66DD2D-B124-BB4F-A5E4-05BD57973F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E1-244A-9314-406E074ADCC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412CC2F-3C97-E644-80E6-4E105EA8894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E1-244A-9314-406E074ADCC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1503E43-798A-7348-BD26-4CA3AF3533D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E1-244A-9314-406E074ADCC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C4C8A18-7F0A-714F-B1E0-6AAF99FBCFF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E1-244A-9314-406E074ADCC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D2D951-F5A3-C24B-8B5A-D4C455E9FC4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E1-244A-9314-406E074ADCC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E1-244A-9314-406E074ADCC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EA10CA3-C2C6-534E-9EAF-B6ACA9FDADE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E1-244A-9314-406E074ADCC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506048-F7C3-024D-BFE2-129E8B27DB1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E1-244A-9314-406E074ADCC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E6235E-5A35-744F-998B-213E47BFAB7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E1-244A-9314-406E074ADCC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45FB26A-532D-3244-93B4-648A4A9CE85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E1-244A-9314-406E074ADCC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9051EB-D349-794A-8AA5-AFAF258A648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E1-244A-9314-406E074ADCC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2E8FDF-6A87-7B4F-9A86-3F88E251B0F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E1-244A-9314-406E074ADCC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BA36442-D7F7-0E49-9314-B683B31DBC6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E1-244A-9314-406E074ADCC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CF811E-3837-874F-B81D-7807D1EDF15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E1-244A-9314-406E074ADCC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84F6DA-E41E-AC4E-9014-5047AFA7888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E1-244A-9314-406E074ADCC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19BD92C-0312-E941-AFB9-1057BE92C20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E1-244A-9314-406E074ADCC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3C5B79C-EECA-544A-932B-051625D58C9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E1-244A-9314-406E074ADCC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67E37F-D4A5-AC47-AD5A-B5A07A3932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E1-244A-9314-406E074ADCC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E6EFE97-80AF-8341-9CA8-CD1A4FA123F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E1-244A-9314-406E074ADCC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0115A66-3E1A-AD4D-8BE1-44E0214B0CC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E1-244A-9314-406E074ADCC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CF6705-AD1A-C74C-ACDF-F0561A74C2B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E1-244A-9314-406E074ADCC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8793C4C-100E-5F4F-A7DB-50B110696F7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E1-244A-9314-406E074ADCC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76ED68-BA76-3B43-B727-56BC7D645D0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E1-244A-9314-406E074ADCC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81B305-3A36-4148-86E2-3E85D5E96CD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7E1-244A-9314-406E074ADCC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EDDEF7-6A1E-5C49-B2D5-44E3353405C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E1-244A-9314-406E074ADCC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BC3A6E1-E6DA-9E41-AB60-F8B75962EDE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E1-244A-9314-406E074ADCC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DD04F1-B717-E644-A25F-10626FCD1D2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E1-244A-9314-406E074ADCC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E6BB04-10D5-8D44-9B17-5ADBDFC1527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E1-244A-9314-406E074ADCC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B55F11-C57D-D44C-BCC6-3625079CBFA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E1-244A-9314-406E074ADCC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D8D1C11-E0AA-F140-ADBF-6769F3B690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E1-244A-9314-406E074ADCC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1ECE08-0E77-AD40-AAD9-E05C47713F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E1-244A-9314-406E074ADCC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E7D8D3-4322-0D4F-877C-BE571C66813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E1-244A-9314-406E074ADCC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98D932-CD61-D74C-879D-A074F3601F6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E1-244A-9314-406E074ADCC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F6BCE2C-03D3-FF4A-A3A4-E387344D641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E1-244A-9314-406E074ADCC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52DD12-E8CD-514D-871A-919ABF8ED2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E1-244A-9314-406E074ADCC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D39DD7-A0C5-DC44-93D5-AE852A4FEB1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E1-244A-9314-406E074ADCC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3D3368-741F-8641-8CED-949D7C37850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E1-244A-9314-406E074ADCC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588FE9-AC42-3C49-8750-2C46493CF3C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E1-244A-9314-406E074ADCC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357C88-B692-3E44-9225-6C3D9E2BC3B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E1-244A-9314-406E074ADCC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F05A7FE-51C2-E94A-B799-1EC71C40FF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E1-244A-9314-406E074ADCC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08E0645-599C-CD40-AADD-2B3BC1E531B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E1-244A-9314-406E074ADCC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BF9072D-C22F-2541-8E8F-8DE4D3160B9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E1-244A-9314-406E074ADCC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3FB26C-A555-3A43-BE37-AD03A161D36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E1-244A-9314-406E074ADCC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942DB3-D820-4848-A34F-0803D74A86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E1-244A-9314-406E074ADCC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FB7E47-A3DD-8D4F-B7D3-FDF9BDF1A49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E1-244A-9314-406E074ADCC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C98184-42C8-544D-8953-42BB485D8B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E1-244A-9314-406E074ADCC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A78799F-0270-9B45-BE08-F5358C1044A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E1-244A-9314-406E074ADCC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40500E7-C1EC-2E4D-AED3-C7CE9B8C9A2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E1-244A-9314-406E074ADCC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9580559-7F6A-1E4A-A64B-42D8BD2C0B2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E1-244A-9314-406E074ADCC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8771D11-6E88-324C-84D8-95BD36E0F4F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E1-244A-9314-406E074ADCC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D60FF6-3499-E54A-8B84-5A8A40F0664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E1-244A-9314-406E074ADCC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C05C21-3A33-DD4F-9B72-E5849BC26A5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E1-244A-9314-406E074ADCC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CF0E30-13B2-4644-BA24-476C1E07869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E1-244A-9314-406E074ADCC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600A97-3E2C-DA4D-A441-D931ABDE00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E1-244A-9314-406E074ADCC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E1-244A-9314-406E074ADCC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DB66C8-672F-994F-950B-26F58C3E274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E1-244A-9314-406E074ADCC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583BD5-84ED-F247-BB4A-4AB594279C4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E1-244A-9314-406E074ADCC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B19A805-0DEC-8C41-AF12-BD5F4BCE1CE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E1-244A-9314-406E074ADCC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C611BA3-0EA4-604A-8229-9DB13B2C6C7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E1-244A-9314-406E074ADCC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58ADFCE-A6FA-4749-9662-84CDFBCC52F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E1-244A-9314-406E074ADCC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391DE8-10E3-6A4C-942C-55AD719ABF9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E1-244A-9314-406E074ADCC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DA4A30-90BA-404F-B69C-14EAF81CB55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E1-244A-9314-406E074ADCC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3D25415-FE5D-BE41-A0E4-9ED2D0D130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E1-244A-9314-406E074ADCC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383C9B-DA3F-D346-BBBD-5C7AC87E44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E1-244A-9314-406E074ADCC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C4413E-80D3-9347-93CD-8488E7466F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E1-244A-9314-406E074ADCC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BDF75E-49D6-4248-BAFF-E7591C1580F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E1-244A-9314-406E074ADCC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4E4AEC-FD7C-DB46-B647-52B67033791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E1-244A-9314-406E074ADCC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B69BDE-81A3-B44B-908B-6E2874D8FDA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E1-244A-9314-406E074ADCC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5E3F7A-F76C-6244-9329-95508BC39C4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E1-244A-9314-406E074ADCC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E5BC0E-5A0D-444D-A007-E10969DDA93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E1-244A-9314-406E074ADCC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753D0D-826D-F348-BA21-245E8304A90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E1-244A-9314-406E074ADCC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80F68B9-7CB1-434D-B404-059057BA44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E1-244A-9314-406E074ADCC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5C05B3-C377-6842-B434-B3E6035A1CE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E1-244A-9314-406E074ADCC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90AA443-2A80-5A48-BF0A-DCAB720A635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E1-244A-9314-406E074ADCC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6085D2-BA38-634D-B008-0180F08F80F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E1-244A-9314-406E074ADCC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545F16-C8E1-C041-A6B8-C4ADF7D939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E1-244A-9314-406E074ADCC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8C090A-CC45-7D46-AFA3-0684159D8AC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E1-244A-9314-406E074ADCC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657ECA-42D2-A246-B8F9-F01B44A5B6C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E1-244A-9314-406E074ADCC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5845FE-B17E-3A40-BA3D-03E9B656482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E1-244A-9314-406E074ADCC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72FE5C-02C5-3649-A0ED-825ECE73DD6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E1-244A-9314-406E074ADCC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33652D5-E488-C64F-A232-986EA059590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E1-244A-9314-406E074ADCC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98ADE6-87C2-BB4F-BC42-5F55B3B7212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E1-244A-9314-406E074ADCC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AF71F87-7355-404A-B9E7-4609B36EF34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E1-244A-9314-406E074ADCC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B110BF8-CF70-8C44-95EC-48561850A9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E1-244A-9314-406E074ADCC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CC37B5-2FD4-BC4C-99C5-DE9507D391B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E1-244A-9314-406E074ADCC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DA99E9-9AB6-C549-99C8-ED0AFEB75A4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E1-244A-9314-406E074ADCC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EE6C7D-AC32-7A41-98A8-28682C7F559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E1-244A-9314-406E074ADCC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635D7B-4B17-8142-B663-79A3D4FBC4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E1-244A-9314-406E074ADCC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943000-7131-1D42-81D1-DD57D56060D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E1-244A-9314-406E074ADCC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4F51AE6-F1C4-0A47-913A-E4FA12FF9B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E1-244A-9314-406E074ADCC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010E84-D5D2-E748-9A61-4055D23EBC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E1-244A-9314-406E074ADCC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D6749EF-EC2D-8D43-902E-61CB030D56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E1-244A-9314-406E074ADCC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A06590-C419-1148-A7CE-E6F03911CDE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E1-244A-9314-406E074ADCC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D6634CD-86EB-2347-9AFA-F8C2C317099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E1-244A-9314-406E074ADCC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E1-244A-9314-406E074ADCC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7A9DCA-A658-9A46-8D6F-EC18232FCB3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E1-244A-9314-406E074ADCC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2F7FB0-8B7C-444D-B191-AE7237A1E3E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E1-244A-9314-406E074ADCC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E1-244A-9314-406E074ADCC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E1-244A-9314-406E074ADCC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E1-244A-9314-406E074ADCC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E1-244A-9314-406E074ADCC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E1-244A-9314-406E074ADCC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E1-244A-9314-406E074ADCC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E1-244A-9314-406E074ADCC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E1-244A-9314-406E074ADCC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E1-244A-9314-406E074ADCC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E1-244A-9314-406E074ADCC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E1-244A-9314-406E074ADCC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E1-244A-9314-406E074ADCC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E1-244A-9314-406E074ADCC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E1-244A-9314-406E074ADCC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E1-244A-9314-406E074ADCC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E1-244A-9314-406E074ADCC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E1-244A-9314-406E074ADCC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E1-244A-9314-406E074ADCC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E1-244A-9314-406E074ADCC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E1-244A-9314-406E074ADCC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E1-244A-9314-406E074ADCC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E1-244A-9314-406E074ADCC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E1-244A-9314-406E074ADCC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E1-244A-9314-406E074ADCC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E1-244A-9314-406E074ADCC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E1-244A-9314-406E074ADCC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E1-244A-9314-406E074ADCC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E1-244A-9314-406E074ADCC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E1-244A-9314-406E074ADCC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E1-244A-9314-406E074ADCC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E1-244A-9314-406E074ADCC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E1-244A-9314-406E074ADCC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E1-244A-9314-406E074ADCC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E1-244A-9314-406E074ADCC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E1-244A-9314-406E074ADCC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E1-244A-9314-406E074ADCC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E1-244A-9314-406E074ADCC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E1-244A-9314-406E074ADCC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E1-244A-9314-406E074ADCC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E1-244A-9314-406E074ADCC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E1-244A-9314-406E074ADCC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E1-244A-9314-406E074ADCC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E1-244A-9314-406E074ADCC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E1-244A-9314-406E074ADCC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E1-244A-9314-406E074ADC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PPP!$D$2:$D$239</c:f>
              <c:numCache>
                <c:formatCode>General</c:formatCode>
                <c:ptCount val="238"/>
                <c:pt idx="0">
                  <c:v>68300</c:v>
                </c:pt>
                <c:pt idx="1">
                  <c:v>38110</c:v>
                </c:pt>
                <c:pt idx="2">
                  <c:v>116500</c:v>
                </c:pt>
                <c:pt idx="3">
                  <c:v>44740</c:v>
                </c:pt>
                <c:pt idx="4">
                  <c:v>55220</c:v>
                </c:pt>
                <c:pt idx="5">
                  <c:v>46120</c:v>
                </c:pt>
                <c:pt idx="6">
                  <c:v>53070</c:v>
                </c:pt>
                <c:pt idx="7">
                  <c:v>55100</c:v>
                </c:pt>
                <c:pt idx="8">
                  <c:v>53040</c:v>
                </c:pt>
                <c:pt idx="9">
                  <c:v>61000</c:v>
                </c:pt>
                <c:pt idx="10">
                  <c:v>74410</c:v>
                </c:pt>
                <c:pt idx="11">
                  <c:v>58370</c:v>
                </c:pt>
                <c:pt idx="12">
                  <c:v>44600</c:v>
                </c:pt>
                <c:pt idx="13">
                  <c:v>58780</c:v>
                </c:pt>
                <c:pt idx="14">
                  <c:v>74940</c:v>
                </c:pt>
                <c:pt idx="15">
                  <c:v>48830</c:v>
                </c:pt>
                <c:pt idx="16">
                  <c:v>42520</c:v>
                </c:pt>
                <c:pt idx="17">
                  <c:v>47850</c:v>
                </c:pt>
                <c:pt idx="18">
                  <c:v>70480</c:v>
                </c:pt>
                <c:pt idx="19">
                  <c:v>99240</c:v>
                </c:pt>
                <c:pt idx="20">
                  <c:v>42510</c:v>
                </c:pt>
                <c:pt idx="21">
                  <c:v>60840</c:v>
                </c:pt>
                <c:pt idx="22">
                  <c:v>44740</c:v>
                </c:pt>
                <c:pt idx="23">
                  <c:v>26940</c:v>
                </c:pt>
                <c:pt idx="24">
                  <c:v>25660</c:v>
                </c:pt>
                <c:pt idx="25">
                  <c:v>74250</c:v>
                </c:pt>
                <c:pt idx="26">
                  <c:v>32730</c:v>
                </c:pt>
                <c:pt idx="27">
                  <c:v>54910</c:v>
                </c:pt>
                <c:pt idx="28">
                  <c:v>35230</c:v>
                </c:pt>
                <c:pt idx="29">
                  <c:v>14480</c:v>
                </c:pt>
                <c:pt idx="30">
                  <c:v>25670</c:v>
                </c:pt>
                <c:pt idx="31">
                  <c:v>34740</c:v>
                </c:pt>
                <c:pt idx="32">
                  <c:v>43770</c:v>
                </c:pt>
                <c:pt idx="33">
                  <c:v>50660</c:v>
                </c:pt>
                <c:pt idx="34">
                  <c:v>18140</c:v>
                </c:pt>
                <c:pt idx="35">
                  <c:v>32160</c:v>
                </c:pt>
                <c:pt idx="36">
                  <c:v>37710</c:v>
                </c:pt>
                <c:pt idx="37">
                  <c:v>42230</c:v>
                </c:pt>
                <c:pt idx="38">
                  <c:v>23170</c:v>
                </c:pt>
                <c:pt idx="39">
                  <c:v>13360</c:v>
                </c:pt>
                <c:pt idx="40">
                  <c:v>39840</c:v>
                </c:pt>
                <c:pt idx="41">
                  <c:v>22270</c:v>
                </c:pt>
                <c:pt idx="42">
                  <c:v>28710</c:v>
                </c:pt>
                <c:pt idx="44">
                  <c:v>82230</c:v>
                </c:pt>
                <c:pt idx="45">
                  <c:v>13350</c:v>
                </c:pt>
                <c:pt idx="46">
                  <c:v>55970</c:v>
                </c:pt>
                <c:pt idx="47">
                  <c:v>16950</c:v>
                </c:pt>
                <c:pt idx="48">
                  <c:v>38730</c:v>
                </c:pt>
                <c:pt idx="49">
                  <c:v>15600</c:v>
                </c:pt>
                <c:pt idx="50">
                  <c:v>47190</c:v>
                </c:pt>
                <c:pt idx="51">
                  <c:v>19110</c:v>
                </c:pt>
                <c:pt idx="52">
                  <c:v>88070</c:v>
                </c:pt>
                <c:pt idx="53">
                  <c:v>45130</c:v>
                </c:pt>
                <c:pt idx="54">
                  <c:v>27800</c:v>
                </c:pt>
                <c:pt idx="55">
                  <c:v>54640</c:v>
                </c:pt>
                <c:pt idx="56">
                  <c:v>28650</c:v>
                </c:pt>
                <c:pt idx="57">
                  <c:v>12480</c:v>
                </c:pt>
                <c:pt idx="58">
                  <c:v>35540</c:v>
                </c:pt>
                <c:pt idx="59">
                  <c:v>38540</c:v>
                </c:pt>
                <c:pt idx="60">
                  <c:v>23340</c:v>
                </c:pt>
                <c:pt idx="61">
                  <c:v>16000</c:v>
                </c:pt>
                <c:pt idx="62">
                  <c:v>9470</c:v>
                </c:pt>
                <c:pt idx="63">
                  <c:v>12310</c:v>
                </c:pt>
                <c:pt idx="64">
                  <c:v>20960</c:v>
                </c:pt>
                <c:pt idx="65">
                  <c:v>74630</c:v>
                </c:pt>
                <c:pt idx="66">
                  <c:v>11500</c:v>
                </c:pt>
                <c:pt idx="67">
                  <c:v>16580</c:v>
                </c:pt>
                <c:pt idx="68">
                  <c:v>18170</c:v>
                </c:pt>
                <c:pt idx="69">
                  <c:v>14260</c:v>
                </c:pt>
                <c:pt idx="70">
                  <c:v>11260</c:v>
                </c:pt>
                <c:pt idx="71">
                  <c:v>34520</c:v>
                </c:pt>
                <c:pt idx="72">
                  <c:v>9820</c:v>
                </c:pt>
                <c:pt idx="73">
                  <c:v>14540</c:v>
                </c:pt>
                <c:pt idx="74">
                  <c:v>83530</c:v>
                </c:pt>
                <c:pt idx="75">
                  <c:v>24310</c:v>
                </c:pt>
                <c:pt idx="76">
                  <c:v>20080</c:v>
                </c:pt>
                <c:pt idx="77">
                  <c:v>5300</c:v>
                </c:pt>
                <c:pt idx="78">
                  <c:v>30990</c:v>
                </c:pt>
                <c:pt idx="79">
                  <c:v>13990</c:v>
                </c:pt>
                <c:pt idx="80">
                  <c:v>22940</c:v>
                </c:pt>
                <c:pt idx="82">
                  <c:v>34860</c:v>
                </c:pt>
                <c:pt idx="83">
                  <c:v>18210</c:v>
                </c:pt>
                <c:pt idx="84">
                  <c:v>20640</c:v>
                </c:pt>
                <c:pt idx="85">
                  <c:v>26730</c:v>
                </c:pt>
                <c:pt idx="86">
                  <c:v>11870</c:v>
                </c:pt>
                <c:pt idx="88">
                  <c:v>11980</c:v>
                </c:pt>
                <c:pt idx="89">
                  <c:v>9230</c:v>
                </c:pt>
                <c:pt idx="90">
                  <c:v>17450</c:v>
                </c:pt>
                <c:pt idx="91">
                  <c:v>26320</c:v>
                </c:pt>
                <c:pt idx="92">
                  <c:v>12080</c:v>
                </c:pt>
                <c:pt idx="93">
                  <c:v>19150</c:v>
                </c:pt>
                <c:pt idx="94">
                  <c:v>14000</c:v>
                </c:pt>
                <c:pt idx="95">
                  <c:v>10990</c:v>
                </c:pt>
                <c:pt idx="96">
                  <c:v>7130</c:v>
                </c:pt>
                <c:pt idx="97">
                  <c:v>12570</c:v>
                </c:pt>
                <c:pt idx="98">
                  <c:v>8550</c:v>
                </c:pt>
                <c:pt idx="99">
                  <c:v>6530</c:v>
                </c:pt>
                <c:pt idx="100">
                  <c:v>16790</c:v>
                </c:pt>
                <c:pt idx="102">
                  <c:v>10840</c:v>
                </c:pt>
                <c:pt idx="103">
                  <c:v>17460</c:v>
                </c:pt>
                <c:pt idx="104">
                  <c:v>21840</c:v>
                </c:pt>
                <c:pt idx="105">
                  <c:v>15120</c:v>
                </c:pt>
                <c:pt idx="106">
                  <c:v>17650</c:v>
                </c:pt>
                <c:pt idx="107">
                  <c:v>6220</c:v>
                </c:pt>
                <c:pt idx="108">
                  <c:v>5150</c:v>
                </c:pt>
                <c:pt idx="109">
                  <c:v>25940</c:v>
                </c:pt>
                <c:pt idx="110">
                  <c:v>7000</c:v>
                </c:pt>
                <c:pt idx="111">
                  <c:v>17220</c:v>
                </c:pt>
                <c:pt idx="112">
                  <c:v>9550</c:v>
                </c:pt>
                <c:pt idx="113">
                  <c:v>9650</c:v>
                </c:pt>
                <c:pt idx="114">
                  <c:v>9000</c:v>
                </c:pt>
                <c:pt idx="115">
                  <c:v>11430</c:v>
                </c:pt>
                <c:pt idx="116">
                  <c:v>14990</c:v>
                </c:pt>
                <c:pt idx="117">
                  <c:v>2370</c:v>
                </c:pt>
                <c:pt idx="118">
                  <c:v>4190</c:v>
                </c:pt>
                <c:pt idx="119">
                  <c:v>4580</c:v>
                </c:pt>
                <c:pt idx="120">
                  <c:v>14970</c:v>
                </c:pt>
                <c:pt idx="121">
                  <c:v>9110</c:v>
                </c:pt>
                <c:pt idx="122">
                  <c:v>4170</c:v>
                </c:pt>
                <c:pt idx="123">
                  <c:v>6090</c:v>
                </c:pt>
                <c:pt idx="124">
                  <c:v>13910</c:v>
                </c:pt>
                <c:pt idx="125">
                  <c:v>11800</c:v>
                </c:pt>
                <c:pt idx="126">
                  <c:v>12740</c:v>
                </c:pt>
                <c:pt idx="127">
                  <c:v>20540</c:v>
                </c:pt>
                <c:pt idx="128">
                  <c:v>3310</c:v>
                </c:pt>
                <c:pt idx="129">
                  <c:v>3630</c:v>
                </c:pt>
                <c:pt idx="130">
                  <c:v>17440</c:v>
                </c:pt>
                <c:pt idx="131">
                  <c:v>5790</c:v>
                </c:pt>
                <c:pt idx="132">
                  <c:v>13740</c:v>
                </c:pt>
                <c:pt idx="133">
                  <c:v>6070</c:v>
                </c:pt>
                <c:pt idx="134">
                  <c:v>4090</c:v>
                </c:pt>
                <c:pt idx="135">
                  <c:v>5860</c:v>
                </c:pt>
                <c:pt idx="136">
                  <c:v>14370</c:v>
                </c:pt>
                <c:pt idx="137">
                  <c:v>5140</c:v>
                </c:pt>
                <c:pt idx="138">
                  <c:v>8920</c:v>
                </c:pt>
                <c:pt idx="139">
                  <c:v>6310</c:v>
                </c:pt>
                <c:pt idx="140">
                  <c:v>9420</c:v>
                </c:pt>
                <c:pt idx="141">
                  <c:v>6500</c:v>
                </c:pt>
                <c:pt idx="142">
                  <c:v>6310</c:v>
                </c:pt>
                <c:pt idx="143">
                  <c:v>5000</c:v>
                </c:pt>
                <c:pt idx="144">
                  <c:v>16050</c:v>
                </c:pt>
                <c:pt idx="145">
                  <c:v>3740</c:v>
                </c:pt>
                <c:pt idx="146">
                  <c:v>2530</c:v>
                </c:pt>
                <c:pt idx="147">
                  <c:v>14160</c:v>
                </c:pt>
                <c:pt idx="148">
                  <c:v>2150</c:v>
                </c:pt>
                <c:pt idx="149">
                  <c:v>2370</c:v>
                </c:pt>
                <c:pt idx="151">
                  <c:v>12122</c:v>
                </c:pt>
                <c:pt idx="152">
                  <c:v>3000</c:v>
                </c:pt>
                <c:pt idx="153">
                  <c:v>4170</c:v>
                </c:pt>
                <c:pt idx="154">
                  <c:v>4090</c:v>
                </c:pt>
                <c:pt idx="155">
                  <c:v>6090</c:v>
                </c:pt>
                <c:pt idx="156">
                  <c:v>2740</c:v>
                </c:pt>
                <c:pt idx="157">
                  <c:v>7790</c:v>
                </c:pt>
                <c:pt idx="158">
                  <c:v>4170</c:v>
                </c:pt>
                <c:pt idx="159">
                  <c:v>3000</c:v>
                </c:pt>
                <c:pt idx="160">
                  <c:v>2800</c:v>
                </c:pt>
                <c:pt idx="161">
                  <c:v>4610</c:v>
                </c:pt>
                <c:pt idx="162">
                  <c:v>1500</c:v>
                </c:pt>
                <c:pt idx="163">
                  <c:v>2700</c:v>
                </c:pt>
                <c:pt idx="164">
                  <c:v>5860</c:v>
                </c:pt>
                <c:pt idx="165">
                  <c:v>4170</c:v>
                </c:pt>
                <c:pt idx="166">
                  <c:v>3740</c:v>
                </c:pt>
                <c:pt idx="167">
                  <c:v>1600</c:v>
                </c:pt>
                <c:pt idx="168">
                  <c:v>2370</c:v>
                </c:pt>
                <c:pt idx="169">
                  <c:v>2370</c:v>
                </c:pt>
                <c:pt idx="170">
                  <c:v>4230</c:v>
                </c:pt>
                <c:pt idx="171">
                  <c:v>1660</c:v>
                </c:pt>
                <c:pt idx="172">
                  <c:v>2540</c:v>
                </c:pt>
                <c:pt idx="173">
                  <c:v>4900</c:v>
                </c:pt>
                <c:pt idx="174">
                  <c:v>2420</c:v>
                </c:pt>
                <c:pt idx="175">
                  <c:v>17330</c:v>
                </c:pt>
                <c:pt idx="176">
                  <c:v>1520</c:v>
                </c:pt>
                <c:pt idx="177">
                  <c:v>3870</c:v>
                </c:pt>
                <c:pt idx="178">
                  <c:v>1270</c:v>
                </c:pt>
                <c:pt idx="179">
                  <c:v>3620</c:v>
                </c:pt>
                <c:pt idx="180">
                  <c:v>2280</c:v>
                </c:pt>
                <c:pt idx="181">
                  <c:v>1620</c:v>
                </c:pt>
                <c:pt idx="182">
                  <c:v>840</c:v>
                </c:pt>
                <c:pt idx="183">
                  <c:v>840</c:v>
                </c:pt>
                <c:pt idx="184">
                  <c:v>1840</c:v>
                </c:pt>
                <c:pt idx="185">
                  <c:v>2110</c:v>
                </c:pt>
                <c:pt idx="186">
                  <c:v>1830</c:v>
                </c:pt>
                <c:pt idx="187">
                  <c:v>1500</c:v>
                </c:pt>
                <c:pt idx="188">
                  <c:v>920</c:v>
                </c:pt>
                <c:pt idx="189">
                  <c:v>980</c:v>
                </c:pt>
                <c:pt idx="191">
                  <c:v>1200</c:v>
                </c:pt>
                <c:pt idx="192">
                  <c:v>980</c:v>
                </c:pt>
              </c:numCache>
            </c:numRef>
          </c:xVal>
          <c:yVal>
            <c:numRef>
              <c:f>PPP!$C$2:$C$239</c:f>
              <c:numCache>
                <c:formatCode>General</c:formatCode>
                <c:ptCount val="238"/>
                <c:pt idx="0">
                  <c:v>0.98473999999999995</c:v>
                </c:pt>
                <c:pt idx="1">
                  <c:v>0.97274000000000005</c:v>
                </c:pt>
                <c:pt idx="2">
                  <c:v>0.96911999999999998</c:v>
                </c:pt>
                <c:pt idx="3">
                  <c:v>0.96789000000000003</c:v>
                </c:pt>
                <c:pt idx="4">
                  <c:v>0.96706999999999999</c:v>
                </c:pt>
                <c:pt idx="5">
                  <c:v>0.96021999999999996</c:v>
                </c:pt>
                <c:pt idx="6">
                  <c:v>0.95772999999999997</c:v>
                </c:pt>
                <c:pt idx="7">
                  <c:v>0.9577</c:v>
                </c:pt>
                <c:pt idx="8">
                  <c:v>0.95745999999999998</c:v>
                </c:pt>
                <c:pt idx="9">
                  <c:v>0.95384000000000002</c:v>
                </c:pt>
                <c:pt idx="10">
                  <c:v>0.95328000000000002</c:v>
                </c:pt>
                <c:pt idx="11">
                  <c:v>0.93820999999999999</c:v>
                </c:pt>
                <c:pt idx="12">
                  <c:v>0.93510000000000004</c:v>
                </c:pt>
                <c:pt idx="13">
                  <c:v>0.93262</c:v>
                </c:pt>
                <c:pt idx="14">
                  <c:v>0.93152999999999997</c:v>
                </c:pt>
                <c:pt idx="15">
                  <c:v>0.92654000000000003</c:v>
                </c:pt>
                <c:pt idx="16">
                  <c:v>0.92059999999999997</c:v>
                </c:pt>
                <c:pt idx="17">
                  <c:v>0.91957999999999995</c:v>
                </c:pt>
                <c:pt idx="18">
                  <c:v>0.91944999999999999</c:v>
                </c:pt>
                <c:pt idx="19">
                  <c:v>0.91376999999999997</c:v>
                </c:pt>
                <c:pt idx="20">
                  <c:v>0.91103999999999996</c:v>
                </c:pt>
                <c:pt idx="21">
                  <c:v>0.90652999999999995</c:v>
                </c:pt>
                <c:pt idx="22">
                  <c:v>0.90142999999999995</c:v>
                </c:pt>
                <c:pt idx="23">
                  <c:v>0.90093000000000001</c:v>
                </c:pt>
                <c:pt idx="24">
                  <c:v>0.90059</c:v>
                </c:pt>
                <c:pt idx="25">
                  <c:v>0.90034999999999998</c:v>
                </c:pt>
                <c:pt idx="26">
                  <c:v>0.89131000000000005</c:v>
                </c:pt>
                <c:pt idx="27">
                  <c:v>0.88859999999999995</c:v>
                </c:pt>
                <c:pt idx="28">
                  <c:v>0.88522000000000001</c:v>
                </c:pt>
                <c:pt idx="29">
                  <c:v>0.88407000000000002</c:v>
                </c:pt>
                <c:pt idx="30">
                  <c:v>0.88266</c:v>
                </c:pt>
                <c:pt idx="31">
                  <c:v>0.88175000000000003</c:v>
                </c:pt>
                <c:pt idx="32">
                  <c:v>0.87588999999999995</c:v>
                </c:pt>
                <c:pt idx="33">
                  <c:v>0.87441999999999998</c:v>
                </c:pt>
                <c:pt idx="34">
                  <c:v>0.87183999999999995</c:v>
                </c:pt>
                <c:pt idx="35">
                  <c:v>0.86736999999999997</c:v>
                </c:pt>
                <c:pt idx="36">
                  <c:v>0.86480000000000001</c:v>
                </c:pt>
                <c:pt idx="37">
                  <c:v>0.86187000000000002</c:v>
                </c:pt>
                <c:pt idx="38">
                  <c:v>0.86184000000000005</c:v>
                </c:pt>
                <c:pt idx="39">
                  <c:v>0.86162000000000005</c:v>
                </c:pt>
                <c:pt idx="40">
                  <c:v>0.85758999999999996</c:v>
                </c:pt>
                <c:pt idx="41">
                  <c:v>0.85733000000000004</c:v>
                </c:pt>
                <c:pt idx="42">
                  <c:v>0.85324999999999995</c:v>
                </c:pt>
                <c:pt idx="43">
                  <c:v>0.85284000000000004</c:v>
                </c:pt>
                <c:pt idx="44">
                  <c:v>0.84658</c:v>
                </c:pt>
                <c:pt idx="45">
                  <c:v>0.84569000000000005</c:v>
                </c:pt>
                <c:pt idx="46">
                  <c:v>0.84516000000000002</c:v>
                </c:pt>
                <c:pt idx="47">
                  <c:v>0.84216999999999997</c:v>
                </c:pt>
                <c:pt idx="48">
                  <c:v>0.84153</c:v>
                </c:pt>
                <c:pt idx="49">
                  <c:v>0.84026000000000001</c:v>
                </c:pt>
                <c:pt idx="50">
                  <c:v>0.83557000000000003</c:v>
                </c:pt>
                <c:pt idx="51">
                  <c:v>0.83509999999999995</c:v>
                </c:pt>
                <c:pt idx="52">
                  <c:v>0.82438</c:v>
                </c:pt>
                <c:pt idx="53">
                  <c:v>0.82394000000000001</c:v>
                </c:pt>
                <c:pt idx="54">
                  <c:v>0.81452999999999998</c:v>
                </c:pt>
                <c:pt idx="55">
                  <c:v>0.81211999999999995</c:v>
                </c:pt>
                <c:pt idx="56">
                  <c:v>0.81113999999999997</c:v>
                </c:pt>
                <c:pt idx="57">
                  <c:v>0.80700000000000005</c:v>
                </c:pt>
                <c:pt idx="58">
                  <c:v>0.80430000000000001</c:v>
                </c:pt>
                <c:pt idx="59">
                  <c:v>0.80213999999999996</c:v>
                </c:pt>
                <c:pt idx="60">
                  <c:v>0.80088999999999999</c:v>
                </c:pt>
                <c:pt idx="61">
                  <c:v>0.8</c:v>
                </c:pt>
                <c:pt idx="62">
                  <c:v>0.79990000000000006</c:v>
                </c:pt>
                <c:pt idx="63">
                  <c:v>0.79910999999999999</c:v>
                </c:pt>
                <c:pt idx="64">
                  <c:v>0.78498999999999997</c:v>
                </c:pt>
                <c:pt idx="65">
                  <c:v>0.78120000000000001</c:v>
                </c:pt>
                <c:pt idx="66">
                  <c:v>0.77997000000000005</c:v>
                </c:pt>
                <c:pt idx="67">
                  <c:v>0.77929999999999999</c:v>
                </c:pt>
                <c:pt idx="68">
                  <c:v>0.77922999999999998</c:v>
                </c:pt>
                <c:pt idx="69">
                  <c:v>0.77195000000000003</c:v>
                </c:pt>
                <c:pt idx="70">
                  <c:v>0.77092000000000005</c:v>
                </c:pt>
                <c:pt idx="71">
                  <c:v>0.76363999999999999</c:v>
                </c:pt>
                <c:pt idx="72">
                  <c:v>0.76212000000000002</c:v>
                </c:pt>
                <c:pt idx="73">
                  <c:v>0.76073000000000002</c:v>
                </c:pt>
                <c:pt idx="74">
                  <c:v>0.75536000000000003</c:v>
                </c:pt>
                <c:pt idx="75">
                  <c:v>0.75061</c:v>
                </c:pt>
                <c:pt idx="76">
                  <c:v>0.74448999999999999</c:v>
                </c:pt>
                <c:pt idx="77">
                  <c:v>0.73160000000000003</c:v>
                </c:pt>
                <c:pt idx="78">
                  <c:v>0.72980999999999996</c:v>
                </c:pt>
                <c:pt idx="79">
                  <c:v>0.72506999999999999</c:v>
                </c:pt>
                <c:pt idx="80">
                  <c:v>0.72111000000000003</c:v>
                </c:pt>
                <c:pt idx="81">
                  <c:v>0.71747000000000005</c:v>
                </c:pt>
                <c:pt idx="82">
                  <c:v>0.71433999999999997</c:v>
                </c:pt>
                <c:pt idx="83">
                  <c:v>0.70704</c:v>
                </c:pt>
                <c:pt idx="84">
                  <c:v>0.70126999999999995</c:v>
                </c:pt>
                <c:pt idx="85">
                  <c:v>0.69725999999999999</c:v>
                </c:pt>
                <c:pt idx="86">
                  <c:v>0.69347999999999999</c:v>
                </c:pt>
                <c:pt idx="87">
                  <c:v>0.68930999999999998</c:v>
                </c:pt>
                <c:pt idx="88">
                  <c:v>0.68493000000000004</c:v>
                </c:pt>
                <c:pt idx="89">
                  <c:v>0.68411</c:v>
                </c:pt>
                <c:pt idx="90">
                  <c:v>0.68149999999999999</c:v>
                </c:pt>
                <c:pt idx="91">
                  <c:v>0.67732999999999999</c:v>
                </c:pt>
                <c:pt idx="92">
                  <c:v>0.67544000000000004</c:v>
                </c:pt>
                <c:pt idx="93">
                  <c:v>0.67452999999999996</c:v>
                </c:pt>
                <c:pt idx="94">
                  <c:v>0.66993999999999998</c:v>
                </c:pt>
                <c:pt idx="95">
                  <c:v>0.66776999999999997</c:v>
                </c:pt>
                <c:pt idx="96">
                  <c:v>0.66776000000000002</c:v>
                </c:pt>
                <c:pt idx="97">
                  <c:v>0.66668000000000005</c:v>
                </c:pt>
                <c:pt idx="98">
                  <c:v>0.66508</c:v>
                </c:pt>
                <c:pt idx="99">
                  <c:v>0.65695999999999999</c:v>
                </c:pt>
                <c:pt idx="100">
                  <c:v>0.65639000000000003</c:v>
                </c:pt>
                <c:pt idx="101">
                  <c:v>0.65508999999999995</c:v>
                </c:pt>
                <c:pt idx="102">
                  <c:v>0.65110000000000001</c:v>
                </c:pt>
                <c:pt idx="103">
                  <c:v>0.64576999999999996</c:v>
                </c:pt>
                <c:pt idx="104">
                  <c:v>0.64281999999999995</c:v>
                </c:pt>
                <c:pt idx="105">
                  <c:v>0.63654999999999995</c:v>
                </c:pt>
                <c:pt idx="106">
                  <c:v>0.63292999999999999</c:v>
                </c:pt>
                <c:pt idx="107">
                  <c:v>0.63168999999999997</c:v>
                </c:pt>
                <c:pt idx="108">
                  <c:v>0.63139999999999996</c:v>
                </c:pt>
                <c:pt idx="109">
                  <c:v>0.63053999999999999</c:v>
                </c:pt>
                <c:pt idx="110">
                  <c:v>0.62378</c:v>
                </c:pt>
                <c:pt idx="111">
                  <c:v>0.61177999999999999</c:v>
                </c:pt>
                <c:pt idx="112">
                  <c:v>0.60811999999999999</c:v>
                </c:pt>
                <c:pt idx="113">
                  <c:v>0.60074000000000005</c:v>
                </c:pt>
                <c:pt idx="114">
                  <c:v>0.5988</c:v>
                </c:pt>
                <c:pt idx="115">
                  <c:v>0.59555999999999998</c:v>
                </c:pt>
                <c:pt idx="116">
                  <c:v>0.58762000000000003</c:v>
                </c:pt>
                <c:pt idx="117">
                  <c:v>0.57992999999999995</c:v>
                </c:pt>
                <c:pt idx="118">
                  <c:v>0.57813000000000003</c:v>
                </c:pt>
                <c:pt idx="119">
                  <c:v>0.57535999999999998</c:v>
                </c:pt>
                <c:pt idx="120">
                  <c:v>0.57408000000000003</c:v>
                </c:pt>
                <c:pt idx="121">
                  <c:v>0.57382999999999995</c:v>
                </c:pt>
                <c:pt idx="122">
                  <c:v>0.56054999999999999</c:v>
                </c:pt>
                <c:pt idx="123">
                  <c:v>0.55867999999999995</c:v>
                </c:pt>
                <c:pt idx="124">
                  <c:v>0.54661999999999999</c:v>
                </c:pt>
                <c:pt idx="125">
                  <c:v>0.54490000000000005</c:v>
                </c:pt>
                <c:pt idx="126">
                  <c:v>0.54452</c:v>
                </c:pt>
                <c:pt idx="127">
                  <c:v>0.54432000000000003</c:v>
                </c:pt>
                <c:pt idx="128">
                  <c:v>0.54271000000000003</c:v>
                </c:pt>
                <c:pt idx="129">
                  <c:v>0.54237000000000002</c:v>
                </c:pt>
                <c:pt idx="130">
                  <c:v>0.53603000000000001</c:v>
                </c:pt>
                <c:pt idx="131">
                  <c:v>0.53181</c:v>
                </c:pt>
                <c:pt idx="132">
                  <c:v>0.52546999999999999</c:v>
                </c:pt>
                <c:pt idx="133">
                  <c:v>0.51639000000000002</c:v>
                </c:pt>
                <c:pt idx="134">
                  <c:v>0.51624999999999999</c:v>
                </c:pt>
                <c:pt idx="135">
                  <c:v>0.50954999999999995</c:v>
                </c:pt>
                <c:pt idx="136">
                  <c:v>0.50724000000000002</c:v>
                </c:pt>
                <c:pt idx="137">
                  <c:v>0.50007000000000001</c:v>
                </c:pt>
                <c:pt idx="138">
                  <c:v>0.49214000000000002</c:v>
                </c:pt>
                <c:pt idx="139">
                  <c:v>0.4899</c:v>
                </c:pt>
                <c:pt idx="140">
                  <c:v>0.48719000000000001</c:v>
                </c:pt>
                <c:pt idx="141">
                  <c:v>0.48559000000000002</c:v>
                </c:pt>
                <c:pt idx="142">
                  <c:v>0.48229</c:v>
                </c:pt>
                <c:pt idx="143">
                  <c:v>0.48146</c:v>
                </c:pt>
                <c:pt idx="144">
                  <c:v>0.47569</c:v>
                </c:pt>
                <c:pt idx="145">
                  <c:v>0.45778999999999997</c:v>
                </c:pt>
                <c:pt idx="146">
                  <c:v>0.45723000000000003</c:v>
                </c:pt>
                <c:pt idx="147">
                  <c:v>0.45721000000000001</c:v>
                </c:pt>
                <c:pt idx="148">
                  <c:v>0.44807000000000002</c:v>
                </c:pt>
                <c:pt idx="149">
                  <c:v>0.44635999999999998</c:v>
                </c:pt>
                <c:pt idx="150">
                  <c:v>0.44544</c:v>
                </c:pt>
                <c:pt idx="151">
                  <c:v>0.44037999999999999</c:v>
                </c:pt>
                <c:pt idx="152">
                  <c:v>0.43271999999999999</c:v>
                </c:pt>
                <c:pt idx="153">
                  <c:v>0.43078</c:v>
                </c:pt>
                <c:pt idx="154">
                  <c:v>0.42935000000000001</c:v>
                </c:pt>
                <c:pt idx="155">
                  <c:v>0.41487000000000002</c:v>
                </c:pt>
                <c:pt idx="156">
                  <c:v>0.41228999999999999</c:v>
                </c:pt>
                <c:pt idx="157">
                  <c:v>0.40425</c:v>
                </c:pt>
                <c:pt idx="158">
                  <c:v>0.40201999999999999</c:v>
                </c:pt>
                <c:pt idx="159">
                  <c:v>0.40059</c:v>
                </c:pt>
                <c:pt idx="160">
                  <c:v>0.39198</c:v>
                </c:pt>
                <c:pt idx="161">
                  <c:v>0.38875999999999999</c:v>
                </c:pt>
                <c:pt idx="162">
                  <c:v>0.37534000000000001</c:v>
                </c:pt>
                <c:pt idx="163">
                  <c:v>0.36810999999999999</c:v>
                </c:pt>
                <c:pt idx="164">
                  <c:v>0.34911999999999999</c:v>
                </c:pt>
                <c:pt idx="165">
                  <c:v>0.33911999999999998</c:v>
                </c:pt>
                <c:pt idx="166">
                  <c:v>0.32351999999999997</c:v>
                </c:pt>
                <c:pt idx="167">
                  <c:v>0.32346000000000003</c:v>
                </c:pt>
                <c:pt idx="168">
                  <c:v>0.31108999999999998</c:v>
                </c:pt>
                <c:pt idx="169">
                  <c:v>0.30830999999999997</c:v>
                </c:pt>
                <c:pt idx="170">
                  <c:v>0.30756</c:v>
                </c:pt>
                <c:pt idx="171">
                  <c:v>0.30421999999999999</c:v>
                </c:pt>
                <c:pt idx="172">
                  <c:v>0.30053000000000002</c:v>
                </c:pt>
                <c:pt idx="173">
                  <c:v>0.29104999999999998</c:v>
                </c:pt>
                <c:pt idx="174">
                  <c:v>0.28946</c:v>
                </c:pt>
                <c:pt idx="175">
                  <c:v>0.28554000000000002</c:v>
                </c:pt>
                <c:pt idx="176">
                  <c:v>0.28476000000000001</c:v>
                </c:pt>
                <c:pt idx="177">
                  <c:v>0.27594000000000002</c:v>
                </c:pt>
                <c:pt idx="178">
                  <c:v>0.27149000000000001</c:v>
                </c:pt>
                <c:pt idx="179">
                  <c:v>0.25862000000000002</c:v>
                </c:pt>
                <c:pt idx="180">
                  <c:v>0.25517000000000001</c:v>
                </c:pt>
                <c:pt idx="181">
                  <c:v>0.25133</c:v>
                </c:pt>
                <c:pt idx="182">
                  <c:v>0.24804999999999999</c:v>
                </c:pt>
                <c:pt idx="183">
                  <c:v>0.23200999999999999</c:v>
                </c:pt>
                <c:pt idx="184">
                  <c:v>0.23175000000000001</c:v>
                </c:pt>
                <c:pt idx="185">
                  <c:v>0.21165</c:v>
                </c:pt>
                <c:pt idx="186">
                  <c:v>0.21157000000000001</c:v>
                </c:pt>
                <c:pt idx="187">
                  <c:v>0.20827000000000001</c:v>
                </c:pt>
                <c:pt idx="188">
                  <c:v>0.17852999999999999</c:v>
                </c:pt>
                <c:pt idx="189">
                  <c:v>0.15762000000000001</c:v>
                </c:pt>
                <c:pt idx="190">
                  <c:v>0.14677000000000001</c:v>
                </c:pt>
                <c:pt idx="191">
                  <c:v>0.11907</c:v>
                </c:pt>
                <c:pt idx="192">
                  <c:v>9.4700000000000006E-2</c:v>
                </c:pt>
              </c:numCache>
            </c:numRef>
          </c:yVal>
          <c:bubbleSize>
            <c:numRef>
              <c:f>PPP!$E$2:$E$239</c:f>
              <c:numCache>
                <c:formatCode>General</c:formatCode>
                <c:ptCount val="238"/>
                <c:pt idx="0">
                  <c:v>5.9</c:v>
                </c:pt>
                <c:pt idx="1">
                  <c:v>1.3</c:v>
                </c:pt>
                <c:pt idx="2">
                  <c:v>5.6</c:v>
                </c:pt>
                <c:pt idx="3">
                  <c:v>51.8</c:v>
                </c:pt>
                <c:pt idx="4">
                  <c:v>0.4</c:v>
                </c:pt>
                <c:pt idx="5">
                  <c:v>35.799999999999997</c:v>
                </c:pt>
                <c:pt idx="6">
                  <c:v>67.3</c:v>
                </c:pt>
                <c:pt idx="7">
                  <c:v>25.7</c:v>
                </c:pt>
                <c:pt idx="8">
                  <c:v>5.5</c:v>
                </c:pt>
                <c:pt idx="9">
                  <c:v>17.5</c:v>
                </c:pt>
                <c:pt idx="10">
                  <c:v>9.3000000000000007</c:v>
                </c:pt>
                <c:pt idx="11">
                  <c:v>83.2</c:v>
                </c:pt>
                <c:pt idx="12">
                  <c:v>125.1</c:v>
                </c:pt>
                <c:pt idx="13">
                  <c:v>10.4</c:v>
                </c:pt>
                <c:pt idx="14">
                  <c:v>5.4</c:v>
                </c:pt>
                <c:pt idx="15">
                  <c:v>5.0999999999999996</c:v>
                </c:pt>
                <c:pt idx="16">
                  <c:v>47.4</c:v>
                </c:pt>
                <c:pt idx="17">
                  <c:v>1.5</c:v>
                </c:pt>
                <c:pt idx="18">
                  <c:v>333.3</c:v>
                </c:pt>
                <c:pt idx="19">
                  <c:v>5</c:v>
                </c:pt>
                <c:pt idx="20">
                  <c:v>2.8</c:v>
                </c:pt>
                <c:pt idx="21">
                  <c:v>9</c:v>
                </c:pt>
                <c:pt idx="22">
                  <c:v>9.3000000000000007</c:v>
                </c:pt>
                <c:pt idx="23">
                  <c:v>19.399999999999999</c:v>
                </c:pt>
                <c:pt idx="24">
                  <c:v>3.5</c:v>
                </c:pt>
                <c:pt idx="25">
                  <c:v>8.6999999999999993</c:v>
                </c:pt>
                <c:pt idx="26">
                  <c:v>85.3</c:v>
                </c:pt>
                <c:pt idx="27">
                  <c:v>0.5</c:v>
                </c:pt>
                <c:pt idx="28">
                  <c:v>1.8</c:v>
                </c:pt>
                <c:pt idx="29">
                  <c:v>41.2</c:v>
                </c:pt>
                <c:pt idx="30">
                  <c:v>19.5</c:v>
                </c:pt>
                <c:pt idx="31">
                  <c:v>3.9</c:v>
                </c:pt>
                <c:pt idx="32">
                  <c:v>2.1</c:v>
                </c:pt>
                <c:pt idx="33">
                  <c:v>67.8</c:v>
                </c:pt>
                <c:pt idx="34">
                  <c:v>1412.2</c:v>
                </c:pt>
                <c:pt idx="35">
                  <c:v>10.4</c:v>
                </c:pt>
                <c:pt idx="36">
                  <c:v>37.799999999999997</c:v>
                </c:pt>
                <c:pt idx="37">
                  <c:v>1.2</c:v>
                </c:pt>
                <c:pt idx="38">
                  <c:v>6.7</c:v>
                </c:pt>
                <c:pt idx="39">
                  <c:v>60</c:v>
                </c:pt>
                <c:pt idx="40">
                  <c:v>4.5</c:v>
                </c:pt>
                <c:pt idx="41">
                  <c:v>45.8</c:v>
                </c:pt>
                <c:pt idx="42">
                  <c:v>143.6</c:v>
                </c:pt>
                <c:pt idx="43">
                  <c:v>0.04</c:v>
                </c:pt>
                <c:pt idx="44">
                  <c:v>0.6</c:v>
                </c:pt>
                <c:pt idx="45">
                  <c:v>3.4</c:v>
                </c:pt>
                <c:pt idx="46">
                  <c:v>38.200000000000003</c:v>
                </c:pt>
                <c:pt idx="47">
                  <c:v>2.8</c:v>
                </c:pt>
                <c:pt idx="48">
                  <c:v>10.3</c:v>
                </c:pt>
                <c:pt idx="49">
                  <c:v>215.3</c:v>
                </c:pt>
                <c:pt idx="50">
                  <c:v>59</c:v>
                </c:pt>
                <c:pt idx="51">
                  <c:v>71.7</c:v>
                </c:pt>
                <c:pt idx="52">
                  <c:v>2.9</c:v>
                </c:pt>
                <c:pt idx="53">
                  <c:v>10.7</c:v>
                </c:pt>
                <c:pt idx="54">
                  <c:v>6.5</c:v>
                </c:pt>
                <c:pt idx="55">
                  <c:v>11.7</c:v>
                </c:pt>
                <c:pt idx="56">
                  <c:v>33.6</c:v>
                </c:pt>
                <c:pt idx="57">
                  <c:v>33.700000000000003</c:v>
                </c:pt>
                <c:pt idx="58">
                  <c:v>9.6</c:v>
                </c:pt>
                <c:pt idx="59">
                  <c:v>5.4</c:v>
                </c:pt>
                <c:pt idx="60">
                  <c:v>5.2</c:v>
                </c:pt>
                <c:pt idx="61">
                  <c:v>2.8</c:v>
                </c:pt>
                <c:pt idx="62">
                  <c:v>35.299999999999997</c:v>
                </c:pt>
                <c:pt idx="63">
                  <c:v>275.5</c:v>
                </c:pt>
                <c:pt idx="64">
                  <c:v>127.5</c:v>
                </c:pt>
                <c:pt idx="65">
                  <c:v>4.3</c:v>
                </c:pt>
                <c:pt idx="66">
                  <c:v>18.100000000000001</c:v>
                </c:pt>
                <c:pt idx="67">
                  <c:v>51.5</c:v>
                </c:pt>
                <c:pt idx="68">
                  <c:v>3.7</c:v>
                </c:pt>
                <c:pt idx="69">
                  <c:v>2.6</c:v>
                </c:pt>
                <c:pt idx="70">
                  <c:v>98.2</c:v>
                </c:pt>
                <c:pt idx="71">
                  <c:v>19</c:v>
                </c:pt>
                <c:pt idx="72">
                  <c:v>115.6</c:v>
                </c:pt>
                <c:pt idx="73">
                  <c:v>10.199999999999999</c:v>
                </c:pt>
                <c:pt idx="74">
                  <c:v>0.4</c:v>
                </c:pt>
                <c:pt idx="75">
                  <c:v>1.3</c:v>
                </c:pt>
                <c:pt idx="76">
                  <c:v>9.3000000000000007</c:v>
                </c:pt>
                <c:pt idx="77">
                  <c:v>6.7</c:v>
                </c:pt>
                <c:pt idx="78">
                  <c:v>4.4000000000000004</c:v>
                </c:pt>
                <c:pt idx="79">
                  <c:v>7.3</c:v>
                </c:pt>
                <c:pt idx="80">
                  <c:v>0.6</c:v>
                </c:pt>
                <c:pt idx="81">
                  <c:v>0.04</c:v>
                </c:pt>
                <c:pt idx="82">
                  <c:v>0.4</c:v>
                </c:pt>
                <c:pt idx="83">
                  <c:v>2.1</c:v>
                </c:pt>
                <c:pt idx="84">
                  <c:v>10.8</c:v>
                </c:pt>
                <c:pt idx="85">
                  <c:v>1.4</c:v>
                </c:pt>
                <c:pt idx="86">
                  <c:v>12.3</c:v>
                </c:pt>
                <c:pt idx="87">
                  <c:v>0.08</c:v>
                </c:pt>
                <c:pt idx="88">
                  <c:v>11.1</c:v>
                </c:pt>
                <c:pt idx="89">
                  <c:v>37.799999999999997</c:v>
                </c:pt>
                <c:pt idx="90">
                  <c:v>0.3</c:v>
                </c:pt>
                <c:pt idx="91">
                  <c:v>0.1</c:v>
                </c:pt>
                <c:pt idx="92">
                  <c:v>0.9</c:v>
                </c:pt>
                <c:pt idx="93">
                  <c:v>0.5</c:v>
                </c:pt>
                <c:pt idx="94">
                  <c:v>110.9</c:v>
                </c:pt>
                <c:pt idx="95">
                  <c:v>2.8</c:v>
                </c:pt>
                <c:pt idx="96">
                  <c:v>1417.2</c:v>
                </c:pt>
                <c:pt idx="97">
                  <c:v>21.5</c:v>
                </c:pt>
                <c:pt idx="98">
                  <c:v>12.1</c:v>
                </c:pt>
                <c:pt idx="99">
                  <c:v>171.2</c:v>
                </c:pt>
                <c:pt idx="100">
                  <c:v>88.6</c:v>
                </c:pt>
                <c:pt idx="101">
                  <c:v>0.03</c:v>
                </c:pt>
                <c:pt idx="102">
                  <c:v>0.8</c:v>
                </c:pt>
                <c:pt idx="103">
                  <c:v>0.1</c:v>
                </c:pt>
                <c:pt idx="104">
                  <c:v>0.1</c:v>
                </c:pt>
                <c:pt idx="105">
                  <c:v>0.6</c:v>
                </c:pt>
                <c:pt idx="106">
                  <c:v>3.2</c:v>
                </c:pt>
                <c:pt idx="107">
                  <c:v>32.799999999999997</c:v>
                </c:pt>
                <c:pt idx="108">
                  <c:v>54</c:v>
                </c:pt>
                <c:pt idx="109">
                  <c:v>0.05</c:v>
                </c:pt>
                <c:pt idx="110">
                  <c:v>0.6</c:v>
                </c:pt>
                <c:pt idx="111">
                  <c:v>2.4</c:v>
                </c:pt>
                <c:pt idx="112">
                  <c:v>1.2</c:v>
                </c:pt>
                <c:pt idx="113">
                  <c:v>2.5</c:v>
                </c:pt>
                <c:pt idx="114">
                  <c:v>6.5</c:v>
                </c:pt>
                <c:pt idx="115">
                  <c:v>46.2</c:v>
                </c:pt>
                <c:pt idx="116">
                  <c:v>0.1</c:v>
                </c:pt>
                <c:pt idx="117">
                  <c:v>13.5</c:v>
                </c:pt>
                <c:pt idx="118">
                  <c:v>30</c:v>
                </c:pt>
                <c:pt idx="119">
                  <c:v>16.899999999999999</c:v>
                </c:pt>
                <c:pt idx="120">
                  <c:v>2.2999999999999998</c:v>
                </c:pt>
                <c:pt idx="121">
                  <c:v>18.100000000000001</c:v>
                </c:pt>
                <c:pt idx="122">
                  <c:v>10</c:v>
                </c:pt>
                <c:pt idx="123">
                  <c:v>29.4</c:v>
                </c:pt>
                <c:pt idx="124">
                  <c:v>6.9</c:v>
                </c:pt>
                <c:pt idx="125">
                  <c:v>5.3</c:v>
                </c:pt>
                <c:pt idx="126">
                  <c:v>7.0000000000000007E-2</c:v>
                </c:pt>
                <c:pt idx="127">
                  <c:v>0.8</c:v>
                </c:pt>
                <c:pt idx="128">
                  <c:v>0.3</c:v>
                </c:pt>
                <c:pt idx="129">
                  <c:v>19.600000000000001</c:v>
                </c:pt>
                <c:pt idx="130">
                  <c:v>28.2</c:v>
                </c:pt>
                <c:pt idx="131">
                  <c:v>7</c:v>
                </c:pt>
                <c:pt idx="132">
                  <c:v>0.2</c:v>
                </c:pt>
                <c:pt idx="133">
                  <c:v>0.1</c:v>
                </c:pt>
                <c:pt idx="134">
                  <c:v>17.899999999999999</c:v>
                </c:pt>
                <c:pt idx="135">
                  <c:v>235.8</c:v>
                </c:pt>
                <c:pt idx="136">
                  <c:v>0.02</c:v>
                </c:pt>
                <c:pt idx="137">
                  <c:v>54.2</c:v>
                </c:pt>
                <c:pt idx="138">
                  <c:v>11.1</c:v>
                </c:pt>
                <c:pt idx="139">
                  <c:v>0.2</c:v>
                </c:pt>
                <c:pt idx="140">
                  <c:v>0.4</c:v>
                </c:pt>
                <c:pt idx="141">
                  <c:v>10.3</c:v>
                </c:pt>
                <c:pt idx="142">
                  <c:v>0.06</c:v>
                </c:pt>
                <c:pt idx="143">
                  <c:v>218.5</c:v>
                </c:pt>
                <c:pt idx="144">
                  <c:v>6.3</c:v>
                </c:pt>
                <c:pt idx="145">
                  <c:v>13.7</c:v>
                </c:pt>
                <c:pt idx="146">
                  <c:v>0.1</c:v>
                </c:pt>
                <c:pt idx="147">
                  <c:v>44.5</c:v>
                </c:pt>
                <c:pt idx="148">
                  <c:v>16</c:v>
                </c:pt>
                <c:pt idx="149">
                  <c:v>45.9</c:v>
                </c:pt>
                <c:pt idx="150">
                  <c:v>0.01</c:v>
                </c:pt>
                <c:pt idx="151">
                  <c:v>7.5</c:v>
                </c:pt>
                <c:pt idx="152">
                  <c:v>63.6</c:v>
                </c:pt>
                <c:pt idx="153">
                  <c:v>0.2</c:v>
                </c:pt>
                <c:pt idx="154">
                  <c:v>27.2</c:v>
                </c:pt>
                <c:pt idx="155">
                  <c:v>35.6</c:v>
                </c:pt>
                <c:pt idx="156">
                  <c:v>2.2000000000000002</c:v>
                </c:pt>
                <c:pt idx="157">
                  <c:v>0.01</c:v>
                </c:pt>
                <c:pt idx="158">
                  <c:v>1.3</c:v>
                </c:pt>
                <c:pt idx="159">
                  <c:v>13.5</c:v>
                </c:pt>
                <c:pt idx="160">
                  <c:v>8.5</c:v>
                </c:pt>
                <c:pt idx="161">
                  <c:v>22.1</c:v>
                </c:pt>
                <c:pt idx="162">
                  <c:v>20</c:v>
                </c:pt>
                <c:pt idx="163">
                  <c:v>0.7</c:v>
                </c:pt>
                <c:pt idx="164">
                  <c:v>5</c:v>
                </c:pt>
                <c:pt idx="165">
                  <c:v>5.8</c:v>
                </c:pt>
                <c:pt idx="166">
                  <c:v>0.1</c:v>
                </c:pt>
                <c:pt idx="167">
                  <c:v>29.1</c:v>
                </c:pt>
                <c:pt idx="168">
                  <c:v>123.4</c:v>
                </c:pt>
                <c:pt idx="169">
                  <c:v>2.1</c:v>
                </c:pt>
                <c:pt idx="170">
                  <c:v>10.9</c:v>
                </c:pt>
                <c:pt idx="171">
                  <c:v>8.6999999999999993</c:v>
                </c:pt>
                <c:pt idx="172">
                  <c:v>23.3</c:v>
                </c:pt>
                <c:pt idx="173">
                  <c:v>1.1000000000000001</c:v>
                </c:pt>
                <c:pt idx="174">
                  <c:v>23.3</c:v>
                </c:pt>
                <c:pt idx="175">
                  <c:v>1.7</c:v>
                </c:pt>
                <c:pt idx="176">
                  <c:v>33.9</c:v>
                </c:pt>
                <c:pt idx="177">
                  <c:v>48.1</c:v>
                </c:pt>
                <c:pt idx="178">
                  <c:v>102.3</c:v>
                </c:pt>
                <c:pt idx="179">
                  <c:v>0.9</c:v>
                </c:pt>
                <c:pt idx="180">
                  <c:v>2.8</c:v>
                </c:pt>
                <c:pt idx="181">
                  <c:v>5.4</c:v>
                </c:pt>
                <c:pt idx="182">
                  <c:v>12.9</c:v>
                </c:pt>
                <c:pt idx="183">
                  <c:v>26.1</c:v>
                </c:pt>
                <c:pt idx="184">
                  <c:v>34.4</c:v>
                </c:pt>
                <c:pt idx="185">
                  <c:v>11.7</c:v>
                </c:pt>
                <c:pt idx="186">
                  <c:v>27.2</c:v>
                </c:pt>
                <c:pt idx="187">
                  <c:v>41.1</c:v>
                </c:pt>
                <c:pt idx="188">
                  <c:v>17.8</c:v>
                </c:pt>
                <c:pt idx="189">
                  <c:v>3.7</c:v>
                </c:pt>
                <c:pt idx="190">
                  <c:v>17.600000000000001</c:v>
                </c:pt>
                <c:pt idx="191">
                  <c:v>10.9</c:v>
                </c:pt>
                <c:pt idx="192">
                  <c:v>5.5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PPP!$A$2:$A$194</c15:f>
                <c15:dlblRangeCache>
                  <c:ptCount val="193"/>
                  <c:pt idx="0">
                    <c:v>Denmark</c:v>
                  </c:pt>
                  <c:pt idx="1">
                    <c:v>Estonia</c:v>
                  </c:pt>
                  <c:pt idx="2">
                    <c:v>Singapore</c:v>
                  </c:pt>
                  <c:pt idx="3">
                    <c:v>South Korea</c:v>
                  </c:pt>
                  <c:pt idx="4">
                    <c:v>Iceland</c:v>
                  </c:pt>
                  <c:pt idx="5">
                    <c:v>Saudi Arabia</c:v>
                  </c:pt>
                  <c:pt idx="6">
                    <c:v>U.K.</c:v>
                  </c:pt>
                  <c:pt idx="7">
                    <c:v>Australia</c:v>
                  </c:pt>
                  <c:pt idx="9">
                    <c:v>Netherlands</c:v>
                  </c:pt>
                  <c:pt idx="10">
                    <c:v>U.A.E.</c:v>
                  </c:pt>
                  <c:pt idx="11">
                    <c:v>Germany</c:v>
                  </c:pt>
                  <c:pt idx="12">
                    <c:v>Japan</c:v>
                  </c:pt>
                  <c:pt idx="16">
                    <c:v>Spain</c:v>
                  </c:pt>
                  <c:pt idx="18">
                    <c:v>U.S.A.</c:v>
                  </c:pt>
                  <c:pt idx="19">
                    <c:v>Ireland</c:v>
                  </c:pt>
                  <c:pt idx="23">
                    <c:v>Kazakhstan</c:v>
                  </c:pt>
                  <c:pt idx="26">
                    <c:v>Turkiye</c:v>
                  </c:pt>
                  <c:pt idx="29">
                    <c:v>Ukraine</c:v>
                  </c:pt>
                  <c:pt idx="30">
                    <c:v>Chile</c:v>
                  </c:pt>
                  <c:pt idx="33">
                    <c:v>France</c:v>
                  </c:pt>
                  <c:pt idx="34">
                    <c:v>China</c:v>
                  </c:pt>
                  <c:pt idx="36">
                    <c:v>Poland</c:v>
                  </c:pt>
                  <c:pt idx="39">
                    <c:v>South Africa</c:v>
                  </c:pt>
                  <c:pt idx="41">
                    <c:v>Argentina</c:v>
                  </c:pt>
                  <c:pt idx="42">
                    <c:v>Russia</c:v>
                  </c:pt>
                  <c:pt idx="46">
                    <c:v>Canada</c:v>
                  </c:pt>
                  <c:pt idx="49">
                    <c:v>Brazil</c:v>
                  </c:pt>
                  <c:pt idx="50">
                    <c:v>Italy</c:v>
                  </c:pt>
                  <c:pt idx="51">
                    <c:v>Thailand</c:v>
                  </c:pt>
                  <c:pt idx="56">
                    <c:v>Malaysia</c:v>
                  </c:pt>
                  <c:pt idx="57">
                    <c:v>Peru</c:v>
                  </c:pt>
                  <c:pt idx="62">
                    <c:v>Uzbekistan</c:v>
                  </c:pt>
                  <c:pt idx="63">
                    <c:v>Indonesia</c:v>
                  </c:pt>
                  <c:pt idx="64">
                    <c:v>Mexico</c:v>
                  </c:pt>
                  <c:pt idx="66">
                    <c:v>Ecuador</c:v>
                  </c:pt>
                  <c:pt idx="67">
                    <c:v>Colombia</c:v>
                  </c:pt>
                  <c:pt idx="70">
                    <c:v>Vietnam</c:v>
                  </c:pt>
                  <c:pt idx="71">
                    <c:v>Romania</c:v>
                  </c:pt>
                  <c:pt idx="72">
                    <c:v>Philippines</c:v>
                  </c:pt>
                  <c:pt idx="89">
                    <c:v>Morocco</c:v>
                  </c:pt>
                  <c:pt idx="94">
                    <c:v>Egypt</c:v>
                  </c:pt>
                  <c:pt idx="96">
                    <c:v>India</c:v>
                  </c:pt>
                  <c:pt idx="97">
                    <c:v>Sri Lanka</c:v>
                  </c:pt>
                  <c:pt idx="99">
                    <c:v>Bangladesh</c:v>
                  </c:pt>
                  <c:pt idx="100">
                    <c:v>Iran</c:v>
                  </c:pt>
                  <c:pt idx="107">
                    <c:v>Ghana</c:v>
                  </c:pt>
                  <c:pt idx="108">
                    <c:v>Kenya</c:v>
                  </c:pt>
                  <c:pt idx="115">
                    <c:v>Algeria</c:v>
                  </c:pt>
                  <c:pt idx="117">
                    <c:v>Rwanda</c:v>
                  </c:pt>
                  <c:pt idx="118">
                    <c:v>Nepal</c:v>
                  </c:pt>
                  <c:pt idx="119">
                    <c:v>Cambodia</c:v>
                  </c:pt>
                  <c:pt idx="121">
                    <c:v>Guatemala</c:v>
                  </c:pt>
                  <c:pt idx="123">
                    <c:v>Côte d'Ivoire</c:v>
                  </c:pt>
                  <c:pt idx="129">
                    <c:v>Zambia</c:v>
                  </c:pt>
                  <c:pt idx="130">
                    <c:v>Venezuela</c:v>
                  </c:pt>
                  <c:pt idx="134">
                    <c:v>Senegal</c:v>
                  </c:pt>
                  <c:pt idx="135">
                    <c:v>Pakistan</c:v>
                  </c:pt>
                  <c:pt idx="137">
                    <c:v>Myanmar</c:v>
                  </c:pt>
                  <c:pt idx="143">
                    <c:v>Nigeria</c:v>
                  </c:pt>
                  <c:pt idx="147">
                    <c:v>Iraq</c:v>
                  </c:pt>
                  <c:pt idx="148">
                    <c:v>Zimbabwe</c:v>
                  </c:pt>
                  <c:pt idx="149">
                    <c:v>Uganda</c:v>
                  </c:pt>
                  <c:pt idx="152">
                    <c:v>Tanzania</c:v>
                  </c:pt>
                  <c:pt idx="154">
                    <c:v>Cameroon</c:v>
                  </c:pt>
                  <c:pt idx="155">
                    <c:v>Angola</c:v>
                  </c:pt>
                  <c:pt idx="161">
                    <c:v>Syria</c:v>
                  </c:pt>
                  <c:pt idx="162">
                    <c:v>Malawi</c:v>
                  </c:pt>
                  <c:pt idx="167">
                    <c:v>Madagascar</c:v>
                  </c:pt>
                  <c:pt idx="168">
                    <c:v>Ethiopia</c:v>
                  </c:pt>
                  <c:pt idx="172">
                    <c:v>Mali</c:v>
                  </c:pt>
                  <c:pt idx="174">
                    <c:v>Burkina Faso</c:v>
                  </c:pt>
                  <c:pt idx="176">
                    <c:v>Mozambique</c:v>
                  </c:pt>
                  <c:pt idx="177">
                    <c:v>Sudan</c:v>
                  </c:pt>
                  <c:pt idx="178">
                    <c:v>Democratic Republic of the Congo</c:v>
                  </c:pt>
                  <c:pt idx="183">
                    <c:v>North Korea</c:v>
                  </c:pt>
                  <c:pt idx="184">
                    <c:v>Yemen</c:v>
                  </c:pt>
                  <c:pt idx="186">
                    <c:v>Niger</c:v>
                  </c:pt>
                  <c:pt idx="187">
                    <c:v>Afghanistan</c:v>
                  </c:pt>
                  <c:pt idx="188">
                    <c:v>Chad</c:v>
                  </c:pt>
                  <c:pt idx="190">
                    <c:v>Somalia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7E1-244A-9314-406E074AD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23347552"/>
        <c:axId val="323349264"/>
      </c:bubbleChart>
      <c:valAx>
        <c:axId val="323347552"/>
        <c:scaling>
          <c:logBase val="10"/>
          <c:orientation val="minMax"/>
          <c:max val="150000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9264"/>
        <c:crosses val="autoZero"/>
        <c:crossBetween val="midCat"/>
        <c:majorUnit val="10"/>
        <c:minorUnit val="10"/>
      </c:valAx>
      <c:valAx>
        <c:axId val="323349264"/>
        <c:scaling>
          <c:orientation val="minMax"/>
          <c:max val="1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23347552"/>
        <c:crossesAt val="300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346809</xdr:colOff>
      <xdr:row>1</xdr:row>
      <xdr:rowOff>101600</xdr:rowOff>
    </xdr:from>
    <xdr:to>
      <xdr:col>12</xdr:col>
      <xdr:colOff>1612901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44964C-AF23-AA4C-A548-A6621D67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3D518-0FDB-9C4D-A62C-B8172FD256DA}">
  <sheetPr codeName="Sheet1">
    <tabColor rgb="FF002060"/>
  </sheetPr>
  <dimension ref="A1:V194"/>
  <sheetViews>
    <sheetView tabSelected="1" zoomScaleNormal="100" workbookViewId="0">
      <selection activeCell="C14" sqref="C14"/>
    </sheetView>
  </sheetViews>
  <sheetFormatPr baseColWidth="10" defaultRowHeight="16" x14ac:dyDescent="0.2"/>
  <cols>
    <col min="1" max="2" width="30.6640625" customWidth="1"/>
    <col min="3" max="7" width="20.6640625" customWidth="1"/>
    <col min="8" max="8" width="23" customWidth="1"/>
    <col min="11" max="11" width="23.33203125" customWidth="1"/>
    <col min="13" max="13" width="38.1640625" customWidth="1"/>
    <col min="14" max="14" width="24" customWidth="1"/>
    <col min="17" max="17" width="19.83203125" customWidth="1"/>
    <col min="18" max="18" width="17" customWidth="1"/>
    <col min="19" max="19" width="38.33203125" customWidth="1"/>
    <col min="20" max="20" width="18.83203125" customWidth="1"/>
    <col min="21" max="21" width="10.83203125" style="5"/>
  </cols>
  <sheetData>
    <row r="1" spans="1:22" x14ac:dyDescent="0.2">
      <c r="A1" s="1" t="s">
        <v>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2"/>
      <c r="H1" s="2" t="s">
        <v>0</v>
      </c>
      <c r="I1" s="2" t="s">
        <v>5</v>
      </c>
      <c r="J1" s="2"/>
      <c r="K1" s="2" t="s">
        <v>0</v>
      </c>
      <c r="L1" s="2" t="s">
        <v>6</v>
      </c>
      <c r="M1" s="2"/>
      <c r="N1" s="2" t="s">
        <v>0</v>
      </c>
      <c r="O1" s="2" t="s">
        <v>7</v>
      </c>
      <c r="P1" s="2"/>
      <c r="Q1" s="2" t="s">
        <v>0</v>
      </c>
      <c r="R1" s="2" t="s">
        <v>8</v>
      </c>
      <c r="S1" s="2"/>
      <c r="T1" s="3" t="s">
        <v>9</v>
      </c>
      <c r="U1" s="4" t="s">
        <v>10</v>
      </c>
      <c r="V1" s="3" t="s">
        <v>11</v>
      </c>
    </row>
    <row r="2" spans="1:22" x14ac:dyDescent="0.2">
      <c r="A2" t="s">
        <v>12</v>
      </c>
      <c r="B2" t="s">
        <v>12</v>
      </c>
      <c r="C2">
        <v>0.98473999999999995</v>
      </c>
      <c r="D2">
        <f>INDEX($U$2:$U$194, MATCH(B2,$T$2:$T$194,0))</f>
        <v>68300</v>
      </c>
      <c r="E2">
        <f>INDEX($V$2:$V$194, MATCH(B2,$T$2:$T$194,0))</f>
        <v>5.9</v>
      </c>
      <c r="F2">
        <f>INDEX($R$2:$R$194, MATCH(B2,$T$2:$T$194,0))</f>
        <v>1</v>
      </c>
      <c r="H2" t="s">
        <v>13</v>
      </c>
      <c r="I2">
        <v>1</v>
      </c>
      <c r="K2" t="s">
        <v>14</v>
      </c>
      <c r="L2">
        <v>1</v>
      </c>
      <c r="N2" t="s">
        <v>15</v>
      </c>
      <c r="O2">
        <v>1</v>
      </c>
      <c r="Q2" t="s">
        <v>16</v>
      </c>
      <c r="R2">
        <v>1</v>
      </c>
      <c r="T2" t="s">
        <v>12</v>
      </c>
      <c r="U2" s="5">
        <v>68300</v>
      </c>
      <c r="V2">
        <v>5.9</v>
      </c>
    </row>
    <row r="3" spans="1:22" x14ac:dyDescent="0.2">
      <c r="A3" t="s">
        <v>17</v>
      </c>
      <c r="B3" t="s">
        <v>17</v>
      </c>
      <c r="C3">
        <v>0.97274000000000005</v>
      </c>
      <c r="D3">
        <f t="shared" ref="D3:D66" si="0">INDEX($U$2:$U$194, MATCH(B3,$T$2:$T$194,0))</f>
        <v>38110</v>
      </c>
      <c r="E3">
        <f t="shared" ref="E3:E66" si="1">INDEX($V$2:$V$194, MATCH(B3,$T$2:$T$194,0))</f>
        <v>1.3</v>
      </c>
      <c r="F3">
        <f t="shared" ref="F3:F66" si="2">INDEX($R$2:$R$194, MATCH(B3,$T$2:$T$194,0))</f>
        <v>0.99883</v>
      </c>
      <c r="H3" t="s">
        <v>18</v>
      </c>
      <c r="I3">
        <v>0.98629999999999995</v>
      </c>
      <c r="K3" t="s">
        <v>19</v>
      </c>
      <c r="L3">
        <v>0.99924000000000002</v>
      </c>
      <c r="N3" t="s">
        <v>20</v>
      </c>
      <c r="O3">
        <v>0.99531000000000003</v>
      </c>
      <c r="Q3" t="s">
        <v>21</v>
      </c>
      <c r="R3">
        <v>0.99883</v>
      </c>
      <c r="T3" t="s">
        <v>17</v>
      </c>
      <c r="U3" s="5">
        <v>38110</v>
      </c>
      <c r="V3">
        <v>1.3</v>
      </c>
    </row>
    <row r="4" spans="1:22" x14ac:dyDescent="0.2">
      <c r="A4" t="s">
        <v>22</v>
      </c>
      <c r="B4" t="s">
        <v>22</v>
      </c>
      <c r="C4">
        <v>0.96911999999999998</v>
      </c>
      <c r="D4">
        <f t="shared" si="0"/>
        <v>116500</v>
      </c>
      <c r="E4">
        <f t="shared" si="1"/>
        <v>5.6</v>
      </c>
      <c r="F4">
        <f t="shared" si="2"/>
        <v>0.99829000000000001</v>
      </c>
      <c r="H4" t="s">
        <v>19</v>
      </c>
      <c r="I4">
        <v>0.98629999999999995</v>
      </c>
      <c r="K4" t="s">
        <v>23</v>
      </c>
      <c r="L4">
        <v>0.99534999999999996</v>
      </c>
      <c r="N4" t="s">
        <v>24</v>
      </c>
      <c r="O4">
        <v>0.98358999999999996</v>
      </c>
      <c r="Q4" t="s">
        <v>20</v>
      </c>
      <c r="R4">
        <v>0.99829000000000001</v>
      </c>
      <c r="T4" t="s">
        <v>22</v>
      </c>
      <c r="U4" s="5">
        <v>116500</v>
      </c>
      <c r="V4">
        <v>5.6</v>
      </c>
    </row>
    <row r="5" spans="1:22" x14ac:dyDescent="0.2">
      <c r="A5" t="str">
        <f t="shared" ref="A5:A66" si="3">IF(E5&gt;15, B5, "")</f>
        <v>South Korea</v>
      </c>
      <c r="B5" t="s">
        <v>25</v>
      </c>
      <c r="C5">
        <v>0.96789000000000003</v>
      </c>
      <c r="D5">
        <f t="shared" si="0"/>
        <v>44740</v>
      </c>
      <c r="E5">
        <f t="shared" si="1"/>
        <v>51.8</v>
      </c>
      <c r="F5">
        <f t="shared" si="2"/>
        <v>0.99661999999999995</v>
      </c>
      <c r="H5" t="s">
        <v>14</v>
      </c>
      <c r="I5">
        <v>0.97260000000000002</v>
      </c>
      <c r="K5" t="s">
        <v>26</v>
      </c>
      <c r="L5">
        <v>0.98995</v>
      </c>
      <c r="N5" t="s">
        <v>27</v>
      </c>
      <c r="O5">
        <v>0.96880999999999995</v>
      </c>
      <c r="Q5" t="s">
        <v>19</v>
      </c>
      <c r="R5">
        <v>0.99661999999999995</v>
      </c>
      <c r="T5" t="s">
        <v>25</v>
      </c>
      <c r="U5" s="5">
        <v>44740</v>
      </c>
      <c r="V5">
        <v>51.8</v>
      </c>
    </row>
    <row r="6" spans="1:22" x14ac:dyDescent="0.2">
      <c r="A6" t="s">
        <v>28</v>
      </c>
      <c r="B6" t="s">
        <v>28</v>
      </c>
      <c r="C6">
        <v>0.96706999999999999</v>
      </c>
      <c r="D6">
        <f t="shared" si="0"/>
        <v>55220</v>
      </c>
      <c r="E6">
        <f t="shared" si="1"/>
        <v>0.4</v>
      </c>
      <c r="F6">
        <f t="shared" si="2"/>
        <v>0.99634</v>
      </c>
      <c r="H6" t="s">
        <v>29</v>
      </c>
      <c r="I6">
        <v>0.97260000000000002</v>
      </c>
      <c r="K6" t="s">
        <v>13</v>
      </c>
      <c r="L6">
        <v>0.98536000000000001</v>
      </c>
      <c r="N6" t="s">
        <v>29</v>
      </c>
      <c r="O6">
        <v>0.96723999999999999</v>
      </c>
      <c r="Q6" t="s">
        <v>30</v>
      </c>
      <c r="R6">
        <v>0.99634</v>
      </c>
      <c r="T6" t="s">
        <v>28</v>
      </c>
      <c r="U6" s="5">
        <v>55220</v>
      </c>
      <c r="V6">
        <v>0.4</v>
      </c>
    </row>
    <row r="7" spans="1:22" x14ac:dyDescent="0.2">
      <c r="A7" t="str">
        <f t="shared" si="3"/>
        <v>Saudi Arabia</v>
      </c>
      <c r="B7" t="s">
        <v>31</v>
      </c>
      <c r="C7">
        <v>0.96021999999999996</v>
      </c>
      <c r="D7">
        <f t="shared" si="0"/>
        <v>46120</v>
      </c>
      <c r="E7">
        <f t="shared" si="1"/>
        <v>35.799999999999997</v>
      </c>
      <c r="F7">
        <f t="shared" si="2"/>
        <v>0.99170000000000003</v>
      </c>
      <c r="H7" t="s">
        <v>32</v>
      </c>
      <c r="I7">
        <v>0.97260000000000002</v>
      </c>
      <c r="K7" t="s">
        <v>33</v>
      </c>
      <c r="L7">
        <v>0.98306000000000004</v>
      </c>
      <c r="N7" t="s">
        <v>34</v>
      </c>
      <c r="O7">
        <v>0.96152000000000004</v>
      </c>
      <c r="Q7" t="s">
        <v>25</v>
      </c>
      <c r="R7">
        <v>0.99170000000000003</v>
      </c>
      <c r="T7" t="s">
        <v>31</v>
      </c>
      <c r="U7" s="5">
        <v>46120</v>
      </c>
      <c r="V7">
        <v>35.799999999999997</v>
      </c>
    </row>
    <row r="8" spans="1:22" x14ac:dyDescent="0.2">
      <c r="A8" t="str">
        <f t="shared" si="3"/>
        <v>U.K.</v>
      </c>
      <c r="B8" t="s">
        <v>32</v>
      </c>
      <c r="C8">
        <v>0.95772999999999997</v>
      </c>
      <c r="D8">
        <f t="shared" si="0"/>
        <v>53070</v>
      </c>
      <c r="E8">
        <f t="shared" si="1"/>
        <v>67.3</v>
      </c>
      <c r="F8">
        <f t="shared" si="2"/>
        <v>0.99063999999999997</v>
      </c>
      <c r="H8" t="s">
        <v>23</v>
      </c>
      <c r="I8">
        <v>0.95889999999999997</v>
      </c>
      <c r="K8" t="s">
        <v>32</v>
      </c>
      <c r="L8">
        <v>0.95348999999999995</v>
      </c>
      <c r="N8" t="s">
        <v>19</v>
      </c>
      <c r="O8">
        <v>0.95840999999999998</v>
      </c>
      <c r="Q8" t="s">
        <v>35</v>
      </c>
      <c r="R8">
        <v>0.99063999999999997</v>
      </c>
      <c r="T8" t="s">
        <v>32</v>
      </c>
      <c r="U8" s="5">
        <v>53070</v>
      </c>
      <c r="V8">
        <v>67.3</v>
      </c>
    </row>
    <row r="9" spans="1:22" x14ac:dyDescent="0.2">
      <c r="A9" t="str">
        <f t="shared" si="3"/>
        <v>Australia</v>
      </c>
      <c r="B9" t="s">
        <v>36</v>
      </c>
      <c r="C9">
        <v>0.9577</v>
      </c>
      <c r="D9">
        <f t="shared" si="0"/>
        <v>55100</v>
      </c>
      <c r="E9">
        <f t="shared" si="1"/>
        <v>25.7</v>
      </c>
      <c r="F9">
        <f t="shared" si="2"/>
        <v>0.98875999999999997</v>
      </c>
      <c r="H9" t="s">
        <v>20</v>
      </c>
      <c r="I9">
        <v>0.95889999999999997</v>
      </c>
      <c r="K9" t="s">
        <v>34</v>
      </c>
      <c r="L9">
        <v>0.94530000000000003</v>
      </c>
      <c r="N9" t="s">
        <v>23</v>
      </c>
      <c r="O9">
        <v>0.94972000000000001</v>
      </c>
      <c r="Q9" t="s">
        <v>37</v>
      </c>
      <c r="R9">
        <v>0.98875999999999997</v>
      </c>
      <c r="T9" t="s">
        <v>36</v>
      </c>
      <c r="U9" s="5">
        <v>55100</v>
      </c>
      <c r="V9">
        <v>25.7</v>
      </c>
    </row>
    <row r="10" spans="1:22" x14ac:dyDescent="0.2">
      <c r="A10" t="str">
        <f t="shared" si="3"/>
        <v/>
      </c>
      <c r="B10" t="s">
        <v>38</v>
      </c>
      <c r="C10">
        <v>0.95745999999999998</v>
      </c>
      <c r="D10">
        <f t="shared" si="0"/>
        <v>53040</v>
      </c>
      <c r="E10">
        <f t="shared" si="1"/>
        <v>5.5</v>
      </c>
      <c r="F10">
        <f t="shared" si="2"/>
        <v>0.98806000000000005</v>
      </c>
      <c r="H10" t="s">
        <v>26</v>
      </c>
      <c r="I10">
        <v>0.95889999999999997</v>
      </c>
      <c r="K10" t="s">
        <v>18</v>
      </c>
      <c r="L10">
        <v>0.94274000000000002</v>
      </c>
      <c r="N10" t="s">
        <v>32</v>
      </c>
      <c r="O10">
        <v>0.94498000000000004</v>
      </c>
      <c r="Q10" t="s">
        <v>33</v>
      </c>
      <c r="R10">
        <v>0.98806000000000005</v>
      </c>
      <c r="T10" t="s">
        <v>38</v>
      </c>
      <c r="U10" s="5">
        <v>53040</v>
      </c>
      <c r="V10">
        <v>5.5</v>
      </c>
    </row>
    <row r="11" spans="1:22" x14ac:dyDescent="0.2">
      <c r="A11" t="str">
        <f t="shared" si="3"/>
        <v>Netherlands</v>
      </c>
      <c r="B11" t="s">
        <v>39</v>
      </c>
      <c r="C11">
        <v>0.95384000000000002</v>
      </c>
      <c r="D11">
        <f t="shared" si="0"/>
        <v>61000</v>
      </c>
      <c r="E11">
        <f t="shared" si="1"/>
        <v>17.5</v>
      </c>
      <c r="F11">
        <f t="shared" si="2"/>
        <v>0.98773</v>
      </c>
      <c r="H11" t="s">
        <v>33</v>
      </c>
      <c r="I11">
        <v>0.95889999999999997</v>
      </c>
      <c r="K11" t="s">
        <v>40</v>
      </c>
      <c r="L11">
        <v>0.93903000000000003</v>
      </c>
      <c r="N11" t="s">
        <v>41</v>
      </c>
      <c r="O11">
        <v>0.94355</v>
      </c>
      <c r="Q11" t="s">
        <v>42</v>
      </c>
      <c r="R11">
        <v>0.98773</v>
      </c>
      <c r="T11" t="s">
        <v>39</v>
      </c>
      <c r="U11" s="5">
        <v>61000</v>
      </c>
      <c r="V11">
        <v>17.5</v>
      </c>
    </row>
    <row r="12" spans="1:22" x14ac:dyDescent="0.2">
      <c r="A12" t="s">
        <v>16</v>
      </c>
      <c r="B12" t="s">
        <v>16</v>
      </c>
      <c r="C12">
        <v>0.95328000000000002</v>
      </c>
      <c r="D12">
        <f t="shared" si="0"/>
        <v>74410</v>
      </c>
      <c r="E12">
        <f t="shared" si="1"/>
        <v>9.3000000000000007</v>
      </c>
      <c r="F12">
        <f t="shared" si="2"/>
        <v>0.98680000000000001</v>
      </c>
      <c r="H12" t="s">
        <v>43</v>
      </c>
      <c r="I12">
        <v>0.94520000000000004</v>
      </c>
      <c r="K12" t="s">
        <v>44</v>
      </c>
      <c r="L12">
        <v>0.92576000000000003</v>
      </c>
      <c r="N12" t="s">
        <v>33</v>
      </c>
      <c r="O12">
        <v>0.93615000000000004</v>
      </c>
      <c r="Q12" t="s">
        <v>45</v>
      </c>
      <c r="R12">
        <v>0.98680000000000001</v>
      </c>
      <c r="T12" t="s">
        <v>16</v>
      </c>
      <c r="U12" s="5">
        <v>74410</v>
      </c>
      <c r="V12">
        <v>9.3000000000000007</v>
      </c>
    </row>
    <row r="13" spans="1:22" x14ac:dyDescent="0.2">
      <c r="A13" t="str">
        <f t="shared" si="3"/>
        <v>Germany</v>
      </c>
      <c r="B13" t="s">
        <v>46</v>
      </c>
      <c r="C13">
        <v>0.93820999999999999</v>
      </c>
      <c r="D13">
        <f t="shared" si="0"/>
        <v>58370</v>
      </c>
      <c r="E13">
        <f t="shared" si="1"/>
        <v>83.2</v>
      </c>
      <c r="F13">
        <f t="shared" si="2"/>
        <v>0.98678999999999994</v>
      </c>
      <c r="H13" t="s">
        <v>27</v>
      </c>
      <c r="I13">
        <v>0.93149999999999999</v>
      </c>
      <c r="K13" t="s">
        <v>29</v>
      </c>
      <c r="L13">
        <v>0.92383999999999999</v>
      </c>
      <c r="N13" t="s">
        <v>47</v>
      </c>
      <c r="O13">
        <v>0.93298000000000003</v>
      </c>
      <c r="Q13" t="s">
        <v>48</v>
      </c>
      <c r="R13">
        <v>0.98678999999999994</v>
      </c>
      <c r="T13" t="s">
        <v>46</v>
      </c>
      <c r="U13" s="5">
        <v>58370</v>
      </c>
      <c r="V13">
        <v>83.2</v>
      </c>
    </row>
    <row r="14" spans="1:22" x14ac:dyDescent="0.2">
      <c r="A14" t="str">
        <f t="shared" si="3"/>
        <v>Japan</v>
      </c>
      <c r="B14" t="s">
        <v>49</v>
      </c>
      <c r="C14">
        <v>0.93510000000000004</v>
      </c>
      <c r="D14">
        <f t="shared" si="0"/>
        <v>44600</v>
      </c>
      <c r="E14">
        <f t="shared" si="1"/>
        <v>125.1</v>
      </c>
      <c r="F14">
        <f t="shared" si="2"/>
        <v>0.98617999999999995</v>
      </c>
      <c r="H14" t="s">
        <v>34</v>
      </c>
      <c r="I14">
        <v>0.93149999999999999</v>
      </c>
      <c r="K14" t="s">
        <v>50</v>
      </c>
      <c r="L14">
        <v>0.92252999999999996</v>
      </c>
      <c r="N14" t="s">
        <v>48</v>
      </c>
      <c r="O14">
        <v>0.92745</v>
      </c>
      <c r="Q14" t="s">
        <v>51</v>
      </c>
      <c r="R14">
        <v>0.98617999999999995</v>
      </c>
      <c r="T14" t="s">
        <v>49</v>
      </c>
      <c r="U14" s="5">
        <v>44600</v>
      </c>
      <c r="V14">
        <v>125.1</v>
      </c>
    </row>
    <row r="15" spans="1:22" x14ac:dyDescent="0.2">
      <c r="A15" t="str">
        <f t="shared" si="3"/>
        <v/>
      </c>
      <c r="B15" t="s">
        <v>52</v>
      </c>
      <c r="C15">
        <v>0.93262</v>
      </c>
      <c r="D15">
        <f t="shared" si="0"/>
        <v>58780</v>
      </c>
      <c r="E15">
        <f t="shared" si="1"/>
        <v>10.4</v>
      </c>
      <c r="F15">
        <f t="shared" si="2"/>
        <v>0.98411000000000004</v>
      </c>
      <c r="H15" t="s">
        <v>44</v>
      </c>
      <c r="I15">
        <v>0.93149999999999999</v>
      </c>
      <c r="K15" t="s">
        <v>15</v>
      </c>
      <c r="L15">
        <v>0.92218999999999995</v>
      </c>
      <c r="N15" t="s">
        <v>53</v>
      </c>
      <c r="O15">
        <v>0.92190000000000005</v>
      </c>
      <c r="Q15" t="s">
        <v>26</v>
      </c>
      <c r="R15">
        <v>0.98411000000000004</v>
      </c>
      <c r="T15" t="s">
        <v>52</v>
      </c>
      <c r="U15" s="5">
        <v>58780</v>
      </c>
      <c r="V15">
        <v>10.4</v>
      </c>
    </row>
    <row r="16" spans="1:22" x14ac:dyDescent="0.2">
      <c r="A16" t="str">
        <f t="shared" si="3"/>
        <v/>
      </c>
      <c r="B16" t="s">
        <v>54</v>
      </c>
      <c r="C16">
        <v>0.93152999999999997</v>
      </c>
      <c r="D16">
        <f t="shared" si="0"/>
        <v>74940</v>
      </c>
      <c r="E16">
        <f t="shared" si="1"/>
        <v>5.4</v>
      </c>
      <c r="F16">
        <f t="shared" si="2"/>
        <v>0.98096000000000005</v>
      </c>
      <c r="H16" t="s">
        <v>55</v>
      </c>
      <c r="I16">
        <v>0.91779999999999995</v>
      </c>
      <c r="K16" t="s">
        <v>27</v>
      </c>
      <c r="L16">
        <v>0.92118</v>
      </c>
      <c r="N16" t="s">
        <v>50</v>
      </c>
      <c r="O16">
        <v>0.91922999999999999</v>
      </c>
      <c r="Q16" t="s">
        <v>56</v>
      </c>
      <c r="R16">
        <v>0.98096000000000005</v>
      </c>
      <c r="T16" t="s">
        <v>54</v>
      </c>
      <c r="U16" s="5">
        <v>74940</v>
      </c>
      <c r="V16">
        <v>5.4</v>
      </c>
    </row>
    <row r="17" spans="1:22" x14ac:dyDescent="0.2">
      <c r="A17" t="str">
        <f t="shared" si="3"/>
        <v/>
      </c>
      <c r="B17" t="s">
        <v>57</v>
      </c>
      <c r="C17">
        <v>0.92654000000000003</v>
      </c>
      <c r="D17">
        <f t="shared" si="0"/>
        <v>48830</v>
      </c>
      <c r="E17">
        <f t="shared" si="1"/>
        <v>5.0999999999999996</v>
      </c>
      <c r="F17">
        <f t="shared" si="2"/>
        <v>0.97909000000000002</v>
      </c>
      <c r="H17" t="s">
        <v>58</v>
      </c>
      <c r="I17">
        <v>0.91779999999999995</v>
      </c>
      <c r="K17" t="s">
        <v>41</v>
      </c>
      <c r="L17">
        <v>0.91627000000000003</v>
      </c>
      <c r="N17" t="s">
        <v>59</v>
      </c>
      <c r="O17">
        <v>0.91747999999999996</v>
      </c>
      <c r="Q17" t="s">
        <v>24</v>
      </c>
      <c r="R17">
        <v>0.97909000000000002</v>
      </c>
      <c r="T17" t="s">
        <v>57</v>
      </c>
      <c r="U17" s="5">
        <v>48830</v>
      </c>
      <c r="V17">
        <v>5.0999999999999996</v>
      </c>
    </row>
    <row r="18" spans="1:22" x14ac:dyDescent="0.2">
      <c r="A18" t="str">
        <f t="shared" si="3"/>
        <v>Spain</v>
      </c>
      <c r="B18" t="s">
        <v>60</v>
      </c>
      <c r="C18">
        <v>0.92059999999999997</v>
      </c>
      <c r="D18">
        <f t="shared" si="0"/>
        <v>42520</v>
      </c>
      <c r="E18">
        <f t="shared" si="1"/>
        <v>47.4</v>
      </c>
      <c r="F18">
        <f t="shared" si="2"/>
        <v>0.97633000000000003</v>
      </c>
      <c r="H18" t="s">
        <v>61</v>
      </c>
      <c r="I18">
        <v>0.91779999999999995</v>
      </c>
      <c r="K18" t="s">
        <v>43</v>
      </c>
      <c r="L18">
        <v>0.91357999999999995</v>
      </c>
      <c r="N18" t="s">
        <v>14</v>
      </c>
      <c r="O18">
        <v>0.91198000000000001</v>
      </c>
      <c r="Q18" t="s">
        <v>62</v>
      </c>
      <c r="R18">
        <v>0.97633000000000003</v>
      </c>
      <c r="T18" t="s">
        <v>60</v>
      </c>
      <c r="U18" s="5">
        <v>42520</v>
      </c>
      <c r="V18">
        <v>47.4</v>
      </c>
    </row>
    <row r="19" spans="1:22" x14ac:dyDescent="0.2">
      <c r="A19" t="str">
        <f t="shared" si="3"/>
        <v/>
      </c>
      <c r="B19" t="s">
        <v>63</v>
      </c>
      <c r="C19">
        <v>0.91957999999999995</v>
      </c>
      <c r="D19">
        <f t="shared" si="0"/>
        <v>47850</v>
      </c>
      <c r="E19">
        <f t="shared" si="1"/>
        <v>1.5</v>
      </c>
      <c r="F19">
        <f t="shared" si="2"/>
        <v>0.97467000000000004</v>
      </c>
      <c r="H19" t="s">
        <v>42</v>
      </c>
      <c r="I19">
        <v>0.90410000000000001</v>
      </c>
      <c r="K19" t="s">
        <v>59</v>
      </c>
      <c r="L19">
        <v>0.91171999999999997</v>
      </c>
      <c r="N19" t="s">
        <v>18</v>
      </c>
      <c r="O19">
        <v>0.91169999999999995</v>
      </c>
      <c r="Q19" t="s">
        <v>32</v>
      </c>
      <c r="R19">
        <v>0.97467000000000004</v>
      </c>
      <c r="T19" t="s">
        <v>63</v>
      </c>
      <c r="U19" s="5">
        <v>47850</v>
      </c>
      <c r="V19">
        <v>1.5</v>
      </c>
    </row>
    <row r="20" spans="1:22" x14ac:dyDescent="0.2">
      <c r="A20" t="str">
        <f t="shared" si="3"/>
        <v>U.S.A.</v>
      </c>
      <c r="B20" t="s">
        <v>64</v>
      </c>
      <c r="C20">
        <v>0.91944999999999999</v>
      </c>
      <c r="D20">
        <f t="shared" si="0"/>
        <v>70480</v>
      </c>
      <c r="E20">
        <f t="shared" si="1"/>
        <v>333.3</v>
      </c>
      <c r="F20">
        <f t="shared" si="2"/>
        <v>0.97465999999999997</v>
      </c>
      <c r="H20" t="s">
        <v>24</v>
      </c>
      <c r="I20">
        <v>0.89039999999999997</v>
      </c>
      <c r="K20" t="s">
        <v>24</v>
      </c>
      <c r="L20">
        <v>0.90973000000000004</v>
      </c>
      <c r="N20" t="s">
        <v>26</v>
      </c>
      <c r="O20">
        <v>0.90666000000000002</v>
      </c>
      <c r="Q20" t="s">
        <v>65</v>
      </c>
      <c r="R20">
        <v>0.97465999999999997</v>
      </c>
      <c r="T20" t="s">
        <v>64</v>
      </c>
      <c r="U20" s="5">
        <v>70480</v>
      </c>
      <c r="V20">
        <v>333.3</v>
      </c>
    </row>
    <row r="21" spans="1:22" x14ac:dyDescent="0.2">
      <c r="A21" t="s">
        <v>66</v>
      </c>
      <c r="B21" t="s">
        <v>66</v>
      </c>
      <c r="C21">
        <v>0.91376999999999997</v>
      </c>
      <c r="D21">
        <f t="shared" si="0"/>
        <v>99240</v>
      </c>
      <c r="E21">
        <f t="shared" si="1"/>
        <v>5</v>
      </c>
      <c r="F21">
        <f t="shared" si="2"/>
        <v>0.97309000000000001</v>
      </c>
      <c r="H21" t="s">
        <v>67</v>
      </c>
      <c r="I21">
        <v>0.89039999999999997</v>
      </c>
      <c r="K21" t="s">
        <v>20</v>
      </c>
      <c r="L21">
        <v>0.90754999999999997</v>
      </c>
      <c r="N21" t="s">
        <v>55</v>
      </c>
      <c r="O21">
        <v>0.90459999999999996</v>
      </c>
      <c r="Q21" t="s">
        <v>23</v>
      </c>
      <c r="R21">
        <v>0.97309000000000001</v>
      </c>
      <c r="T21" t="s">
        <v>66</v>
      </c>
      <c r="U21" s="5">
        <v>99240</v>
      </c>
      <c r="V21">
        <v>5</v>
      </c>
    </row>
    <row r="22" spans="1:22" x14ac:dyDescent="0.2">
      <c r="A22" t="str">
        <f t="shared" si="3"/>
        <v/>
      </c>
      <c r="B22" t="s">
        <v>68</v>
      </c>
      <c r="C22">
        <v>0.91103999999999996</v>
      </c>
      <c r="D22">
        <f t="shared" si="0"/>
        <v>42510</v>
      </c>
      <c r="E22">
        <f t="shared" si="1"/>
        <v>2.8</v>
      </c>
      <c r="F22">
        <f t="shared" si="2"/>
        <v>0.97150999999999998</v>
      </c>
      <c r="H22" t="s">
        <v>69</v>
      </c>
      <c r="I22">
        <v>0.87670000000000003</v>
      </c>
      <c r="K22" t="s">
        <v>70</v>
      </c>
      <c r="L22">
        <v>0.90630999999999995</v>
      </c>
      <c r="N22" t="s">
        <v>71</v>
      </c>
      <c r="O22">
        <v>0.90264</v>
      </c>
      <c r="Q22" t="s">
        <v>27</v>
      </c>
      <c r="R22">
        <v>0.97150999999999998</v>
      </c>
      <c r="T22" t="s">
        <v>68</v>
      </c>
      <c r="U22" s="5">
        <v>42510</v>
      </c>
      <c r="V22">
        <v>2.8</v>
      </c>
    </row>
    <row r="23" spans="1:22" x14ac:dyDescent="0.2">
      <c r="A23" t="str">
        <f t="shared" si="3"/>
        <v/>
      </c>
      <c r="B23" t="s">
        <v>56</v>
      </c>
      <c r="C23">
        <v>0.90652999999999995</v>
      </c>
      <c r="D23">
        <f t="shared" si="0"/>
        <v>60840</v>
      </c>
      <c r="E23">
        <f t="shared" si="1"/>
        <v>9</v>
      </c>
      <c r="F23">
        <f t="shared" si="2"/>
        <v>0.96738999999999997</v>
      </c>
      <c r="H23" t="s">
        <v>59</v>
      </c>
      <c r="I23">
        <v>0.86299999999999999</v>
      </c>
      <c r="K23" t="s">
        <v>72</v>
      </c>
      <c r="L23">
        <v>0.90542</v>
      </c>
      <c r="N23" t="s">
        <v>56</v>
      </c>
      <c r="O23">
        <v>0.90027999999999997</v>
      </c>
      <c r="Q23" t="s">
        <v>73</v>
      </c>
      <c r="R23">
        <v>0.96738999999999997</v>
      </c>
      <c r="T23" t="s">
        <v>56</v>
      </c>
      <c r="U23" s="5">
        <v>60840</v>
      </c>
      <c r="V23">
        <v>9</v>
      </c>
    </row>
    <row r="24" spans="1:22" x14ac:dyDescent="0.2">
      <c r="A24" t="str">
        <f t="shared" si="3"/>
        <v/>
      </c>
      <c r="B24" t="s">
        <v>74</v>
      </c>
      <c r="C24">
        <v>0.90142999999999995</v>
      </c>
      <c r="D24">
        <f t="shared" si="0"/>
        <v>44740</v>
      </c>
      <c r="E24">
        <f t="shared" si="1"/>
        <v>9.3000000000000007</v>
      </c>
      <c r="F24">
        <f t="shared" si="2"/>
        <v>0.96597</v>
      </c>
      <c r="H24" t="s">
        <v>15</v>
      </c>
      <c r="I24">
        <v>0.86299999999999999</v>
      </c>
      <c r="K24" t="s">
        <v>42</v>
      </c>
      <c r="L24">
        <v>0.90305000000000002</v>
      </c>
      <c r="N24" t="s">
        <v>72</v>
      </c>
      <c r="O24">
        <v>0.89610000000000001</v>
      </c>
      <c r="Q24" t="s">
        <v>75</v>
      </c>
      <c r="R24">
        <v>0.96597</v>
      </c>
      <c r="T24" t="s">
        <v>74</v>
      </c>
      <c r="U24" s="5">
        <v>44740</v>
      </c>
      <c r="V24">
        <v>9.3000000000000007</v>
      </c>
    </row>
    <row r="25" spans="1:22" x14ac:dyDescent="0.2">
      <c r="A25" t="str">
        <f t="shared" si="3"/>
        <v>Kazakhstan</v>
      </c>
      <c r="B25" t="s">
        <v>76</v>
      </c>
      <c r="C25">
        <v>0.90093000000000001</v>
      </c>
      <c r="D25">
        <f t="shared" si="0"/>
        <v>26940</v>
      </c>
      <c r="E25">
        <f t="shared" si="1"/>
        <v>19.399999999999999</v>
      </c>
      <c r="F25">
        <f t="shared" si="2"/>
        <v>0.96538999999999997</v>
      </c>
      <c r="H25" t="s">
        <v>70</v>
      </c>
      <c r="I25">
        <v>0.86299999999999999</v>
      </c>
      <c r="K25" t="s">
        <v>77</v>
      </c>
      <c r="L25">
        <v>0.88721000000000005</v>
      </c>
      <c r="N25" t="s">
        <v>78</v>
      </c>
      <c r="O25">
        <v>0.88612999999999997</v>
      </c>
      <c r="Q25" t="s">
        <v>59</v>
      </c>
      <c r="R25">
        <v>0.96538999999999997</v>
      </c>
      <c r="T25" t="s">
        <v>76</v>
      </c>
      <c r="U25" s="5">
        <v>26940</v>
      </c>
      <c r="V25">
        <v>19.399999999999999</v>
      </c>
    </row>
    <row r="26" spans="1:22" x14ac:dyDescent="0.2">
      <c r="A26" t="str">
        <f t="shared" si="3"/>
        <v/>
      </c>
      <c r="B26" t="s">
        <v>79</v>
      </c>
      <c r="C26">
        <v>0.90059</v>
      </c>
      <c r="D26">
        <f t="shared" si="0"/>
        <v>25660</v>
      </c>
      <c r="E26">
        <f t="shared" si="1"/>
        <v>3.5</v>
      </c>
      <c r="F26">
        <f t="shared" si="2"/>
        <v>0.96389999999999998</v>
      </c>
      <c r="H26" t="s">
        <v>50</v>
      </c>
      <c r="I26">
        <v>0.86299999999999999</v>
      </c>
      <c r="K26" t="s">
        <v>69</v>
      </c>
      <c r="L26">
        <v>0.88507000000000002</v>
      </c>
      <c r="N26" t="s">
        <v>43</v>
      </c>
      <c r="O26">
        <v>0.88424000000000003</v>
      </c>
      <c r="Q26" t="s">
        <v>80</v>
      </c>
      <c r="R26">
        <v>0.96389999999999998</v>
      </c>
      <c r="T26" t="s">
        <v>79</v>
      </c>
      <c r="U26" s="5">
        <v>25660</v>
      </c>
      <c r="V26">
        <v>3.5</v>
      </c>
    </row>
    <row r="27" spans="1:22" x14ac:dyDescent="0.2">
      <c r="A27" t="str">
        <f t="shared" si="3"/>
        <v/>
      </c>
      <c r="B27" t="s">
        <v>81</v>
      </c>
      <c r="C27">
        <v>0.90034999999999998</v>
      </c>
      <c r="D27">
        <f t="shared" si="0"/>
        <v>74250</v>
      </c>
      <c r="E27">
        <f t="shared" si="1"/>
        <v>8.6999999999999993</v>
      </c>
      <c r="F27">
        <f t="shared" si="2"/>
        <v>0.96309</v>
      </c>
      <c r="H27" t="s">
        <v>82</v>
      </c>
      <c r="I27">
        <v>0.86299999999999999</v>
      </c>
      <c r="K27" t="s">
        <v>78</v>
      </c>
      <c r="L27">
        <v>0.88390000000000002</v>
      </c>
      <c r="N27" t="s">
        <v>75</v>
      </c>
      <c r="O27">
        <v>0.88046999999999997</v>
      </c>
      <c r="Q27" t="s">
        <v>78</v>
      </c>
      <c r="R27">
        <v>0.96309</v>
      </c>
      <c r="T27" t="s">
        <v>81</v>
      </c>
      <c r="U27" s="5">
        <v>74250</v>
      </c>
      <c r="V27">
        <v>8.6999999999999993</v>
      </c>
    </row>
    <row r="28" spans="1:22" x14ac:dyDescent="0.2">
      <c r="A28" t="str">
        <f t="shared" si="3"/>
        <v>Turkiye</v>
      </c>
      <c r="B28" t="s">
        <v>50</v>
      </c>
      <c r="C28">
        <v>0.89131000000000005</v>
      </c>
      <c r="D28">
        <f t="shared" si="0"/>
        <v>32730</v>
      </c>
      <c r="E28">
        <f t="shared" si="1"/>
        <v>85.3</v>
      </c>
      <c r="F28">
        <f t="shared" si="2"/>
        <v>0.96052000000000004</v>
      </c>
      <c r="H28" t="s">
        <v>40</v>
      </c>
      <c r="I28">
        <v>0.84930000000000005</v>
      </c>
      <c r="K28" t="s">
        <v>48</v>
      </c>
      <c r="L28">
        <v>0.88361000000000001</v>
      </c>
      <c r="N28" t="s">
        <v>82</v>
      </c>
      <c r="O28">
        <v>0.87487999999999999</v>
      </c>
      <c r="Q28" t="s">
        <v>64</v>
      </c>
      <c r="R28">
        <v>0.96052000000000004</v>
      </c>
      <c r="T28" t="s">
        <v>50</v>
      </c>
      <c r="U28" s="5">
        <v>32730</v>
      </c>
      <c r="V28">
        <v>85.3</v>
      </c>
    </row>
    <row r="29" spans="1:22" x14ac:dyDescent="0.2">
      <c r="A29" t="str">
        <f t="shared" si="3"/>
        <v/>
      </c>
      <c r="B29" t="s">
        <v>83</v>
      </c>
      <c r="C29">
        <v>0.88859999999999995</v>
      </c>
      <c r="D29">
        <f t="shared" si="0"/>
        <v>54910</v>
      </c>
      <c r="E29">
        <f t="shared" si="1"/>
        <v>0.5</v>
      </c>
      <c r="F29">
        <f t="shared" si="2"/>
        <v>0.96033999999999997</v>
      </c>
      <c r="H29" t="s">
        <v>84</v>
      </c>
      <c r="I29">
        <v>0.84930000000000005</v>
      </c>
      <c r="K29" t="s">
        <v>82</v>
      </c>
      <c r="L29">
        <v>0.88321000000000005</v>
      </c>
      <c r="N29" t="s">
        <v>62</v>
      </c>
      <c r="O29">
        <v>0.87390000000000001</v>
      </c>
      <c r="Q29" t="s">
        <v>85</v>
      </c>
      <c r="R29">
        <v>0.96033999999999997</v>
      </c>
      <c r="T29" t="s">
        <v>83</v>
      </c>
      <c r="U29" s="5">
        <v>54910</v>
      </c>
      <c r="V29">
        <v>0.5</v>
      </c>
    </row>
    <row r="30" spans="1:22" x14ac:dyDescent="0.2">
      <c r="A30" t="str">
        <f t="shared" si="3"/>
        <v/>
      </c>
      <c r="B30" t="s">
        <v>86</v>
      </c>
      <c r="C30">
        <v>0.88522000000000001</v>
      </c>
      <c r="D30">
        <f t="shared" si="0"/>
        <v>35230</v>
      </c>
      <c r="E30">
        <f t="shared" si="1"/>
        <v>1.8</v>
      </c>
      <c r="F30">
        <f t="shared" si="2"/>
        <v>0.96031</v>
      </c>
      <c r="H30" t="s">
        <v>78</v>
      </c>
      <c r="I30">
        <v>0.83560000000000001</v>
      </c>
      <c r="K30" t="s">
        <v>55</v>
      </c>
      <c r="L30">
        <v>0.87678</v>
      </c>
      <c r="N30" t="s">
        <v>58</v>
      </c>
      <c r="O30">
        <v>0.87248999999999999</v>
      </c>
      <c r="Q30" t="s">
        <v>72</v>
      </c>
      <c r="R30">
        <v>0.96031</v>
      </c>
      <c r="T30" t="s">
        <v>86</v>
      </c>
      <c r="U30" s="5">
        <v>35230</v>
      </c>
      <c r="V30">
        <v>1.8</v>
      </c>
    </row>
    <row r="31" spans="1:22" x14ac:dyDescent="0.2">
      <c r="A31" t="str">
        <f t="shared" si="3"/>
        <v>Ukraine</v>
      </c>
      <c r="B31" t="s">
        <v>13</v>
      </c>
      <c r="C31">
        <v>0.88407000000000002</v>
      </c>
      <c r="D31">
        <f t="shared" si="0"/>
        <v>14480</v>
      </c>
      <c r="E31">
        <f t="shared" si="1"/>
        <v>41.2</v>
      </c>
      <c r="F31">
        <f t="shared" si="2"/>
        <v>0.95987</v>
      </c>
      <c r="H31" t="s">
        <v>87</v>
      </c>
      <c r="I31">
        <v>0.83560000000000001</v>
      </c>
      <c r="K31" t="s">
        <v>65</v>
      </c>
      <c r="L31">
        <v>0.87492000000000003</v>
      </c>
      <c r="N31" t="s">
        <v>88</v>
      </c>
      <c r="O31">
        <v>0.87029999999999996</v>
      </c>
      <c r="Q31" t="s">
        <v>55</v>
      </c>
      <c r="R31">
        <v>0.95987</v>
      </c>
      <c r="T31" t="s">
        <v>13</v>
      </c>
      <c r="U31" s="5">
        <v>14480</v>
      </c>
      <c r="V31">
        <v>41.2</v>
      </c>
    </row>
    <row r="32" spans="1:22" x14ac:dyDescent="0.2">
      <c r="A32" t="str">
        <f t="shared" si="3"/>
        <v>Chile</v>
      </c>
      <c r="B32" t="s">
        <v>89</v>
      </c>
      <c r="C32">
        <v>0.88266</v>
      </c>
      <c r="D32">
        <f t="shared" si="0"/>
        <v>25670</v>
      </c>
      <c r="E32">
        <f t="shared" si="1"/>
        <v>19.5</v>
      </c>
      <c r="F32">
        <f t="shared" si="2"/>
        <v>0.95757000000000003</v>
      </c>
      <c r="H32" t="s">
        <v>77</v>
      </c>
      <c r="I32">
        <v>0.83560000000000001</v>
      </c>
      <c r="K32" t="s">
        <v>61</v>
      </c>
      <c r="L32">
        <v>0.87346999999999997</v>
      </c>
      <c r="N32" t="s">
        <v>90</v>
      </c>
      <c r="O32">
        <v>0.86980000000000002</v>
      </c>
      <c r="Q32" t="s">
        <v>71</v>
      </c>
      <c r="R32">
        <v>0.95757000000000003</v>
      </c>
      <c r="T32" t="s">
        <v>89</v>
      </c>
      <c r="U32" s="5">
        <v>25670</v>
      </c>
      <c r="V32">
        <v>19.5</v>
      </c>
    </row>
    <row r="33" spans="1:22" x14ac:dyDescent="0.2">
      <c r="A33" t="str">
        <f t="shared" si="3"/>
        <v/>
      </c>
      <c r="B33" t="s">
        <v>91</v>
      </c>
      <c r="C33">
        <v>0.88175000000000003</v>
      </c>
      <c r="D33">
        <f t="shared" si="0"/>
        <v>34740</v>
      </c>
      <c r="E33">
        <f t="shared" si="1"/>
        <v>3.9</v>
      </c>
      <c r="F33">
        <f t="shared" si="2"/>
        <v>0.95118000000000003</v>
      </c>
      <c r="H33" t="s">
        <v>71</v>
      </c>
      <c r="I33">
        <v>0.82189999999999996</v>
      </c>
      <c r="K33" t="s">
        <v>92</v>
      </c>
      <c r="L33">
        <v>0.86395999999999995</v>
      </c>
      <c r="N33" t="s">
        <v>42</v>
      </c>
      <c r="O33">
        <v>0.86804000000000003</v>
      </c>
      <c r="Q33" t="s">
        <v>93</v>
      </c>
      <c r="R33">
        <v>0.95118000000000003</v>
      </c>
      <c r="T33" t="s">
        <v>91</v>
      </c>
      <c r="U33" s="5">
        <v>34740</v>
      </c>
      <c r="V33">
        <v>3.9</v>
      </c>
    </row>
    <row r="34" spans="1:22" x14ac:dyDescent="0.2">
      <c r="A34" t="str">
        <f t="shared" si="3"/>
        <v/>
      </c>
      <c r="B34" t="s">
        <v>94</v>
      </c>
      <c r="C34">
        <v>0.87588999999999995</v>
      </c>
      <c r="D34">
        <f t="shared" si="0"/>
        <v>43770</v>
      </c>
      <c r="E34">
        <f t="shared" si="1"/>
        <v>2.1</v>
      </c>
      <c r="F34">
        <f t="shared" si="2"/>
        <v>0.95091999999999999</v>
      </c>
      <c r="H34" t="s">
        <v>72</v>
      </c>
      <c r="I34">
        <v>0.80820000000000003</v>
      </c>
      <c r="K34" t="s">
        <v>87</v>
      </c>
      <c r="L34">
        <v>0.86119000000000001</v>
      </c>
      <c r="N34" t="s">
        <v>95</v>
      </c>
      <c r="O34">
        <v>0.86538999999999999</v>
      </c>
      <c r="Q34" s="6" t="s">
        <v>15</v>
      </c>
      <c r="R34" s="6">
        <v>0.95091999999999999</v>
      </c>
      <c r="T34" t="s">
        <v>94</v>
      </c>
      <c r="U34" s="5">
        <v>43770</v>
      </c>
      <c r="V34">
        <v>2.1</v>
      </c>
    </row>
    <row r="35" spans="1:22" x14ac:dyDescent="0.2">
      <c r="A35" t="str">
        <f t="shared" si="3"/>
        <v>France</v>
      </c>
      <c r="B35" t="s">
        <v>96</v>
      </c>
      <c r="C35">
        <v>0.87441999999999998</v>
      </c>
      <c r="D35">
        <f t="shared" si="0"/>
        <v>50660</v>
      </c>
      <c r="E35">
        <f t="shared" si="1"/>
        <v>67.8</v>
      </c>
      <c r="F35">
        <f t="shared" si="2"/>
        <v>0.95091000000000003</v>
      </c>
      <c r="H35" t="s">
        <v>96</v>
      </c>
      <c r="I35">
        <v>0.80820000000000003</v>
      </c>
      <c r="K35" t="s">
        <v>58</v>
      </c>
      <c r="L35">
        <v>0.85516000000000003</v>
      </c>
      <c r="N35" t="s">
        <v>96</v>
      </c>
      <c r="O35">
        <v>0.85645000000000004</v>
      </c>
      <c r="Q35" t="s">
        <v>18</v>
      </c>
      <c r="R35">
        <v>0.95091000000000003</v>
      </c>
      <c r="T35" t="s">
        <v>96</v>
      </c>
      <c r="U35" s="5">
        <v>50660</v>
      </c>
      <c r="V35">
        <v>67.8</v>
      </c>
    </row>
    <row r="36" spans="1:22" x14ac:dyDescent="0.2">
      <c r="A36" t="str">
        <f t="shared" si="3"/>
        <v>China</v>
      </c>
      <c r="B36" t="s">
        <v>97</v>
      </c>
      <c r="C36">
        <v>0.87183999999999995</v>
      </c>
      <c r="D36">
        <f t="shared" si="0"/>
        <v>18140</v>
      </c>
      <c r="E36">
        <f t="shared" si="1"/>
        <v>1412.2</v>
      </c>
      <c r="F36">
        <f t="shared" si="2"/>
        <v>0.94911999999999996</v>
      </c>
      <c r="H36" t="s">
        <v>98</v>
      </c>
      <c r="I36">
        <v>0.79449999999999998</v>
      </c>
      <c r="K36" t="s">
        <v>62</v>
      </c>
      <c r="L36">
        <v>0.85411999999999999</v>
      </c>
      <c r="N36" t="s">
        <v>84</v>
      </c>
      <c r="O36">
        <v>0.85609999999999997</v>
      </c>
      <c r="Q36" t="s">
        <v>99</v>
      </c>
      <c r="R36">
        <v>0.94911999999999996</v>
      </c>
      <c r="T36" t="s">
        <v>97</v>
      </c>
      <c r="U36" s="5">
        <v>18140</v>
      </c>
      <c r="V36" s="7">
        <v>1412.2</v>
      </c>
    </row>
    <row r="37" spans="1:22" x14ac:dyDescent="0.2">
      <c r="A37" t="str">
        <f t="shared" si="3"/>
        <v/>
      </c>
      <c r="B37" t="s">
        <v>100</v>
      </c>
      <c r="C37">
        <v>0.86736999999999997</v>
      </c>
      <c r="D37">
        <f t="shared" si="0"/>
        <v>32160</v>
      </c>
      <c r="E37">
        <f t="shared" si="1"/>
        <v>10.4</v>
      </c>
      <c r="F37">
        <f t="shared" si="2"/>
        <v>0.94552999999999998</v>
      </c>
      <c r="H37" t="s">
        <v>48</v>
      </c>
      <c r="I37">
        <v>0.79449999999999998</v>
      </c>
      <c r="K37" t="s">
        <v>67</v>
      </c>
      <c r="L37">
        <v>0.85397000000000001</v>
      </c>
      <c r="N37" t="s">
        <v>61</v>
      </c>
      <c r="O37">
        <v>0.85375999999999996</v>
      </c>
      <c r="Q37" t="s">
        <v>87</v>
      </c>
      <c r="R37">
        <v>0.94552999999999998</v>
      </c>
      <c r="T37" t="s">
        <v>100</v>
      </c>
      <c r="U37" s="5">
        <v>32160</v>
      </c>
      <c r="V37">
        <v>10.4</v>
      </c>
    </row>
    <row r="38" spans="1:22" x14ac:dyDescent="0.2">
      <c r="A38" t="str">
        <f t="shared" si="3"/>
        <v>Poland</v>
      </c>
      <c r="B38" t="s">
        <v>101</v>
      </c>
      <c r="C38">
        <v>0.86480000000000001</v>
      </c>
      <c r="D38">
        <f t="shared" si="0"/>
        <v>37710</v>
      </c>
      <c r="E38">
        <f t="shared" si="1"/>
        <v>37.799999999999997</v>
      </c>
      <c r="F38">
        <f t="shared" si="2"/>
        <v>0.94374000000000002</v>
      </c>
      <c r="H38" t="s">
        <v>75</v>
      </c>
      <c r="I38">
        <v>0.78080000000000005</v>
      </c>
      <c r="K38" t="s">
        <v>96</v>
      </c>
      <c r="L38">
        <v>0.84399999999999997</v>
      </c>
      <c r="N38" t="s">
        <v>92</v>
      </c>
      <c r="O38">
        <v>0.85297999999999996</v>
      </c>
      <c r="Q38" t="s">
        <v>82</v>
      </c>
      <c r="R38">
        <v>0.94374000000000002</v>
      </c>
      <c r="T38" t="s">
        <v>101</v>
      </c>
      <c r="U38" s="5">
        <v>37710</v>
      </c>
      <c r="V38">
        <v>37.799999999999997</v>
      </c>
    </row>
    <row r="39" spans="1:22" x14ac:dyDescent="0.2">
      <c r="A39" t="str">
        <f t="shared" si="3"/>
        <v/>
      </c>
      <c r="B39" t="s">
        <v>102</v>
      </c>
      <c r="C39">
        <v>0.86187000000000002</v>
      </c>
      <c r="D39">
        <f t="shared" si="0"/>
        <v>42230</v>
      </c>
      <c r="E39">
        <f t="shared" si="1"/>
        <v>1.2</v>
      </c>
      <c r="F39">
        <f t="shared" si="2"/>
        <v>0.94101000000000001</v>
      </c>
      <c r="H39" t="s">
        <v>103</v>
      </c>
      <c r="I39">
        <v>0.78080000000000005</v>
      </c>
      <c r="K39" t="s">
        <v>71</v>
      </c>
      <c r="L39">
        <v>0.84079999999999999</v>
      </c>
      <c r="N39" t="s">
        <v>104</v>
      </c>
      <c r="O39">
        <v>0.85082000000000002</v>
      </c>
      <c r="Q39" t="s">
        <v>105</v>
      </c>
      <c r="R39">
        <v>0.94101000000000001</v>
      </c>
      <c r="T39" t="s">
        <v>102</v>
      </c>
      <c r="U39" s="5">
        <v>42230</v>
      </c>
      <c r="V39">
        <v>1.2</v>
      </c>
    </row>
    <row r="40" spans="1:22" x14ac:dyDescent="0.2">
      <c r="A40" t="str">
        <f t="shared" si="3"/>
        <v/>
      </c>
      <c r="B40" t="s">
        <v>67</v>
      </c>
      <c r="C40">
        <v>0.86184000000000005</v>
      </c>
      <c r="D40">
        <f t="shared" si="0"/>
        <v>23170</v>
      </c>
      <c r="E40">
        <f t="shared" si="1"/>
        <v>6.7</v>
      </c>
      <c r="F40">
        <f t="shared" si="2"/>
        <v>0.93740999999999997</v>
      </c>
      <c r="H40" t="s">
        <v>56</v>
      </c>
      <c r="I40">
        <v>0.78080000000000005</v>
      </c>
      <c r="K40" t="s">
        <v>56</v>
      </c>
      <c r="L40">
        <v>0.83828999999999998</v>
      </c>
      <c r="N40" t="s">
        <v>106</v>
      </c>
      <c r="O40">
        <v>0.84416000000000002</v>
      </c>
      <c r="Q40" t="s">
        <v>103</v>
      </c>
      <c r="R40">
        <v>0.93740999999999997</v>
      </c>
      <c r="T40" t="s">
        <v>67</v>
      </c>
      <c r="U40" s="5">
        <v>23170</v>
      </c>
      <c r="V40">
        <v>6.7</v>
      </c>
    </row>
    <row r="41" spans="1:22" x14ac:dyDescent="0.2">
      <c r="A41" t="str">
        <f t="shared" si="3"/>
        <v>South Africa</v>
      </c>
      <c r="B41" t="s">
        <v>107</v>
      </c>
      <c r="C41">
        <v>0.86162000000000005</v>
      </c>
      <c r="D41">
        <f t="shared" si="0"/>
        <v>13360</v>
      </c>
      <c r="E41">
        <f t="shared" si="1"/>
        <v>60</v>
      </c>
      <c r="F41">
        <f t="shared" si="2"/>
        <v>0.92359000000000002</v>
      </c>
      <c r="H41" t="s">
        <v>92</v>
      </c>
      <c r="I41">
        <v>0.78080000000000005</v>
      </c>
      <c r="K41" t="s">
        <v>108</v>
      </c>
      <c r="L41">
        <v>0.8377</v>
      </c>
      <c r="N41" t="s">
        <v>109</v>
      </c>
      <c r="O41">
        <v>0.84262000000000004</v>
      </c>
      <c r="Q41" t="s">
        <v>29</v>
      </c>
      <c r="R41">
        <v>0.92359000000000002</v>
      </c>
      <c r="T41" t="s">
        <v>107</v>
      </c>
      <c r="U41" s="5">
        <v>13360</v>
      </c>
      <c r="V41">
        <v>60</v>
      </c>
    </row>
    <row r="42" spans="1:22" x14ac:dyDescent="0.2">
      <c r="A42" t="str">
        <f t="shared" si="3"/>
        <v/>
      </c>
      <c r="B42" t="s">
        <v>110</v>
      </c>
      <c r="C42">
        <v>0.85758999999999996</v>
      </c>
      <c r="D42">
        <f t="shared" si="0"/>
        <v>39840</v>
      </c>
      <c r="E42">
        <f t="shared" si="1"/>
        <v>4.5</v>
      </c>
      <c r="F42">
        <f t="shared" si="2"/>
        <v>0.92352999999999996</v>
      </c>
      <c r="H42" t="s">
        <v>41</v>
      </c>
      <c r="I42">
        <v>0.78080000000000005</v>
      </c>
      <c r="K42" t="s">
        <v>103</v>
      </c>
      <c r="L42">
        <v>0.82218999999999998</v>
      </c>
      <c r="N42" t="s">
        <v>87</v>
      </c>
      <c r="O42">
        <v>0.84128999999999998</v>
      </c>
      <c r="Q42" t="s">
        <v>40</v>
      </c>
      <c r="R42">
        <v>0.92352999999999996</v>
      </c>
      <c r="T42" t="s">
        <v>110</v>
      </c>
      <c r="U42" s="5">
        <v>39840</v>
      </c>
      <c r="V42">
        <v>4.5</v>
      </c>
    </row>
    <row r="43" spans="1:22" x14ac:dyDescent="0.2">
      <c r="A43" t="str">
        <f t="shared" si="3"/>
        <v>Argentina</v>
      </c>
      <c r="B43" t="s">
        <v>111</v>
      </c>
      <c r="C43">
        <v>0.85733000000000004</v>
      </c>
      <c r="D43">
        <f t="shared" si="0"/>
        <v>22270</v>
      </c>
      <c r="E43">
        <f t="shared" si="1"/>
        <v>45.8</v>
      </c>
      <c r="F43">
        <f t="shared" si="2"/>
        <v>0.92306999999999995</v>
      </c>
      <c r="H43" t="s">
        <v>108</v>
      </c>
      <c r="I43">
        <v>0.75339999999999996</v>
      </c>
      <c r="K43" t="s">
        <v>90</v>
      </c>
      <c r="L43">
        <v>0.82164999999999999</v>
      </c>
      <c r="N43" t="s">
        <v>40</v>
      </c>
      <c r="O43">
        <v>0.84028999999999998</v>
      </c>
      <c r="Q43" t="s">
        <v>112</v>
      </c>
      <c r="R43">
        <v>0.92306999999999995</v>
      </c>
      <c r="T43" t="s">
        <v>111</v>
      </c>
      <c r="U43" s="5">
        <v>22270</v>
      </c>
      <c r="V43">
        <v>45.8</v>
      </c>
    </row>
    <row r="44" spans="1:22" x14ac:dyDescent="0.2">
      <c r="A44" t="str">
        <f t="shared" si="3"/>
        <v>Russia</v>
      </c>
      <c r="B44" t="s">
        <v>93</v>
      </c>
      <c r="C44">
        <v>0.85324999999999995</v>
      </c>
      <c r="D44">
        <f t="shared" si="0"/>
        <v>28710</v>
      </c>
      <c r="E44">
        <f t="shared" si="1"/>
        <v>143.6</v>
      </c>
      <c r="F44">
        <f t="shared" si="2"/>
        <v>0.92291000000000001</v>
      </c>
      <c r="H44" t="s">
        <v>85</v>
      </c>
      <c r="I44">
        <v>0.75339999999999996</v>
      </c>
      <c r="K44" t="s">
        <v>113</v>
      </c>
      <c r="L44">
        <v>0.82064999999999999</v>
      </c>
      <c r="N44" t="s">
        <v>114</v>
      </c>
      <c r="O44">
        <v>0.83887999999999996</v>
      </c>
      <c r="Q44" t="s">
        <v>115</v>
      </c>
      <c r="R44">
        <v>0.92291000000000001</v>
      </c>
      <c r="T44" t="s">
        <v>93</v>
      </c>
      <c r="U44" s="5">
        <v>28710</v>
      </c>
      <c r="V44">
        <v>143.6</v>
      </c>
    </row>
    <row r="45" spans="1:22" x14ac:dyDescent="0.2">
      <c r="A45" t="str">
        <f t="shared" si="3"/>
        <v/>
      </c>
      <c r="B45" t="s">
        <v>35</v>
      </c>
      <c r="C45">
        <v>0.85284000000000004</v>
      </c>
      <c r="E45">
        <f t="shared" si="1"/>
        <v>0.04</v>
      </c>
      <c r="F45">
        <f t="shared" si="2"/>
        <v>0.92281000000000002</v>
      </c>
      <c r="H45" t="s">
        <v>105</v>
      </c>
      <c r="I45">
        <v>0.75339999999999996</v>
      </c>
      <c r="K45" t="s">
        <v>116</v>
      </c>
      <c r="L45">
        <v>0.81842000000000004</v>
      </c>
      <c r="N45" t="s">
        <v>117</v>
      </c>
      <c r="O45">
        <v>0.83194000000000001</v>
      </c>
      <c r="Q45" t="s">
        <v>96</v>
      </c>
      <c r="R45">
        <v>0.92281000000000002</v>
      </c>
      <c r="T45" t="s">
        <v>35</v>
      </c>
      <c r="U45" s="8" t="s">
        <v>118</v>
      </c>
      <c r="V45">
        <v>0.04</v>
      </c>
    </row>
    <row r="46" spans="1:22" x14ac:dyDescent="0.2">
      <c r="A46" t="str">
        <f t="shared" si="3"/>
        <v/>
      </c>
      <c r="B46" t="s">
        <v>37</v>
      </c>
      <c r="C46">
        <v>0.84658</v>
      </c>
      <c r="D46">
        <f t="shared" si="0"/>
        <v>82230</v>
      </c>
      <c r="E46">
        <f t="shared" si="1"/>
        <v>0.6</v>
      </c>
      <c r="F46">
        <f t="shared" si="2"/>
        <v>0.92205999999999999</v>
      </c>
      <c r="H46" t="s">
        <v>113</v>
      </c>
      <c r="I46">
        <v>0.75339999999999996</v>
      </c>
      <c r="K46" t="s">
        <v>53</v>
      </c>
      <c r="L46">
        <v>0.81452999999999998</v>
      </c>
      <c r="N46" t="s">
        <v>85</v>
      </c>
      <c r="O46">
        <v>0.83038999999999996</v>
      </c>
      <c r="Q46" t="s">
        <v>67</v>
      </c>
      <c r="R46">
        <v>0.92205999999999999</v>
      </c>
      <c r="T46" t="s">
        <v>37</v>
      </c>
      <c r="U46" s="5">
        <v>82230</v>
      </c>
      <c r="V46">
        <v>0.6</v>
      </c>
    </row>
    <row r="47" spans="1:22" x14ac:dyDescent="0.2">
      <c r="A47" t="str">
        <f t="shared" si="3"/>
        <v/>
      </c>
      <c r="B47" t="s">
        <v>119</v>
      </c>
      <c r="C47">
        <v>0.84569000000000005</v>
      </c>
      <c r="D47">
        <f t="shared" si="0"/>
        <v>13350</v>
      </c>
      <c r="E47">
        <f t="shared" si="1"/>
        <v>3.4</v>
      </c>
      <c r="F47">
        <f t="shared" si="2"/>
        <v>0.92042999999999997</v>
      </c>
      <c r="H47" t="s">
        <v>65</v>
      </c>
      <c r="I47">
        <v>0.73970000000000002</v>
      </c>
      <c r="K47" t="s">
        <v>120</v>
      </c>
      <c r="L47">
        <v>0.81440999999999997</v>
      </c>
      <c r="N47" t="s">
        <v>35</v>
      </c>
      <c r="O47">
        <v>0.82630999999999999</v>
      </c>
      <c r="Q47" t="s">
        <v>121</v>
      </c>
      <c r="R47">
        <v>0.92042999999999997</v>
      </c>
      <c r="T47" t="s">
        <v>119</v>
      </c>
      <c r="U47" s="5">
        <v>13350</v>
      </c>
      <c r="V47">
        <v>3.4</v>
      </c>
    </row>
    <row r="48" spans="1:22" x14ac:dyDescent="0.2">
      <c r="A48" t="str">
        <f t="shared" si="3"/>
        <v>Canada</v>
      </c>
      <c r="B48" t="s">
        <v>122</v>
      </c>
      <c r="C48">
        <v>0.84516000000000002</v>
      </c>
      <c r="D48">
        <f t="shared" si="0"/>
        <v>55970</v>
      </c>
      <c r="E48">
        <f t="shared" si="1"/>
        <v>38.200000000000003</v>
      </c>
      <c r="F48">
        <f t="shared" si="2"/>
        <v>0.91798999999999997</v>
      </c>
      <c r="H48" t="s">
        <v>123</v>
      </c>
      <c r="I48">
        <v>0.73970000000000002</v>
      </c>
      <c r="K48" t="s">
        <v>75</v>
      </c>
      <c r="L48">
        <v>0.80915000000000004</v>
      </c>
      <c r="N48" t="s">
        <v>13</v>
      </c>
      <c r="O48">
        <v>0.82401999999999997</v>
      </c>
      <c r="Q48" t="s">
        <v>61</v>
      </c>
      <c r="R48">
        <v>0.91798999999999997</v>
      </c>
      <c r="T48" t="s">
        <v>122</v>
      </c>
      <c r="U48" s="5">
        <v>55970</v>
      </c>
      <c r="V48">
        <v>38.200000000000003</v>
      </c>
    </row>
    <row r="49" spans="1:22" x14ac:dyDescent="0.2">
      <c r="A49" t="str">
        <f t="shared" si="3"/>
        <v/>
      </c>
      <c r="B49" t="s">
        <v>124</v>
      </c>
      <c r="C49">
        <v>0.84216999999999997</v>
      </c>
      <c r="D49">
        <f t="shared" si="0"/>
        <v>16950</v>
      </c>
      <c r="E49">
        <f t="shared" si="1"/>
        <v>2.8</v>
      </c>
      <c r="F49">
        <f t="shared" si="2"/>
        <v>0.91710999999999998</v>
      </c>
      <c r="H49" t="s">
        <v>125</v>
      </c>
      <c r="I49">
        <v>0.73970000000000002</v>
      </c>
      <c r="K49" t="s">
        <v>73</v>
      </c>
      <c r="L49">
        <v>0.80774000000000001</v>
      </c>
      <c r="N49" t="s">
        <v>65</v>
      </c>
      <c r="O49">
        <v>0.81620000000000004</v>
      </c>
      <c r="Q49" t="s">
        <v>126</v>
      </c>
      <c r="R49">
        <v>0.91710999999999998</v>
      </c>
      <c r="T49" t="s">
        <v>124</v>
      </c>
      <c r="U49" s="5">
        <v>16950</v>
      </c>
      <c r="V49">
        <v>2.8</v>
      </c>
    </row>
    <row r="50" spans="1:22" x14ac:dyDescent="0.2">
      <c r="A50" t="str">
        <f t="shared" si="3"/>
        <v/>
      </c>
      <c r="B50" t="s">
        <v>127</v>
      </c>
      <c r="C50">
        <v>0.84153</v>
      </c>
      <c r="D50">
        <f t="shared" si="0"/>
        <v>38730</v>
      </c>
      <c r="E50">
        <f t="shared" si="1"/>
        <v>10.3</v>
      </c>
      <c r="F50">
        <f t="shared" si="2"/>
        <v>0.91707000000000005</v>
      </c>
      <c r="H50" t="s">
        <v>120</v>
      </c>
      <c r="I50">
        <v>0.72599999999999998</v>
      </c>
      <c r="K50" t="s">
        <v>128</v>
      </c>
      <c r="L50">
        <v>0.80542999999999998</v>
      </c>
      <c r="N50" t="s">
        <v>120</v>
      </c>
      <c r="O50">
        <v>0.81059000000000003</v>
      </c>
      <c r="Q50" t="s">
        <v>129</v>
      </c>
      <c r="R50">
        <v>0.91707000000000005</v>
      </c>
      <c r="T50" t="s">
        <v>127</v>
      </c>
      <c r="U50" s="5">
        <v>38730</v>
      </c>
      <c r="V50">
        <v>10.3</v>
      </c>
    </row>
    <row r="51" spans="1:22" x14ac:dyDescent="0.2">
      <c r="A51" t="str">
        <f t="shared" si="3"/>
        <v>Brazil</v>
      </c>
      <c r="B51" t="s">
        <v>130</v>
      </c>
      <c r="C51">
        <v>0.84026000000000001</v>
      </c>
      <c r="D51">
        <f t="shared" si="0"/>
        <v>15600</v>
      </c>
      <c r="E51">
        <f t="shared" si="1"/>
        <v>215.3</v>
      </c>
      <c r="F51">
        <f t="shared" si="2"/>
        <v>0.91586000000000001</v>
      </c>
      <c r="H51" t="s">
        <v>128</v>
      </c>
      <c r="I51">
        <v>0.72599999999999998</v>
      </c>
      <c r="K51" t="s">
        <v>85</v>
      </c>
      <c r="L51">
        <v>0.80371000000000004</v>
      </c>
      <c r="N51" t="s">
        <v>67</v>
      </c>
      <c r="O51">
        <v>0.80940999999999996</v>
      </c>
      <c r="Q51" t="s">
        <v>131</v>
      </c>
      <c r="R51">
        <v>0.91586000000000001</v>
      </c>
      <c r="T51" t="s">
        <v>130</v>
      </c>
      <c r="U51" s="5">
        <v>15600</v>
      </c>
      <c r="V51">
        <v>215.3</v>
      </c>
    </row>
    <row r="52" spans="1:22" x14ac:dyDescent="0.2">
      <c r="A52" t="str">
        <f t="shared" si="3"/>
        <v>Italy</v>
      </c>
      <c r="B52" t="s">
        <v>132</v>
      </c>
      <c r="C52">
        <v>0.83557000000000003</v>
      </c>
      <c r="D52">
        <f t="shared" si="0"/>
        <v>47190</v>
      </c>
      <c r="E52">
        <f t="shared" si="1"/>
        <v>59</v>
      </c>
      <c r="F52">
        <f t="shared" si="2"/>
        <v>0.91561000000000003</v>
      </c>
      <c r="H52" t="s">
        <v>133</v>
      </c>
      <c r="I52">
        <v>0.72599999999999998</v>
      </c>
      <c r="K52" t="s">
        <v>98</v>
      </c>
      <c r="L52">
        <v>0.80345999999999995</v>
      </c>
      <c r="N52" t="s">
        <v>70</v>
      </c>
      <c r="O52">
        <v>0.80767999999999995</v>
      </c>
      <c r="Q52" t="s">
        <v>134</v>
      </c>
      <c r="R52">
        <v>0.91561000000000003</v>
      </c>
      <c r="T52" t="s">
        <v>132</v>
      </c>
      <c r="U52" s="5">
        <v>47190</v>
      </c>
      <c r="V52">
        <v>59</v>
      </c>
    </row>
    <row r="53" spans="1:22" x14ac:dyDescent="0.2">
      <c r="A53" t="str">
        <f t="shared" si="3"/>
        <v>Thailand</v>
      </c>
      <c r="B53" t="s">
        <v>135</v>
      </c>
      <c r="C53">
        <v>0.83509999999999995</v>
      </c>
      <c r="D53">
        <f t="shared" si="0"/>
        <v>19110</v>
      </c>
      <c r="E53">
        <f t="shared" si="1"/>
        <v>71.7</v>
      </c>
      <c r="F53">
        <f t="shared" si="2"/>
        <v>0.91071999999999997</v>
      </c>
      <c r="H53" t="s">
        <v>136</v>
      </c>
      <c r="I53">
        <v>0.72599999999999998</v>
      </c>
      <c r="K53" t="s">
        <v>47</v>
      </c>
      <c r="L53">
        <v>0.79649000000000003</v>
      </c>
      <c r="N53" t="s">
        <v>105</v>
      </c>
      <c r="O53">
        <v>0.80320000000000003</v>
      </c>
      <c r="Q53" t="s">
        <v>92</v>
      </c>
      <c r="R53">
        <v>0.91071999999999997</v>
      </c>
      <c r="T53" t="s">
        <v>135</v>
      </c>
      <c r="U53" s="5">
        <v>19110</v>
      </c>
      <c r="V53">
        <v>71.7</v>
      </c>
    </row>
    <row r="54" spans="1:22" x14ac:dyDescent="0.2">
      <c r="A54" t="str">
        <f t="shared" si="3"/>
        <v/>
      </c>
      <c r="B54" t="s">
        <v>137</v>
      </c>
      <c r="C54">
        <v>0.82438</v>
      </c>
      <c r="D54">
        <f t="shared" si="0"/>
        <v>88070</v>
      </c>
      <c r="E54">
        <f t="shared" si="1"/>
        <v>2.9</v>
      </c>
      <c r="F54">
        <f t="shared" si="2"/>
        <v>0.90712999999999999</v>
      </c>
      <c r="H54" t="s">
        <v>62</v>
      </c>
      <c r="I54">
        <v>0.6986</v>
      </c>
      <c r="K54" t="s">
        <v>84</v>
      </c>
      <c r="L54">
        <v>0.79220000000000002</v>
      </c>
      <c r="N54" t="s">
        <v>77</v>
      </c>
      <c r="O54">
        <v>0.80257000000000001</v>
      </c>
      <c r="Q54" t="s">
        <v>95</v>
      </c>
      <c r="R54">
        <v>0.90712999999999999</v>
      </c>
      <c r="T54" t="s">
        <v>137</v>
      </c>
      <c r="U54" s="5">
        <v>88070</v>
      </c>
      <c r="V54">
        <v>2.9</v>
      </c>
    </row>
    <row r="55" spans="1:22" x14ac:dyDescent="0.2">
      <c r="A55" t="str">
        <f t="shared" si="3"/>
        <v/>
      </c>
      <c r="B55" t="s">
        <v>121</v>
      </c>
      <c r="C55">
        <v>0.82394000000000001</v>
      </c>
      <c r="D55">
        <f t="shared" si="0"/>
        <v>45130</v>
      </c>
      <c r="E55">
        <f t="shared" si="1"/>
        <v>10.7</v>
      </c>
      <c r="F55">
        <f t="shared" si="2"/>
        <v>0.90166999999999997</v>
      </c>
      <c r="H55" t="s">
        <v>51</v>
      </c>
      <c r="I55">
        <v>0.6986</v>
      </c>
      <c r="K55" t="s">
        <v>114</v>
      </c>
      <c r="L55">
        <v>0.78774999999999995</v>
      </c>
      <c r="N55" t="s">
        <v>138</v>
      </c>
      <c r="O55">
        <v>0.79823</v>
      </c>
      <c r="Q55" t="s">
        <v>109</v>
      </c>
      <c r="R55">
        <v>0.90166999999999997</v>
      </c>
      <c r="T55" t="s">
        <v>121</v>
      </c>
      <c r="U55" s="5">
        <v>45130</v>
      </c>
      <c r="V55">
        <v>10.7</v>
      </c>
    </row>
    <row r="56" spans="1:22" x14ac:dyDescent="0.2">
      <c r="A56" t="str">
        <f t="shared" si="3"/>
        <v/>
      </c>
      <c r="B56" t="s">
        <v>139</v>
      </c>
      <c r="C56">
        <v>0.81452999999999998</v>
      </c>
      <c r="D56">
        <f t="shared" si="0"/>
        <v>27800</v>
      </c>
      <c r="E56">
        <f t="shared" si="1"/>
        <v>6.5</v>
      </c>
      <c r="F56">
        <f t="shared" si="2"/>
        <v>0.89954000000000001</v>
      </c>
      <c r="H56" t="s">
        <v>90</v>
      </c>
      <c r="I56">
        <v>0.6986</v>
      </c>
      <c r="K56" t="s">
        <v>140</v>
      </c>
      <c r="L56">
        <v>0.77703999999999995</v>
      </c>
      <c r="N56" t="s">
        <v>73</v>
      </c>
      <c r="O56">
        <v>0.79766999999999999</v>
      </c>
      <c r="Q56" t="s">
        <v>44</v>
      </c>
      <c r="R56">
        <v>0.89954000000000001</v>
      </c>
      <c r="T56" t="s">
        <v>139</v>
      </c>
      <c r="U56" s="5">
        <v>27800</v>
      </c>
      <c r="V56">
        <v>6.5</v>
      </c>
    </row>
    <row r="57" spans="1:22" x14ac:dyDescent="0.2">
      <c r="A57" t="str">
        <f t="shared" si="3"/>
        <v/>
      </c>
      <c r="B57" t="s">
        <v>141</v>
      </c>
      <c r="C57">
        <v>0.81211999999999995</v>
      </c>
      <c r="D57">
        <f t="shared" si="0"/>
        <v>54640</v>
      </c>
      <c r="E57">
        <f t="shared" si="1"/>
        <v>11.7</v>
      </c>
      <c r="F57">
        <f t="shared" si="2"/>
        <v>0.89868999999999999</v>
      </c>
      <c r="H57" t="s">
        <v>142</v>
      </c>
      <c r="I57">
        <v>0.6986</v>
      </c>
      <c r="K57" t="s">
        <v>117</v>
      </c>
      <c r="L57">
        <v>0.77659999999999996</v>
      </c>
      <c r="N57" t="s">
        <v>37</v>
      </c>
      <c r="O57">
        <v>0.79547999999999996</v>
      </c>
      <c r="Q57" t="s">
        <v>143</v>
      </c>
      <c r="R57">
        <v>0.89868999999999999</v>
      </c>
      <c r="T57" t="s">
        <v>141</v>
      </c>
      <c r="U57" s="5">
        <v>54640</v>
      </c>
      <c r="V57">
        <v>11.7</v>
      </c>
    </row>
    <row r="58" spans="1:22" x14ac:dyDescent="0.2">
      <c r="A58" t="str">
        <f t="shared" si="3"/>
        <v>Malaysia</v>
      </c>
      <c r="B58" t="s">
        <v>51</v>
      </c>
      <c r="C58">
        <v>0.81113999999999997</v>
      </c>
      <c r="D58">
        <f t="shared" si="0"/>
        <v>28650</v>
      </c>
      <c r="E58">
        <f t="shared" si="1"/>
        <v>33.6</v>
      </c>
      <c r="F58">
        <f t="shared" si="2"/>
        <v>0.89851000000000003</v>
      </c>
      <c r="H58" t="s">
        <v>138</v>
      </c>
      <c r="I58">
        <v>0.6986</v>
      </c>
      <c r="K58" t="s">
        <v>129</v>
      </c>
      <c r="L58">
        <v>0.77271000000000001</v>
      </c>
      <c r="N58" t="s">
        <v>44</v>
      </c>
      <c r="O58">
        <v>0.79022999999999999</v>
      </c>
      <c r="Q58" t="s">
        <v>138</v>
      </c>
      <c r="R58">
        <v>0.89851000000000003</v>
      </c>
      <c r="T58" t="s">
        <v>51</v>
      </c>
      <c r="U58" s="5">
        <v>28650</v>
      </c>
      <c r="V58">
        <v>33.6</v>
      </c>
    </row>
    <row r="59" spans="1:22" x14ac:dyDescent="0.2">
      <c r="A59" t="str">
        <f t="shared" si="3"/>
        <v>Peru</v>
      </c>
      <c r="B59" t="s">
        <v>144</v>
      </c>
      <c r="C59">
        <v>0.80700000000000005</v>
      </c>
      <c r="D59">
        <f t="shared" si="0"/>
        <v>12480</v>
      </c>
      <c r="E59">
        <f t="shared" si="1"/>
        <v>33.700000000000003</v>
      </c>
      <c r="F59">
        <f t="shared" si="2"/>
        <v>0.89790999999999999</v>
      </c>
      <c r="H59" t="s">
        <v>145</v>
      </c>
      <c r="I59">
        <v>0.68489999999999995</v>
      </c>
      <c r="K59" t="s">
        <v>30</v>
      </c>
      <c r="L59">
        <v>0.76549</v>
      </c>
      <c r="N59" t="s">
        <v>136</v>
      </c>
      <c r="O59">
        <v>0.78766000000000003</v>
      </c>
      <c r="Q59" t="s">
        <v>114</v>
      </c>
      <c r="R59">
        <v>0.89790999999999999</v>
      </c>
      <c r="T59" t="s">
        <v>144</v>
      </c>
      <c r="U59" s="5">
        <v>12480</v>
      </c>
      <c r="V59">
        <v>33.700000000000003</v>
      </c>
    </row>
    <row r="60" spans="1:22" x14ac:dyDescent="0.2">
      <c r="A60" t="str">
        <f t="shared" si="3"/>
        <v/>
      </c>
      <c r="B60" t="s">
        <v>146</v>
      </c>
      <c r="C60">
        <v>0.80430000000000001</v>
      </c>
      <c r="D60">
        <f t="shared" si="0"/>
        <v>35540</v>
      </c>
      <c r="E60">
        <f t="shared" si="1"/>
        <v>9.6</v>
      </c>
      <c r="F60">
        <f t="shared" si="2"/>
        <v>0.89512000000000003</v>
      </c>
      <c r="H60" t="s">
        <v>129</v>
      </c>
      <c r="I60">
        <v>0.67120000000000002</v>
      </c>
      <c r="K60" t="s">
        <v>142</v>
      </c>
      <c r="L60">
        <v>0.76483999999999996</v>
      </c>
      <c r="N60" t="s">
        <v>147</v>
      </c>
      <c r="O60">
        <v>0.78449999999999998</v>
      </c>
      <c r="Q60" t="s">
        <v>77</v>
      </c>
      <c r="R60">
        <v>0.89512000000000003</v>
      </c>
      <c r="T60" t="s">
        <v>146</v>
      </c>
      <c r="U60" s="5">
        <v>35540</v>
      </c>
      <c r="V60">
        <v>9.6</v>
      </c>
    </row>
    <row r="61" spans="1:22" x14ac:dyDescent="0.2">
      <c r="A61" t="str">
        <f t="shared" si="3"/>
        <v/>
      </c>
      <c r="B61" t="s">
        <v>148</v>
      </c>
      <c r="C61">
        <v>0.80213999999999996</v>
      </c>
      <c r="D61">
        <f t="shared" si="0"/>
        <v>38540</v>
      </c>
      <c r="E61">
        <f t="shared" si="1"/>
        <v>5.4</v>
      </c>
      <c r="F61">
        <f t="shared" si="2"/>
        <v>0.89405999999999997</v>
      </c>
      <c r="H61" t="s">
        <v>53</v>
      </c>
      <c r="I61">
        <v>0.67120000000000002</v>
      </c>
      <c r="K61" t="s">
        <v>123</v>
      </c>
      <c r="L61">
        <v>0.76366000000000001</v>
      </c>
      <c r="N61" t="s">
        <v>149</v>
      </c>
      <c r="O61">
        <v>0.78356000000000003</v>
      </c>
      <c r="Q61" t="s">
        <v>90</v>
      </c>
      <c r="R61">
        <v>0.89405999999999997</v>
      </c>
      <c r="T61" t="s">
        <v>148</v>
      </c>
      <c r="U61" s="5">
        <v>38540</v>
      </c>
      <c r="V61">
        <v>5.4</v>
      </c>
    </row>
    <row r="62" spans="1:22" x14ac:dyDescent="0.2">
      <c r="A62" t="str">
        <f t="shared" si="3"/>
        <v/>
      </c>
      <c r="B62" t="s">
        <v>150</v>
      </c>
      <c r="C62">
        <v>0.80088999999999999</v>
      </c>
      <c r="D62">
        <f t="shared" si="0"/>
        <v>23340</v>
      </c>
      <c r="E62">
        <f t="shared" si="1"/>
        <v>5.2</v>
      </c>
      <c r="F62">
        <f t="shared" si="2"/>
        <v>0.89327000000000001</v>
      </c>
      <c r="H62" t="s">
        <v>109</v>
      </c>
      <c r="I62">
        <v>0.65749999999999997</v>
      </c>
      <c r="K62" t="s">
        <v>109</v>
      </c>
      <c r="L62">
        <v>0.76239000000000001</v>
      </c>
      <c r="N62" t="s">
        <v>125</v>
      </c>
      <c r="O62">
        <v>0.77930999999999995</v>
      </c>
      <c r="Q62" t="s">
        <v>136</v>
      </c>
      <c r="R62">
        <v>0.89327000000000001</v>
      </c>
      <c r="T62" t="s">
        <v>150</v>
      </c>
      <c r="U62" s="5">
        <v>23340</v>
      </c>
      <c r="V62">
        <v>5.2</v>
      </c>
    </row>
    <row r="63" spans="1:22" x14ac:dyDescent="0.2">
      <c r="A63" t="str">
        <f t="shared" si="3"/>
        <v/>
      </c>
      <c r="B63" t="s">
        <v>151</v>
      </c>
      <c r="C63">
        <v>0.8</v>
      </c>
      <c r="D63">
        <f t="shared" si="0"/>
        <v>16000</v>
      </c>
      <c r="E63">
        <f t="shared" si="1"/>
        <v>2.8</v>
      </c>
      <c r="F63">
        <f t="shared" si="2"/>
        <v>0.89224000000000003</v>
      </c>
      <c r="H63" t="s">
        <v>35</v>
      </c>
      <c r="I63">
        <v>0.65749999999999997</v>
      </c>
      <c r="K63" t="s">
        <v>105</v>
      </c>
      <c r="L63">
        <v>0.76105</v>
      </c>
      <c r="N63" t="s">
        <v>133</v>
      </c>
      <c r="O63">
        <v>0.77764</v>
      </c>
      <c r="Q63" t="s">
        <v>145</v>
      </c>
      <c r="R63">
        <v>0.89224000000000003</v>
      </c>
      <c r="T63" t="s">
        <v>151</v>
      </c>
      <c r="U63" s="5">
        <v>16000</v>
      </c>
      <c r="V63">
        <v>2.8</v>
      </c>
    </row>
    <row r="64" spans="1:22" x14ac:dyDescent="0.2">
      <c r="A64" t="str">
        <f t="shared" si="3"/>
        <v>Uzbekistan</v>
      </c>
      <c r="B64" t="s">
        <v>152</v>
      </c>
      <c r="C64">
        <v>0.79990000000000006</v>
      </c>
      <c r="D64">
        <f t="shared" si="0"/>
        <v>9470</v>
      </c>
      <c r="E64">
        <f t="shared" si="1"/>
        <v>35.299999999999997</v>
      </c>
      <c r="F64">
        <f t="shared" si="2"/>
        <v>0.89126000000000005</v>
      </c>
      <c r="H64" t="s">
        <v>153</v>
      </c>
      <c r="I64">
        <v>0.65749999999999997</v>
      </c>
      <c r="K64" t="s">
        <v>154</v>
      </c>
      <c r="L64">
        <v>0.75905</v>
      </c>
      <c r="N64" t="s">
        <v>103</v>
      </c>
      <c r="O64">
        <v>0.77747999999999995</v>
      </c>
      <c r="Q64" t="s">
        <v>155</v>
      </c>
      <c r="R64">
        <v>0.89126000000000005</v>
      </c>
      <c r="T64" t="s">
        <v>152</v>
      </c>
      <c r="U64" s="5">
        <v>9470</v>
      </c>
      <c r="V64">
        <v>35.299999999999997</v>
      </c>
    </row>
    <row r="65" spans="1:22" x14ac:dyDescent="0.2">
      <c r="A65" t="str">
        <f t="shared" si="3"/>
        <v>Indonesia</v>
      </c>
      <c r="B65" t="s">
        <v>156</v>
      </c>
      <c r="C65">
        <v>0.79910999999999999</v>
      </c>
      <c r="D65">
        <f t="shared" si="0"/>
        <v>12310</v>
      </c>
      <c r="E65">
        <f t="shared" si="1"/>
        <v>275.5</v>
      </c>
      <c r="F65">
        <f t="shared" si="2"/>
        <v>0.88273000000000001</v>
      </c>
      <c r="H65" t="s">
        <v>73</v>
      </c>
      <c r="I65">
        <v>0.65749999999999997</v>
      </c>
      <c r="K65" t="s">
        <v>37</v>
      </c>
      <c r="L65">
        <v>0.75553999999999999</v>
      </c>
      <c r="N65" t="s">
        <v>69</v>
      </c>
      <c r="O65">
        <v>0.77149999999999996</v>
      </c>
      <c r="Q65" t="s">
        <v>157</v>
      </c>
      <c r="R65">
        <v>0.88273000000000001</v>
      </c>
      <c r="T65" t="s">
        <v>156</v>
      </c>
      <c r="U65" s="5">
        <v>12310</v>
      </c>
      <c r="V65">
        <v>275.5</v>
      </c>
    </row>
    <row r="66" spans="1:22" x14ac:dyDescent="0.2">
      <c r="A66" t="str">
        <f t="shared" si="3"/>
        <v>Mexico</v>
      </c>
      <c r="B66" t="s">
        <v>158</v>
      </c>
      <c r="C66">
        <v>0.78498999999999997</v>
      </c>
      <c r="D66">
        <f t="shared" si="0"/>
        <v>20960</v>
      </c>
      <c r="E66">
        <f t="shared" si="1"/>
        <v>127.5</v>
      </c>
      <c r="F66">
        <f t="shared" si="2"/>
        <v>0.88153999999999999</v>
      </c>
      <c r="H66" t="s">
        <v>116</v>
      </c>
      <c r="I66">
        <v>0.65749999999999997</v>
      </c>
      <c r="K66" t="s">
        <v>125</v>
      </c>
      <c r="L66">
        <v>0.75209999999999999</v>
      </c>
      <c r="N66" t="s">
        <v>123</v>
      </c>
      <c r="O66">
        <v>0.76027</v>
      </c>
      <c r="Q66" t="s">
        <v>159</v>
      </c>
      <c r="R66">
        <v>0.88153999999999999</v>
      </c>
      <c r="T66" t="s">
        <v>158</v>
      </c>
      <c r="U66" s="5">
        <v>20960</v>
      </c>
      <c r="V66">
        <v>127.5</v>
      </c>
    </row>
    <row r="67" spans="1:22" x14ac:dyDescent="0.2">
      <c r="A67" t="str">
        <f t="shared" ref="A67:A130" si="4">IF(E67&gt;15, B67, "")</f>
        <v/>
      </c>
      <c r="B67" t="s">
        <v>160</v>
      </c>
      <c r="C67">
        <v>0.78120000000000001</v>
      </c>
      <c r="D67">
        <f t="shared" ref="D67:D130" si="5">INDEX($U$2:$U$194, MATCH(B67,$T$2:$T$194,0))</f>
        <v>74630</v>
      </c>
      <c r="E67">
        <f t="shared" ref="E67:E130" si="6">INDEX($V$2:$V$194, MATCH(B67,$T$2:$T$194,0))</f>
        <v>4.3</v>
      </c>
      <c r="F67">
        <f t="shared" ref="F67:F130" si="7">INDEX($R$2:$R$194, MATCH(B67,$T$2:$T$194,0))</f>
        <v>0.87824000000000002</v>
      </c>
      <c r="H67" t="s">
        <v>114</v>
      </c>
      <c r="I67">
        <v>0.64380000000000004</v>
      </c>
      <c r="K67" t="s">
        <v>35</v>
      </c>
      <c r="L67">
        <v>0.74156999999999995</v>
      </c>
      <c r="N67" t="s">
        <v>142</v>
      </c>
      <c r="O67">
        <v>0.75800999999999996</v>
      </c>
      <c r="Q67" t="s">
        <v>84</v>
      </c>
      <c r="R67">
        <v>0.87824000000000002</v>
      </c>
      <c r="T67" t="s">
        <v>160</v>
      </c>
      <c r="U67" s="5">
        <v>74630</v>
      </c>
      <c r="V67">
        <v>4.3</v>
      </c>
    </row>
    <row r="68" spans="1:22" x14ac:dyDescent="0.2">
      <c r="A68" t="str">
        <f t="shared" si="4"/>
        <v>Ecuador</v>
      </c>
      <c r="B68" t="s">
        <v>161</v>
      </c>
      <c r="C68">
        <v>0.77997000000000005</v>
      </c>
      <c r="D68">
        <f t="shared" si="5"/>
        <v>11500</v>
      </c>
      <c r="E68">
        <f t="shared" si="6"/>
        <v>18.100000000000001</v>
      </c>
      <c r="F68">
        <f t="shared" si="7"/>
        <v>0.87797000000000003</v>
      </c>
      <c r="H68" t="s">
        <v>117</v>
      </c>
      <c r="I68">
        <v>0.64380000000000004</v>
      </c>
      <c r="K68" t="s">
        <v>162</v>
      </c>
      <c r="L68">
        <v>0.73863000000000001</v>
      </c>
      <c r="N68" t="s">
        <v>163</v>
      </c>
      <c r="O68">
        <v>0.75500999999999996</v>
      </c>
      <c r="Q68" t="s">
        <v>164</v>
      </c>
      <c r="R68">
        <v>0.87797000000000003</v>
      </c>
      <c r="T68" t="s">
        <v>161</v>
      </c>
      <c r="U68" s="5">
        <v>11500</v>
      </c>
      <c r="V68">
        <v>18.100000000000001</v>
      </c>
    </row>
    <row r="69" spans="1:22" x14ac:dyDescent="0.2">
      <c r="A69" t="str">
        <f t="shared" si="4"/>
        <v>Colombia</v>
      </c>
      <c r="B69" t="s">
        <v>165</v>
      </c>
      <c r="C69">
        <v>0.77929999999999999</v>
      </c>
      <c r="D69">
        <f t="shared" si="5"/>
        <v>16580</v>
      </c>
      <c r="E69">
        <f t="shared" si="6"/>
        <v>51.5</v>
      </c>
      <c r="F69">
        <f t="shared" si="7"/>
        <v>0.87687000000000004</v>
      </c>
      <c r="H69" t="s">
        <v>37</v>
      </c>
      <c r="I69">
        <v>0.63009999999999999</v>
      </c>
      <c r="K69" t="s">
        <v>166</v>
      </c>
      <c r="L69">
        <v>0.73743999999999998</v>
      </c>
      <c r="N69" t="s">
        <v>129</v>
      </c>
      <c r="O69">
        <v>0.75378000000000001</v>
      </c>
      <c r="Q69" t="s">
        <v>142</v>
      </c>
      <c r="R69">
        <v>0.87687000000000004</v>
      </c>
      <c r="T69" t="s">
        <v>165</v>
      </c>
      <c r="U69" s="5">
        <v>16580</v>
      </c>
      <c r="V69">
        <v>51.5</v>
      </c>
    </row>
    <row r="70" spans="1:22" x14ac:dyDescent="0.2">
      <c r="A70" t="str">
        <f t="shared" si="4"/>
        <v/>
      </c>
      <c r="B70" t="s">
        <v>95</v>
      </c>
      <c r="C70">
        <v>0.77922999999999998</v>
      </c>
      <c r="D70">
        <f t="shared" si="5"/>
        <v>18170</v>
      </c>
      <c r="E70">
        <f t="shared" si="6"/>
        <v>3.7</v>
      </c>
      <c r="F70">
        <f t="shared" si="7"/>
        <v>0.87280999999999997</v>
      </c>
      <c r="H70" t="s">
        <v>47</v>
      </c>
      <c r="I70">
        <v>0.63009999999999999</v>
      </c>
      <c r="K70" t="s">
        <v>51</v>
      </c>
      <c r="L70">
        <v>0.72796000000000005</v>
      </c>
      <c r="N70" t="s">
        <v>167</v>
      </c>
      <c r="O70">
        <v>0.75202999999999998</v>
      </c>
      <c r="Q70" t="s">
        <v>34</v>
      </c>
      <c r="R70">
        <v>0.87280999999999997</v>
      </c>
      <c r="T70" t="s">
        <v>95</v>
      </c>
      <c r="U70" s="5">
        <v>18170</v>
      </c>
      <c r="V70">
        <v>3.7</v>
      </c>
    </row>
    <row r="71" spans="1:22" x14ac:dyDescent="0.2">
      <c r="A71" t="str">
        <f t="shared" si="4"/>
        <v/>
      </c>
      <c r="B71" t="s">
        <v>168</v>
      </c>
      <c r="C71">
        <v>0.77195000000000003</v>
      </c>
      <c r="D71">
        <f t="shared" si="5"/>
        <v>14260</v>
      </c>
      <c r="E71">
        <f t="shared" si="6"/>
        <v>2.6</v>
      </c>
      <c r="F71">
        <f t="shared" si="7"/>
        <v>0.87141000000000002</v>
      </c>
      <c r="H71" t="s">
        <v>154</v>
      </c>
      <c r="I71">
        <v>0.61639999999999995</v>
      </c>
      <c r="K71" t="s">
        <v>133</v>
      </c>
      <c r="L71">
        <v>0.72636000000000001</v>
      </c>
      <c r="N71" t="s">
        <v>126</v>
      </c>
      <c r="O71">
        <v>0.75149999999999995</v>
      </c>
      <c r="Q71" t="s">
        <v>169</v>
      </c>
      <c r="R71">
        <v>0.87141000000000002</v>
      </c>
      <c r="T71" t="s">
        <v>168</v>
      </c>
      <c r="U71" s="5">
        <v>14260</v>
      </c>
      <c r="V71">
        <v>2.6</v>
      </c>
    </row>
    <row r="72" spans="1:22" x14ac:dyDescent="0.2">
      <c r="A72" t="str">
        <f t="shared" si="4"/>
        <v>Vietnam</v>
      </c>
      <c r="B72" t="s">
        <v>170</v>
      </c>
      <c r="C72">
        <v>0.77092000000000005</v>
      </c>
      <c r="D72">
        <f t="shared" si="5"/>
        <v>11260</v>
      </c>
      <c r="E72">
        <f t="shared" si="6"/>
        <v>98.2</v>
      </c>
      <c r="F72">
        <f t="shared" si="7"/>
        <v>0.86983999999999995</v>
      </c>
      <c r="H72" t="s">
        <v>166</v>
      </c>
      <c r="I72">
        <v>0.61639999999999995</v>
      </c>
      <c r="K72" t="s">
        <v>106</v>
      </c>
      <c r="L72">
        <v>0.72243999999999997</v>
      </c>
      <c r="N72" t="s">
        <v>171</v>
      </c>
      <c r="O72">
        <v>0.74877000000000005</v>
      </c>
      <c r="Q72" t="s">
        <v>106</v>
      </c>
      <c r="R72">
        <v>0.86983999999999995</v>
      </c>
      <c r="T72" t="s">
        <v>170</v>
      </c>
      <c r="U72" s="5">
        <v>11260</v>
      </c>
      <c r="V72">
        <v>98.2</v>
      </c>
    </row>
    <row r="73" spans="1:22" x14ac:dyDescent="0.2">
      <c r="A73" t="str">
        <f t="shared" si="4"/>
        <v>Romania</v>
      </c>
      <c r="B73" t="s">
        <v>172</v>
      </c>
      <c r="C73">
        <v>0.76363999999999999</v>
      </c>
      <c r="D73">
        <f t="shared" si="5"/>
        <v>34520</v>
      </c>
      <c r="E73">
        <f t="shared" si="6"/>
        <v>19</v>
      </c>
      <c r="F73">
        <f t="shared" si="7"/>
        <v>0.86745000000000005</v>
      </c>
      <c r="H73" t="s">
        <v>173</v>
      </c>
      <c r="I73">
        <v>0.60270000000000001</v>
      </c>
      <c r="K73" t="s">
        <v>136</v>
      </c>
      <c r="L73">
        <v>0.72169000000000005</v>
      </c>
      <c r="N73" t="s">
        <v>108</v>
      </c>
      <c r="O73">
        <v>0.74690000000000001</v>
      </c>
      <c r="Q73" t="s">
        <v>174</v>
      </c>
      <c r="R73">
        <v>0.86745000000000005</v>
      </c>
      <c r="T73" t="s">
        <v>172</v>
      </c>
      <c r="U73" s="5">
        <v>34520</v>
      </c>
      <c r="V73">
        <v>19</v>
      </c>
    </row>
    <row r="74" spans="1:22" x14ac:dyDescent="0.2">
      <c r="A74" t="str">
        <f t="shared" si="4"/>
        <v>Philippines</v>
      </c>
      <c r="B74" t="s">
        <v>175</v>
      </c>
      <c r="C74">
        <v>0.76212000000000002</v>
      </c>
      <c r="D74">
        <f t="shared" si="5"/>
        <v>9820</v>
      </c>
      <c r="E74">
        <f t="shared" si="6"/>
        <v>115.6</v>
      </c>
      <c r="F74">
        <f t="shared" si="7"/>
        <v>0.86568000000000001</v>
      </c>
      <c r="H74" t="s">
        <v>164</v>
      </c>
      <c r="I74">
        <v>0.60270000000000001</v>
      </c>
      <c r="K74" t="s">
        <v>88</v>
      </c>
      <c r="L74">
        <v>0.71436999999999995</v>
      </c>
      <c r="N74" t="s">
        <v>131</v>
      </c>
      <c r="O74">
        <v>0.74563999999999997</v>
      </c>
      <c r="Q74" t="s">
        <v>53</v>
      </c>
      <c r="R74">
        <v>0.86568000000000001</v>
      </c>
      <c r="T74" t="s">
        <v>175</v>
      </c>
      <c r="U74" s="5">
        <v>9820</v>
      </c>
      <c r="V74">
        <v>115.6</v>
      </c>
    </row>
    <row r="75" spans="1:22" x14ac:dyDescent="0.2">
      <c r="A75" t="str">
        <f t="shared" si="4"/>
        <v/>
      </c>
      <c r="B75" t="s">
        <v>176</v>
      </c>
      <c r="C75">
        <v>0.76073000000000002</v>
      </c>
      <c r="D75">
        <f t="shared" si="5"/>
        <v>14540</v>
      </c>
      <c r="E75">
        <f t="shared" si="6"/>
        <v>10.199999999999999</v>
      </c>
      <c r="F75">
        <f t="shared" si="7"/>
        <v>0.86521999999999999</v>
      </c>
      <c r="H75" t="s">
        <v>177</v>
      </c>
      <c r="I75">
        <v>0.58899999999999997</v>
      </c>
      <c r="K75" t="s">
        <v>138</v>
      </c>
      <c r="L75">
        <v>0.70969000000000004</v>
      </c>
      <c r="N75" t="s">
        <v>145</v>
      </c>
      <c r="O75">
        <v>0.74392000000000003</v>
      </c>
      <c r="Q75" t="s">
        <v>178</v>
      </c>
      <c r="R75">
        <v>0.86521999999999999</v>
      </c>
      <c r="T75" t="s">
        <v>176</v>
      </c>
      <c r="U75" s="5">
        <v>14540</v>
      </c>
      <c r="V75">
        <v>10.199999999999999</v>
      </c>
    </row>
    <row r="76" spans="1:22" x14ac:dyDescent="0.2">
      <c r="A76" t="str">
        <f t="shared" si="4"/>
        <v/>
      </c>
      <c r="B76" t="s">
        <v>179</v>
      </c>
      <c r="C76">
        <v>0.75536000000000003</v>
      </c>
      <c r="D76">
        <f t="shared" si="5"/>
        <v>83530</v>
      </c>
      <c r="E76">
        <f t="shared" si="6"/>
        <v>0.4</v>
      </c>
      <c r="F76">
        <f t="shared" si="7"/>
        <v>0.86495</v>
      </c>
      <c r="H76" t="s">
        <v>104</v>
      </c>
      <c r="I76">
        <v>0.58899999999999997</v>
      </c>
      <c r="K76" t="s">
        <v>164</v>
      </c>
      <c r="L76">
        <v>0.70811000000000002</v>
      </c>
      <c r="N76" t="s">
        <v>134</v>
      </c>
      <c r="O76">
        <v>0.74187999999999998</v>
      </c>
      <c r="Q76" t="s">
        <v>180</v>
      </c>
      <c r="R76">
        <v>0.86495</v>
      </c>
      <c r="T76" t="s">
        <v>179</v>
      </c>
      <c r="U76" s="5">
        <v>83530</v>
      </c>
      <c r="V76">
        <v>0.4</v>
      </c>
    </row>
    <row r="77" spans="1:22" x14ac:dyDescent="0.2">
      <c r="A77" t="str">
        <f t="shared" si="4"/>
        <v/>
      </c>
      <c r="B77" t="s">
        <v>181</v>
      </c>
      <c r="C77">
        <v>0.75061</v>
      </c>
      <c r="D77">
        <f t="shared" si="5"/>
        <v>24310</v>
      </c>
      <c r="E77">
        <f t="shared" si="6"/>
        <v>1.3</v>
      </c>
      <c r="F77">
        <f t="shared" si="7"/>
        <v>0.86448000000000003</v>
      </c>
      <c r="H77" t="s">
        <v>182</v>
      </c>
      <c r="I77">
        <v>0.57530000000000003</v>
      </c>
      <c r="K77" t="s">
        <v>183</v>
      </c>
      <c r="L77">
        <v>0.70416999999999996</v>
      </c>
      <c r="N77" t="s">
        <v>184</v>
      </c>
      <c r="O77">
        <v>0.74131000000000002</v>
      </c>
      <c r="Q77" t="s">
        <v>98</v>
      </c>
      <c r="R77">
        <v>0.86448000000000003</v>
      </c>
      <c r="T77" t="s">
        <v>181</v>
      </c>
      <c r="U77" s="5">
        <v>24310</v>
      </c>
      <c r="V77">
        <v>1.3</v>
      </c>
    </row>
    <row r="78" spans="1:22" x14ac:dyDescent="0.2">
      <c r="A78" t="str">
        <f t="shared" si="4"/>
        <v/>
      </c>
      <c r="B78" t="s">
        <v>185</v>
      </c>
      <c r="C78">
        <v>0.74448999999999999</v>
      </c>
      <c r="D78">
        <f t="shared" si="5"/>
        <v>20080</v>
      </c>
      <c r="E78">
        <f t="shared" si="6"/>
        <v>9.3000000000000007</v>
      </c>
      <c r="F78">
        <f t="shared" si="7"/>
        <v>0.85229999999999995</v>
      </c>
      <c r="H78" t="s">
        <v>95</v>
      </c>
      <c r="I78">
        <v>0.56159999999999999</v>
      </c>
      <c r="K78" t="s">
        <v>104</v>
      </c>
      <c r="L78">
        <v>0.70062999999999998</v>
      </c>
      <c r="N78" t="s">
        <v>178</v>
      </c>
      <c r="O78">
        <v>0.73762000000000005</v>
      </c>
      <c r="Q78" t="s">
        <v>186</v>
      </c>
      <c r="R78">
        <v>0.85229999999999995</v>
      </c>
      <c r="T78" t="s">
        <v>185</v>
      </c>
      <c r="U78" s="5">
        <v>20080</v>
      </c>
      <c r="V78">
        <v>9.3000000000000007</v>
      </c>
    </row>
    <row r="79" spans="1:22" x14ac:dyDescent="0.2">
      <c r="A79" t="str">
        <f t="shared" si="4"/>
        <v/>
      </c>
      <c r="B79" t="s">
        <v>187</v>
      </c>
      <c r="C79">
        <v>0.73160000000000003</v>
      </c>
      <c r="D79">
        <f t="shared" si="5"/>
        <v>5300</v>
      </c>
      <c r="E79">
        <f t="shared" si="6"/>
        <v>6.7</v>
      </c>
      <c r="F79">
        <f t="shared" si="7"/>
        <v>0.84277999999999997</v>
      </c>
      <c r="H79" t="s">
        <v>112</v>
      </c>
      <c r="I79">
        <v>0.54790000000000005</v>
      </c>
      <c r="K79" t="s">
        <v>177</v>
      </c>
      <c r="L79">
        <v>0.70016</v>
      </c>
      <c r="N79" t="s">
        <v>98</v>
      </c>
      <c r="O79">
        <v>0.72933999999999999</v>
      </c>
      <c r="Q79" t="s">
        <v>13</v>
      </c>
      <c r="R79">
        <v>0.84277999999999997</v>
      </c>
      <c r="T79" t="s">
        <v>187</v>
      </c>
      <c r="U79" s="5">
        <v>5300</v>
      </c>
      <c r="V79">
        <v>6.7</v>
      </c>
    </row>
    <row r="80" spans="1:22" x14ac:dyDescent="0.2">
      <c r="A80" t="str">
        <f t="shared" si="4"/>
        <v/>
      </c>
      <c r="B80" t="s">
        <v>188</v>
      </c>
      <c r="C80">
        <v>0.72980999999999996</v>
      </c>
      <c r="D80">
        <f t="shared" si="5"/>
        <v>30990</v>
      </c>
      <c r="E80">
        <f t="shared" si="6"/>
        <v>4.4000000000000004</v>
      </c>
      <c r="F80">
        <f t="shared" si="7"/>
        <v>0.84253999999999996</v>
      </c>
      <c r="H80" t="s">
        <v>189</v>
      </c>
      <c r="I80">
        <v>0.54790000000000005</v>
      </c>
      <c r="K80" t="s">
        <v>190</v>
      </c>
      <c r="L80">
        <v>0.68916999999999995</v>
      </c>
      <c r="N80" t="s">
        <v>164</v>
      </c>
      <c r="O80">
        <v>0.72665000000000002</v>
      </c>
      <c r="Q80" t="s">
        <v>47</v>
      </c>
      <c r="R80">
        <v>0.84253999999999996</v>
      </c>
      <c r="T80" t="s">
        <v>188</v>
      </c>
      <c r="U80" s="5">
        <v>30990</v>
      </c>
      <c r="V80">
        <v>4.4000000000000004</v>
      </c>
    </row>
    <row r="81" spans="1:22" x14ac:dyDescent="0.2">
      <c r="A81" t="str">
        <f t="shared" si="4"/>
        <v/>
      </c>
      <c r="B81" t="s">
        <v>191</v>
      </c>
      <c r="C81">
        <v>0.72506999999999999</v>
      </c>
      <c r="D81">
        <f t="shared" si="5"/>
        <v>13990</v>
      </c>
      <c r="E81">
        <f t="shared" si="6"/>
        <v>7.3</v>
      </c>
      <c r="F81">
        <f t="shared" si="7"/>
        <v>0.83638000000000001</v>
      </c>
      <c r="H81" t="s">
        <v>190</v>
      </c>
      <c r="I81">
        <v>0.54790000000000005</v>
      </c>
      <c r="K81" t="s">
        <v>173</v>
      </c>
      <c r="L81">
        <v>0.67115000000000002</v>
      </c>
      <c r="N81" t="s">
        <v>128</v>
      </c>
      <c r="O81">
        <v>0.72555999999999998</v>
      </c>
      <c r="Q81" t="s">
        <v>108</v>
      </c>
      <c r="R81">
        <v>0.83638000000000001</v>
      </c>
      <c r="T81" t="s">
        <v>191</v>
      </c>
      <c r="U81" s="5">
        <v>13990</v>
      </c>
      <c r="V81">
        <v>7.3</v>
      </c>
    </row>
    <row r="82" spans="1:22" x14ac:dyDescent="0.2">
      <c r="A82" t="str">
        <f t="shared" si="4"/>
        <v/>
      </c>
      <c r="B82" t="s">
        <v>115</v>
      </c>
      <c r="C82">
        <v>0.72111000000000003</v>
      </c>
      <c r="D82">
        <f t="shared" si="5"/>
        <v>22940</v>
      </c>
      <c r="E82">
        <f t="shared" si="6"/>
        <v>0.6</v>
      </c>
      <c r="F82">
        <f t="shared" si="7"/>
        <v>0.83565999999999996</v>
      </c>
      <c r="H82" t="s">
        <v>88</v>
      </c>
      <c r="I82">
        <v>0.54790000000000005</v>
      </c>
      <c r="K82" t="s">
        <v>182</v>
      </c>
      <c r="L82">
        <v>0.66415000000000002</v>
      </c>
      <c r="N82" t="s">
        <v>162</v>
      </c>
      <c r="O82">
        <v>0.72328999999999999</v>
      </c>
      <c r="Q82" t="s">
        <v>192</v>
      </c>
      <c r="R82">
        <v>0.83565999999999996</v>
      </c>
      <c r="T82" t="s">
        <v>115</v>
      </c>
      <c r="U82" s="5">
        <v>22940</v>
      </c>
      <c r="V82">
        <v>0.6</v>
      </c>
    </row>
    <row r="83" spans="1:22" x14ac:dyDescent="0.2">
      <c r="A83" t="str">
        <f t="shared" si="4"/>
        <v/>
      </c>
      <c r="B83" t="s">
        <v>193</v>
      </c>
      <c r="C83">
        <v>0.71747000000000005</v>
      </c>
      <c r="E83">
        <f t="shared" si="6"/>
        <v>0.04</v>
      </c>
      <c r="F83">
        <f t="shared" si="7"/>
        <v>0.83221000000000001</v>
      </c>
      <c r="H83" t="s">
        <v>194</v>
      </c>
      <c r="I83">
        <v>0.53420000000000001</v>
      </c>
      <c r="K83" t="s">
        <v>145</v>
      </c>
      <c r="L83">
        <v>0.65476999999999996</v>
      </c>
      <c r="N83" t="s">
        <v>174</v>
      </c>
      <c r="O83">
        <v>0.72021000000000002</v>
      </c>
      <c r="Q83" t="s">
        <v>50</v>
      </c>
      <c r="R83">
        <v>0.83221000000000001</v>
      </c>
      <c r="T83" t="s">
        <v>193</v>
      </c>
      <c r="U83" s="8" t="s">
        <v>118</v>
      </c>
      <c r="V83">
        <v>0.04</v>
      </c>
    </row>
    <row r="84" spans="1:22" x14ac:dyDescent="0.2">
      <c r="A84" t="str">
        <f t="shared" si="4"/>
        <v/>
      </c>
      <c r="B84" t="s">
        <v>195</v>
      </c>
      <c r="C84">
        <v>0.71433999999999997</v>
      </c>
      <c r="D84">
        <f t="shared" si="5"/>
        <v>34860</v>
      </c>
      <c r="E84">
        <f t="shared" si="6"/>
        <v>0.4</v>
      </c>
      <c r="F84">
        <f t="shared" si="7"/>
        <v>0.83101000000000003</v>
      </c>
      <c r="H84" t="s">
        <v>140</v>
      </c>
      <c r="I84">
        <v>0.52049999999999996</v>
      </c>
      <c r="K84" t="s">
        <v>196</v>
      </c>
      <c r="L84">
        <v>0.65378999999999998</v>
      </c>
      <c r="N84" t="s">
        <v>51</v>
      </c>
      <c r="O84">
        <v>0.71921000000000002</v>
      </c>
      <c r="Q84" t="s">
        <v>123</v>
      </c>
      <c r="R84">
        <v>0.83101000000000003</v>
      </c>
      <c r="T84" t="s">
        <v>195</v>
      </c>
      <c r="U84" s="5">
        <v>34860</v>
      </c>
      <c r="V84">
        <v>0.4</v>
      </c>
    </row>
    <row r="85" spans="1:22" x14ac:dyDescent="0.2">
      <c r="A85" t="str">
        <f t="shared" si="4"/>
        <v/>
      </c>
      <c r="B85" t="s">
        <v>182</v>
      </c>
      <c r="C85">
        <v>0.70704</v>
      </c>
      <c r="D85">
        <f t="shared" si="5"/>
        <v>18210</v>
      </c>
      <c r="E85">
        <f t="shared" si="6"/>
        <v>2.1</v>
      </c>
      <c r="F85">
        <f t="shared" si="7"/>
        <v>0.82821</v>
      </c>
      <c r="H85" t="s">
        <v>186</v>
      </c>
      <c r="I85">
        <v>0.52049999999999996</v>
      </c>
      <c r="K85" t="s">
        <v>186</v>
      </c>
      <c r="L85">
        <v>0.65049000000000001</v>
      </c>
      <c r="N85" t="s">
        <v>115</v>
      </c>
      <c r="O85">
        <v>0.71904000000000001</v>
      </c>
      <c r="Q85" t="s">
        <v>88</v>
      </c>
      <c r="R85">
        <v>0.82821</v>
      </c>
      <c r="T85" t="s">
        <v>182</v>
      </c>
      <c r="U85" s="5">
        <v>18210</v>
      </c>
      <c r="V85">
        <v>2.1</v>
      </c>
    </row>
    <row r="86" spans="1:22" x14ac:dyDescent="0.2">
      <c r="A86" t="str">
        <f t="shared" si="4"/>
        <v/>
      </c>
      <c r="B86" t="s">
        <v>197</v>
      </c>
      <c r="C86">
        <v>0.70126999999999995</v>
      </c>
      <c r="D86">
        <f t="shared" si="5"/>
        <v>20640</v>
      </c>
      <c r="E86">
        <f t="shared" si="6"/>
        <v>10.8</v>
      </c>
      <c r="F86">
        <f t="shared" si="7"/>
        <v>0.82630000000000003</v>
      </c>
      <c r="H86" t="s">
        <v>115</v>
      </c>
      <c r="I86">
        <v>0.50680000000000003</v>
      </c>
      <c r="K86" t="s">
        <v>153</v>
      </c>
      <c r="L86">
        <v>0.64046999999999998</v>
      </c>
      <c r="N86" t="s">
        <v>153</v>
      </c>
      <c r="O86">
        <v>0.71889999999999998</v>
      </c>
      <c r="Q86" t="s">
        <v>198</v>
      </c>
      <c r="R86">
        <v>0.82630000000000003</v>
      </c>
      <c r="T86" t="s">
        <v>197</v>
      </c>
      <c r="U86" s="5">
        <v>20640</v>
      </c>
      <c r="V86">
        <v>10.8</v>
      </c>
    </row>
    <row r="87" spans="1:22" x14ac:dyDescent="0.2">
      <c r="A87" t="str">
        <f t="shared" si="4"/>
        <v/>
      </c>
      <c r="B87" t="s">
        <v>199</v>
      </c>
      <c r="C87">
        <v>0.69725999999999999</v>
      </c>
      <c r="D87">
        <f t="shared" si="5"/>
        <v>26730</v>
      </c>
      <c r="E87">
        <f t="shared" si="6"/>
        <v>1.4</v>
      </c>
      <c r="F87">
        <f t="shared" si="7"/>
        <v>0.82033999999999996</v>
      </c>
      <c r="H87" t="s">
        <v>106</v>
      </c>
      <c r="I87">
        <v>0.50680000000000003</v>
      </c>
      <c r="K87" t="s">
        <v>21</v>
      </c>
      <c r="L87">
        <v>0.63654999999999995</v>
      </c>
      <c r="N87" t="s">
        <v>200</v>
      </c>
      <c r="O87">
        <v>0.71757000000000004</v>
      </c>
      <c r="Q87" t="s">
        <v>162</v>
      </c>
      <c r="R87">
        <v>0.82033999999999996</v>
      </c>
      <c r="T87" t="s">
        <v>199</v>
      </c>
      <c r="U87" s="5">
        <v>26730</v>
      </c>
      <c r="V87">
        <v>1.4</v>
      </c>
    </row>
    <row r="88" spans="1:22" x14ac:dyDescent="0.2">
      <c r="A88" t="str">
        <f t="shared" si="4"/>
        <v/>
      </c>
      <c r="B88" t="s">
        <v>201</v>
      </c>
      <c r="C88">
        <v>0.69347999999999999</v>
      </c>
      <c r="D88">
        <f t="shared" si="5"/>
        <v>11870</v>
      </c>
      <c r="E88">
        <f t="shared" si="6"/>
        <v>12.3</v>
      </c>
      <c r="F88">
        <f t="shared" si="7"/>
        <v>0.81694999999999995</v>
      </c>
      <c r="H88" t="s">
        <v>202</v>
      </c>
      <c r="I88">
        <v>0.50680000000000003</v>
      </c>
      <c r="K88" t="s">
        <v>203</v>
      </c>
      <c r="L88">
        <v>0.62200999999999995</v>
      </c>
      <c r="N88" t="s">
        <v>204</v>
      </c>
      <c r="O88">
        <v>0.71738999999999997</v>
      </c>
      <c r="Q88" t="s">
        <v>205</v>
      </c>
      <c r="R88">
        <v>0.81694999999999995</v>
      </c>
      <c r="T88" t="s">
        <v>201</v>
      </c>
      <c r="U88" s="5">
        <v>11870</v>
      </c>
      <c r="V88">
        <v>12.3</v>
      </c>
    </row>
    <row r="89" spans="1:22" x14ac:dyDescent="0.2">
      <c r="A89" t="str">
        <f t="shared" si="4"/>
        <v/>
      </c>
      <c r="B89" t="s">
        <v>206</v>
      </c>
      <c r="C89">
        <v>0.68930999999999998</v>
      </c>
      <c r="E89">
        <f t="shared" si="6"/>
        <v>0.08</v>
      </c>
      <c r="F89">
        <f t="shared" si="7"/>
        <v>0.81289999999999996</v>
      </c>
      <c r="H89" t="s">
        <v>183</v>
      </c>
      <c r="I89">
        <v>0.49320000000000003</v>
      </c>
      <c r="K89" t="s">
        <v>194</v>
      </c>
      <c r="L89">
        <v>0.60836999999999997</v>
      </c>
      <c r="N89" t="s">
        <v>207</v>
      </c>
      <c r="O89">
        <v>0.71480999999999995</v>
      </c>
      <c r="Q89" t="s">
        <v>208</v>
      </c>
      <c r="R89">
        <v>0.81289999999999996</v>
      </c>
      <c r="T89" t="s">
        <v>206</v>
      </c>
      <c r="U89" s="8" t="s">
        <v>118</v>
      </c>
      <c r="V89">
        <v>0.08</v>
      </c>
    </row>
    <row r="90" spans="1:22" x14ac:dyDescent="0.2">
      <c r="A90" t="str">
        <f t="shared" si="4"/>
        <v/>
      </c>
      <c r="B90" t="s">
        <v>209</v>
      </c>
      <c r="C90">
        <v>0.68493000000000004</v>
      </c>
      <c r="D90">
        <f t="shared" si="5"/>
        <v>11980</v>
      </c>
      <c r="E90">
        <f t="shared" si="6"/>
        <v>11.1</v>
      </c>
      <c r="F90">
        <f t="shared" si="7"/>
        <v>0.81179999999999997</v>
      </c>
      <c r="H90" t="s">
        <v>162</v>
      </c>
      <c r="I90">
        <v>0.49320000000000003</v>
      </c>
      <c r="K90" t="s">
        <v>159</v>
      </c>
      <c r="L90">
        <v>0.60723000000000005</v>
      </c>
      <c r="N90" t="s">
        <v>210</v>
      </c>
      <c r="O90">
        <v>0.71148999999999996</v>
      </c>
      <c r="Q90" t="s">
        <v>168</v>
      </c>
      <c r="R90">
        <v>0.81179999999999997</v>
      </c>
      <c r="T90" t="s">
        <v>209</v>
      </c>
      <c r="U90" s="5">
        <v>11980</v>
      </c>
      <c r="V90">
        <v>11.1</v>
      </c>
    </row>
    <row r="91" spans="1:22" x14ac:dyDescent="0.2">
      <c r="A91" t="str">
        <f t="shared" si="4"/>
        <v>Morocco</v>
      </c>
      <c r="B91" t="s">
        <v>211</v>
      </c>
      <c r="C91">
        <v>0.68411</v>
      </c>
      <c r="D91">
        <f t="shared" si="5"/>
        <v>9230</v>
      </c>
      <c r="E91">
        <f t="shared" si="6"/>
        <v>37.799999999999997</v>
      </c>
      <c r="F91">
        <f t="shared" si="7"/>
        <v>0.80781999999999998</v>
      </c>
      <c r="H91" t="s">
        <v>134</v>
      </c>
      <c r="I91">
        <v>0.49320000000000003</v>
      </c>
      <c r="K91" t="s">
        <v>212</v>
      </c>
      <c r="L91">
        <v>0.60690999999999995</v>
      </c>
      <c r="N91" t="s">
        <v>30</v>
      </c>
      <c r="O91">
        <v>0.71135000000000004</v>
      </c>
      <c r="Q91" t="s">
        <v>58</v>
      </c>
      <c r="R91">
        <v>0.80781999999999998</v>
      </c>
      <c r="T91" t="s">
        <v>211</v>
      </c>
      <c r="U91" s="5">
        <v>9230</v>
      </c>
      <c r="V91">
        <v>37.799999999999997</v>
      </c>
    </row>
    <row r="92" spans="1:22" x14ac:dyDescent="0.2">
      <c r="A92" t="str">
        <f t="shared" si="4"/>
        <v/>
      </c>
      <c r="B92" t="s">
        <v>213</v>
      </c>
      <c r="C92">
        <v>0.68149999999999999</v>
      </c>
      <c r="D92">
        <f t="shared" si="5"/>
        <v>17450</v>
      </c>
      <c r="E92">
        <f t="shared" si="6"/>
        <v>0.3</v>
      </c>
      <c r="F92">
        <f t="shared" si="7"/>
        <v>0.80684999999999996</v>
      </c>
      <c r="H92" t="s">
        <v>205</v>
      </c>
      <c r="I92">
        <v>0.49320000000000003</v>
      </c>
      <c r="K92" t="s">
        <v>204</v>
      </c>
      <c r="L92">
        <v>0.59989000000000003</v>
      </c>
      <c r="N92" t="s">
        <v>173</v>
      </c>
      <c r="O92">
        <v>0.70931999999999995</v>
      </c>
      <c r="Q92" t="s">
        <v>70</v>
      </c>
      <c r="R92">
        <v>0.80684999999999996</v>
      </c>
      <c r="T92" t="s">
        <v>213</v>
      </c>
      <c r="U92" s="5">
        <v>17450</v>
      </c>
      <c r="V92">
        <v>0.3</v>
      </c>
    </row>
    <row r="93" spans="1:22" x14ac:dyDescent="0.2">
      <c r="A93" t="str">
        <f t="shared" si="4"/>
        <v/>
      </c>
      <c r="B93" t="s">
        <v>214</v>
      </c>
      <c r="C93">
        <v>0.67732999999999999</v>
      </c>
      <c r="D93">
        <f t="shared" si="5"/>
        <v>26320</v>
      </c>
      <c r="E93">
        <f t="shared" si="6"/>
        <v>0.1</v>
      </c>
      <c r="F93">
        <f t="shared" si="7"/>
        <v>0.80654000000000003</v>
      </c>
      <c r="H93" t="s">
        <v>203</v>
      </c>
      <c r="I93">
        <v>0.47949999999999998</v>
      </c>
      <c r="K93" t="s">
        <v>215</v>
      </c>
      <c r="L93">
        <v>0.59869000000000006</v>
      </c>
      <c r="N93" t="s">
        <v>21</v>
      </c>
      <c r="O93">
        <v>0.70830000000000004</v>
      </c>
      <c r="Q93" t="s">
        <v>125</v>
      </c>
      <c r="R93">
        <v>0.80654000000000003</v>
      </c>
      <c r="T93" t="s">
        <v>214</v>
      </c>
      <c r="U93" s="5">
        <v>26320</v>
      </c>
      <c r="V93">
        <v>0.1</v>
      </c>
    </row>
    <row r="94" spans="1:22" x14ac:dyDescent="0.2">
      <c r="A94" t="str">
        <f t="shared" si="4"/>
        <v/>
      </c>
      <c r="B94" t="s">
        <v>216</v>
      </c>
      <c r="C94">
        <v>0.67544000000000004</v>
      </c>
      <c r="D94">
        <f t="shared" si="5"/>
        <v>12080</v>
      </c>
      <c r="E94">
        <f t="shared" si="6"/>
        <v>0.9</v>
      </c>
      <c r="F94">
        <f t="shared" si="7"/>
        <v>0.79468000000000005</v>
      </c>
      <c r="H94" t="s">
        <v>30</v>
      </c>
      <c r="I94">
        <v>0.47949999999999998</v>
      </c>
      <c r="K94" t="s">
        <v>192</v>
      </c>
      <c r="L94">
        <v>0.59506999999999999</v>
      </c>
      <c r="N94" t="s">
        <v>159</v>
      </c>
      <c r="O94">
        <v>0.70609999999999995</v>
      </c>
      <c r="Q94" t="s">
        <v>173</v>
      </c>
      <c r="R94">
        <v>0.79468000000000005</v>
      </c>
      <c r="T94" t="s">
        <v>216</v>
      </c>
      <c r="U94" s="5">
        <v>12080</v>
      </c>
      <c r="V94">
        <v>0.9</v>
      </c>
    </row>
    <row r="95" spans="1:22" x14ac:dyDescent="0.2">
      <c r="A95" t="str">
        <f t="shared" si="4"/>
        <v/>
      </c>
      <c r="B95" t="s">
        <v>203</v>
      </c>
      <c r="C95">
        <v>0.67452999999999996</v>
      </c>
      <c r="D95">
        <f t="shared" si="5"/>
        <v>19150</v>
      </c>
      <c r="E95">
        <f t="shared" si="6"/>
        <v>0.5</v>
      </c>
      <c r="F95">
        <f t="shared" si="7"/>
        <v>0.79425999999999997</v>
      </c>
      <c r="H95" t="s">
        <v>159</v>
      </c>
      <c r="I95">
        <v>0.46579999999999999</v>
      </c>
      <c r="K95" t="s">
        <v>131</v>
      </c>
      <c r="L95">
        <v>0.59031999999999996</v>
      </c>
      <c r="N95" t="s">
        <v>217</v>
      </c>
      <c r="O95">
        <v>0.70599999999999996</v>
      </c>
      <c r="Q95" t="s">
        <v>200</v>
      </c>
      <c r="R95">
        <v>0.79425999999999997</v>
      </c>
      <c r="T95" t="s">
        <v>203</v>
      </c>
      <c r="U95" s="5">
        <v>19150</v>
      </c>
      <c r="V95">
        <v>0.5</v>
      </c>
    </row>
    <row r="96" spans="1:22" x14ac:dyDescent="0.2">
      <c r="A96" t="str">
        <f t="shared" si="4"/>
        <v>Egypt</v>
      </c>
      <c r="B96" t="s">
        <v>218</v>
      </c>
      <c r="C96">
        <v>0.66993999999999998</v>
      </c>
      <c r="D96">
        <f t="shared" si="5"/>
        <v>14000</v>
      </c>
      <c r="E96">
        <f t="shared" si="6"/>
        <v>110.9</v>
      </c>
      <c r="F96">
        <f t="shared" si="7"/>
        <v>0.79359000000000002</v>
      </c>
      <c r="H96" t="s">
        <v>219</v>
      </c>
      <c r="I96">
        <v>0.46579999999999999</v>
      </c>
      <c r="K96" t="s">
        <v>205</v>
      </c>
      <c r="L96">
        <v>0.58862000000000003</v>
      </c>
      <c r="N96" t="s">
        <v>182</v>
      </c>
      <c r="O96">
        <v>0.70233000000000001</v>
      </c>
      <c r="Q96" t="s">
        <v>220</v>
      </c>
      <c r="R96">
        <v>0.79359000000000002</v>
      </c>
      <c r="T96" t="s">
        <v>218</v>
      </c>
      <c r="U96" s="5">
        <v>14000</v>
      </c>
      <c r="V96">
        <v>110.9</v>
      </c>
    </row>
    <row r="97" spans="1:22" x14ac:dyDescent="0.2">
      <c r="A97" t="str">
        <f t="shared" si="4"/>
        <v/>
      </c>
      <c r="B97" t="s">
        <v>221</v>
      </c>
      <c r="C97">
        <v>0.66776999999999997</v>
      </c>
      <c r="D97">
        <f t="shared" si="5"/>
        <v>10990</v>
      </c>
      <c r="E97">
        <f t="shared" si="6"/>
        <v>2.8</v>
      </c>
      <c r="F97">
        <f t="shared" si="7"/>
        <v>0.78856000000000004</v>
      </c>
      <c r="H97" t="s">
        <v>45</v>
      </c>
      <c r="I97">
        <v>0.46579999999999999</v>
      </c>
      <c r="K97" t="s">
        <v>45</v>
      </c>
      <c r="L97">
        <v>0.58020000000000005</v>
      </c>
      <c r="N97" t="s">
        <v>45</v>
      </c>
      <c r="O97">
        <v>0.69908999999999999</v>
      </c>
      <c r="Q97" t="s">
        <v>203</v>
      </c>
      <c r="R97">
        <v>0.78856000000000004</v>
      </c>
      <c r="T97" t="s">
        <v>221</v>
      </c>
      <c r="U97" s="5">
        <v>10990</v>
      </c>
      <c r="V97">
        <v>2.8</v>
      </c>
    </row>
    <row r="98" spans="1:22" x14ac:dyDescent="0.2">
      <c r="A98" t="str">
        <f t="shared" si="4"/>
        <v>India</v>
      </c>
      <c r="B98" t="s">
        <v>222</v>
      </c>
      <c r="C98">
        <v>0.66776000000000002</v>
      </c>
      <c r="D98">
        <f t="shared" si="5"/>
        <v>7130</v>
      </c>
      <c r="E98">
        <f t="shared" si="6"/>
        <v>1417.2</v>
      </c>
      <c r="F98">
        <f t="shared" si="7"/>
        <v>0.78510999999999997</v>
      </c>
      <c r="H98" t="s">
        <v>196</v>
      </c>
      <c r="I98">
        <v>0.46579999999999999</v>
      </c>
      <c r="K98" t="s">
        <v>134</v>
      </c>
      <c r="L98">
        <v>0.57598000000000005</v>
      </c>
      <c r="N98" t="s">
        <v>223</v>
      </c>
      <c r="O98">
        <v>0.69557000000000002</v>
      </c>
      <c r="Q98" t="s">
        <v>224</v>
      </c>
      <c r="R98">
        <v>0.78510999999999997</v>
      </c>
      <c r="T98" t="s">
        <v>222</v>
      </c>
      <c r="U98" s="5">
        <v>7130</v>
      </c>
      <c r="V98" s="7">
        <v>1417.2</v>
      </c>
    </row>
    <row r="99" spans="1:22" x14ac:dyDescent="0.2">
      <c r="A99" t="str">
        <f t="shared" si="4"/>
        <v>Sri Lanka</v>
      </c>
      <c r="B99" t="s">
        <v>225</v>
      </c>
      <c r="C99">
        <v>0.66668000000000005</v>
      </c>
      <c r="D99">
        <f t="shared" si="5"/>
        <v>12570</v>
      </c>
      <c r="E99">
        <f t="shared" si="6"/>
        <v>21.5</v>
      </c>
      <c r="F99">
        <f t="shared" si="7"/>
        <v>0.77627999999999997</v>
      </c>
      <c r="H99" t="s">
        <v>226</v>
      </c>
      <c r="I99">
        <v>0.46579999999999999</v>
      </c>
      <c r="K99" t="s">
        <v>217</v>
      </c>
      <c r="L99">
        <v>0.56772</v>
      </c>
      <c r="N99" t="s">
        <v>227</v>
      </c>
      <c r="O99">
        <v>0.69316</v>
      </c>
      <c r="Q99" t="s">
        <v>189</v>
      </c>
      <c r="R99">
        <v>0.77627999999999997</v>
      </c>
      <c r="T99" t="s">
        <v>225</v>
      </c>
      <c r="U99" s="5">
        <v>12570</v>
      </c>
      <c r="V99">
        <v>21.5</v>
      </c>
    </row>
    <row r="100" spans="1:22" x14ac:dyDescent="0.2">
      <c r="A100" t="str">
        <f t="shared" si="4"/>
        <v/>
      </c>
      <c r="B100" t="s">
        <v>228</v>
      </c>
      <c r="C100">
        <v>0.66508</v>
      </c>
      <c r="D100">
        <f t="shared" si="5"/>
        <v>8550</v>
      </c>
      <c r="E100">
        <f t="shared" si="6"/>
        <v>12.1</v>
      </c>
      <c r="F100">
        <f t="shared" si="7"/>
        <v>0.77497000000000005</v>
      </c>
      <c r="H100" t="s">
        <v>229</v>
      </c>
      <c r="I100">
        <v>0.4521</v>
      </c>
      <c r="K100" t="s">
        <v>95</v>
      </c>
      <c r="L100">
        <v>0.56521999999999994</v>
      </c>
      <c r="N100" t="s">
        <v>215</v>
      </c>
      <c r="O100">
        <v>0.68764999999999998</v>
      </c>
      <c r="Q100" t="s">
        <v>120</v>
      </c>
      <c r="R100">
        <v>0.77497000000000005</v>
      </c>
      <c r="T100" t="s">
        <v>228</v>
      </c>
      <c r="U100" s="5">
        <v>8550</v>
      </c>
      <c r="V100">
        <v>12.1</v>
      </c>
    </row>
    <row r="101" spans="1:22" x14ac:dyDescent="0.2">
      <c r="A101" t="str">
        <f t="shared" si="4"/>
        <v>Bangladesh</v>
      </c>
      <c r="B101" t="s">
        <v>230</v>
      </c>
      <c r="C101">
        <v>0.65695999999999999</v>
      </c>
      <c r="D101">
        <f t="shared" si="5"/>
        <v>6530</v>
      </c>
      <c r="E101">
        <f t="shared" si="6"/>
        <v>171.2</v>
      </c>
      <c r="F101">
        <f t="shared" si="7"/>
        <v>0.77454000000000001</v>
      </c>
      <c r="H101" t="s">
        <v>231</v>
      </c>
      <c r="I101">
        <v>0.4521</v>
      </c>
      <c r="K101" t="s">
        <v>157</v>
      </c>
      <c r="L101">
        <v>0.56184000000000001</v>
      </c>
      <c r="N101" t="s">
        <v>186</v>
      </c>
      <c r="O101">
        <v>0.68662999999999996</v>
      </c>
      <c r="Q101" t="s">
        <v>204</v>
      </c>
      <c r="R101">
        <v>0.77454000000000001</v>
      </c>
      <c r="T101" t="s">
        <v>230</v>
      </c>
      <c r="U101" s="5">
        <v>6530</v>
      </c>
      <c r="V101">
        <v>171.2</v>
      </c>
    </row>
    <row r="102" spans="1:22" x14ac:dyDescent="0.2">
      <c r="A102" t="str">
        <f t="shared" si="4"/>
        <v>Iran</v>
      </c>
      <c r="B102" t="s">
        <v>143</v>
      </c>
      <c r="C102">
        <v>0.65639000000000003</v>
      </c>
      <c r="D102">
        <f t="shared" si="5"/>
        <v>16790</v>
      </c>
      <c r="E102">
        <f t="shared" si="6"/>
        <v>88.6</v>
      </c>
      <c r="F102">
        <f t="shared" si="7"/>
        <v>0.76529000000000003</v>
      </c>
      <c r="H102" t="s">
        <v>192</v>
      </c>
      <c r="I102">
        <v>0.4521</v>
      </c>
      <c r="K102" t="s">
        <v>220</v>
      </c>
      <c r="L102">
        <v>0.54937000000000002</v>
      </c>
      <c r="N102" t="s">
        <v>155</v>
      </c>
      <c r="O102">
        <v>0.67688000000000004</v>
      </c>
      <c r="Q102" t="s">
        <v>232</v>
      </c>
      <c r="R102">
        <v>0.76529000000000003</v>
      </c>
      <c r="T102" t="s">
        <v>143</v>
      </c>
      <c r="U102" s="5">
        <v>16790</v>
      </c>
      <c r="V102">
        <v>88.6</v>
      </c>
    </row>
    <row r="103" spans="1:22" x14ac:dyDescent="0.2">
      <c r="A103" t="str">
        <f t="shared" si="4"/>
        <v/>
      </c>
      <c r="B103" t="s">
        <v>233</v>
      </c>
      <c r="C103">
        <v>0.65508999999999995</v>
      </c>
      <c r="E103">
        <f t="shared" si="6"/>
        <v>0.03</v>
      </c>
      <c r="F103">
        <f t="shared" si="7"/>
        <v>0.76239999999999997</v>
      </c>
      <c r="H103" t="s">
        <v>217</v>
      </c>
      <c r="I103">
        <v>0.43840000000000001</v>
      </c>
      <c r="K103" t="s">
        <v>178</v>
      </c>
      <c r="L103">
        <v>0.54020999999999997</v>
      </c>
      <c r="N103" t="s">
        <v>112</v>
      </c>
      <c r="O103">
        <v>0.66683999999999999</v>
      </c>
      <c r="Q103" t="s">
        <v>147</v>
      </c>
      <c r="R103">
        <v>0.76239999999999997</v>
      </c>
      <c r="T103" t="s">
        <v>233</v>
      </c>
      <c r="U103" s="5" t="s">
        <v>118</v>
      </c>
      <c r="V103">
        <v>0.03</v>
      </c>
    </row>
    <row r="104" spans="1:22" x14ac:dyDescent="0.2">
      <c r="A104" t="str">
        <f t="shared" si="4"/>
        <v/>
      </c>
      <c r="B104" t="s">
        <v>234</v>
      </c>
      <c r="C104">
        <v>0.65110000000000001</v>
      </c>
      <c r="D104">
        <f t="shared" si="5"/>
        <v>10840</v>
      </c>
      <c r="E104">
        <f t="shared" si="6"/>
        <v>0.8</v>
      </c>
      <c r="F104">
        <f t="shared" si="7"/>
        <v>0.76093999999999995</v>
      </c>
      <c r="H104" t="s">
        <v>157</v>
      </c>
      <c r="I104">
        <v>0.43840000000000001</v>
      </c>
      <c r="K104" t="s">
        <v>235</v>
      </c>
      <c r="L104">
        <v>0.53718999999999995</v>
      </c>
      <c r="N104" t="s">
        <v>236</v>
      </c>
      <c r="O104">
        <v>0.66137000000000001</v>
      </c>
      <c r="Q104" t="s">
        <v>237</v>
      </c>
      <c r="R104">
        <v>0.76093999999999995</v>
      </c>
      <c r="T104" t="s">
        <v>234</v>
      </c>
      <c r="U104" s="5">
        <v>10840</v>
      </c>
      <c r="V104">
        <v>0.8</v>
      </c>
    </row>
    <row r="105" spans="1:22" x14ac:dyDescent="0.2">
      <c r="A105" t="str">
        <f t="shared" si="4"/>
        <v/>
      </c>
      <c r="B105" t="s">
        <v>238</v>
      </c>
      <c r="C105">
        <v>0.64576999999999996</v>
      </c>
      <c r="D105">
        <f t="shared" si="5"/>
        <v>17460</v>
      </c>
      <c r="E105">
        <f t="shared" si="6"/>
        <v>0.1</v>
      </c>
      <c r="F105">
        <f t="shared" si="7"/>
        <v>0.75544</v>
      </c>
      <c r="H105" t="s">
        <v>212</v>
      </c>
      <c r="I105">
        <v>0.43840000000000001</v>
      </c>
      <c r="K105" t="s">
        <v>184</v>
      </c>
      <c r="L105">
        <v>0.53430999999999995</v>
      </c>
      <c r="N105" t="s">
        <v>99</v>
      </c>
      <c r="O105">
        <v>0.65866000000000002</v>
      </c>
      <c r="Q105" t="s">
        <v>128</v>
      </c>
      <c r="R105">
        <v>0.75544</v>
      </c>
      <c r="T105" t="s">
        <v>238</v>
      </c>
      <c r="U105" s="5">
        <v>17460</v>
      </c>
      <c r="V105">
        <v>0.1</v>
      </c>
    </row>
    <row r="106" spans="1:22" x14ac:dyDescent="0.2">
      <c r="A106" t="str">
        <f t="shared" si="4"/>
        <v/>
      </c>
      <c r="B106" t="s">
        <v>239</v>
      </c>
      <c r="C106">
        <v>0.64281999999999995</v>
      </c>
      <c r="D106">
        <f t="shared" si="5"/>
        <v>21840</v>
      </c>
      <c r="E106">
        <f t="shared" si="6"/>
        <v>0.1</v>
      </c>
      <c r="F106">
        <f t="shared" si="7"/>
        <v>0.75458999999999998</v>
      </c>
      <c r="H106" t="s">
        <v>215</v>
      </c>
      <c r="I106">
        <v>0.42470000000000002</v>
      </c>
      <c r="K106" t="s">
        <v>240</v>
      </c>
      <c r="L106">
        <v>0.52193999999999996</v>
      </c>
      <c r="N106" t="s">
        <v>220</v>
      </c>
      <c r="O106">
        <v>0.65703999999999996</v>
      </c>
      <c r="Q106" t="s">
        <v>182</v>
      </c>
      <c r="R106">
        <v>0.75458999999999998</v>
      </c>
      <c r="T106" t="s">
        <v>239</v>
      </c>
      <c r="U106" s="5">
        <v>21840</v>
      </c>
      <c r="V106">
        <v>0.1</v>
      </c>
    </row>
    <row r="107" spans="1:22" x14ac:dyDescent="0.2">
      <c r="A107" t="str">
        <f t="shared" si="4"/>
        <v/>
      </c>
      <c r="B107" t="s">
        <v>241</v>
      </c>
      <c r="C107">
        <v>0.63654999999999995</v>
      </c>
      <c r="D107">
        <f t="shared" si="5"/>
        <v>15120</v>
      </c>
      <c r="E107">
        <f t="shared" si="6"/>
        <v>0.6</v>
      </c>
      <c r="F107">
        <f t="shared" si="7"/>
        <v>0.75263999999999998</v>
      </c>
      <c r="H107" t="s">
        <v>242</v>
      </c>
      <c r="I107">
        <v>0.42470000000000002</v>
      </c>
      <c r="K107" t="s">
        <v>115</v>
      </c>
      <c r="L107">
        <v>0.52141999999999999</v>
      </c>
      <c r="N107" t="s">
        <v>243</v>
      </c>
      <c r="O107">
        <v>0.65305000000000002</v>
      </c>
      <c r="Q107" t="s">
        <v>244</v>
      </c>
      <c r="R107">
        <v>0.75263999999999998</v>
      </c>
      <c r="T107" t="s">
        <v>241</v>
      </c>
      <c r="U107" s="5">
        <v>15120</v>
      </c>
      <c r="V107">
        <v>0.6</v>
      </c>
    </row>
    <row r="108" spans="1:22" x14ac:dyDescent="0.2">
      <c r="A108" t="str">
        <f t="shared" si="4"/>
        <v/>
      </c>
      <c r="B108" t="s">
        <v>245</v>
      </c>
      <c r="C108">
        <v>0.63292999999999999</v>
      </c>
      <c r="D108">
        <f t="shared" si="5"/>
        <v>17650</v>
      </c>
      <c r="E108">
        <f t="shared" si="6"/>
        <v>3.2</v>
      </c>
      <c r="F108">
        <f t="shared" si="7"/>
        <v>0.75066999999999995</v>
      </c>
      <c r="H108" t="s">
        <v>246</v>
      </c>
      <c r="I108">
        <v>0.42470000000000002</v>
      </c>
      <c r="K108" t="s">
        <v>247</v>
      </c>
      <c r="L108">
        <v>0.52015999999999996</v>
      </c>
      <c r="N108" t="s">
        <v>192</v>
      </c>
      <c r="O108">
        <v>0.64964999999999995</v>
      </c>
      <c r="Q108" t="s">
        <v>184</v>
      </c>
      <c r="R108">
        <v>0.75066999999999995</v>
      </c>
      <c r="T108" t="s">
        <v>245</v>
      </c>
      <c r="U108" s="5">
        <v>17650</v>
      </c>
      <c r="V108">
        <v>3.2</v>
      </c>
    </row>
    <row r="109" spans="1:22" x14ac:dyDescent="0.2">
      <c r="A109" t="str">
        <f t="shared" si="4"/>
        <v>Ghana</v>
      </c>
      <c r="B109" t="s">
        <v>248</v>
      </c>
      <c r="C109">
        <v>0.63168999999999997</v>
      </c>
      <c r="D109">
        <f t="shared" si="5"/>
        <v>6220</v>
      </c>
      <c r="E109">
        <f t="shared" si="6"/>
        <v>32.799999999999997</v>
      </c>
      <c r="F109">
        <f t="shared" si="7"/>
        <v>0.74439999999999995</v>
      </c>
      <c r="H109" t="s">
        <v>131</v>
      </c>
      <c r="I109">
        <v>0.41099999999999998</v>
      </c>
      <c r="K109" t="s">
        <v>244</v>
      </c>
      <c r="L109">
        <v>0.50897000000000003</v>
      </c>
      <c r="N109" t="s">
        <v>154</v>
      </c>
      <c r="O109">
        <v>0.64578999999999998</v>
      </c>
      <c r="Q109" t="s">
        <v>153</v>
      </c>
      <c r="R109">
        <v>0.74439999999999995</v>
      </c>
      <c r="T109" t="s">
        <v>248</v>
      </c>
      <c r="U109" s="5">
        <v>6220</v>
      </c>
      <c r="V109">
        <v>32.799999999999997</v>
      </c>
    </row>
    <row r="110" spans="1:22" x14ac:dyDescent="0.2">
      <c r="A110" t="str">
        <f t="shared" si="4"/>
        <v>Kenya</v>
      </c>
      <c r="B110" t="s">
        <v>249</v>
      </c>
      <c r="C110">
        <v>0.63139999999999996</v>
      </c>
      <c r="D110">
        <f t="shared" si="5"/>
        <v>5150</v>
      </c>
      <c r="E110">
        <f t="shared" si="6"/>
        <v>54</v>
      </c>
      <c r="F110">
        <f t="shared" si="7"/>
        <v>0.73285</v>
      </c>
      <c r="H110" t="s">
        <v>240</v>
      </c>
      <c r="I110">
        <v>0.41099999999999998</v>
      </c>
      <c r="K110" t="s">
        <v>163</v>
      </c>
      <c r="L110">
        <v>0.50555000000000005</v>
      </c>
      <c r="N110" t="s">
        <v>250</v>
      </c>
      <c r="O110">
        <v>0.64531000000000005</v>
      </c>
      <c r="Q110" t="s">
        <v>246</v>
      </c>
      <c r="R110">
        <v>0.73285</v>
      </c>
      <c r="T110" t="s">
        <v>249</v>
      </c>
      <c r="U110" s="5">
        <v>5150</v>
      </c>
      <c r="V110">
        <v>54</v>
      </c>
    </row>
    <row r="111" spans="1:22" x14ac:dyDescent="0.2">
      <c r="A111" t="str">
        <f t="shared" si="4"/>
        <v/>
      </c>
      <c r="B111" t="s">
        <v>251</v>
      </c>
      <c r="C111">
        <v>0.63053999999999999</v>
      </c>
      <c r="D111">
        <f t="shared" si="5"/>
        <v>25940</v>
      </c>
      <c r="E111">
        <f t="shared" si="6"/>
        <v>0.05</v>
      </c>
      <c r="F111">
        <f t="shared" si="7"/>
        <v>0.72963</v>
      </c>
      <c r="H111" t="s">
        <v>220</v>
      </c>
      <c r="I111">
        <v>0.41099999999999998</v>
      </c>
      <c r="K111" t="s">
        <v>189</v>
      </c>
      <c r="L111">
        <v>0.50027999999999995</v>
      </c>
      <c r="N111" t="s">
        <v>208</v>
      </c>
      <c r="O111">
        <v>0.64178999999999997</v>
      </c>
      <c r="Q111" t="s">
        <v>217</v>
      </c>
      <c r="R111">
        <v>0.72963</v>
      </c>
      <c r="T111" t="s">
        <v>251</v>
      </c>
      <c r="U111" s="5">
        <v>25940</v>
      </c>
      <c r="V111">
        <v>0.05</v>
      </c>
    </row>
    <row r="112" spans="1:22" x14ac:dyDescent="0.2">
      <c r="A112" t="str">
        <f t="shared" si="4"/>
        <v/>
      </c>
      <c r="B112" t="s">
        <v>252</v>
      </c>
      <c r="C112">
        <v>0.62378</v>
      </c>
      <c r="D112">
        <f t="shared" si="5"/>
        <v>7000</v>
      </c>
      <c r="E112">
        <f t="shared" si="6"/>
        <v>0.6</v>
      </c>
      <c r="F112">
        <f t="shared" si="7"/>
        <v>0.72879000000000005</v>
      </c>
      <c r="H112" t="s">
        <v>253</v>
      </c>
      <c r="I112">
        <v>0.41099999999999998</v>
      </c>
      <c r="K112" t="s">
        <v>254</v>
      </c>
      <c r="L112">
        <v>0.49958000000000002</v>
      </c>
      <c r="N112" t="s">
        <v>255</v>
      </c>
      <c r="O112">
        <v>0.62690000000000001</v>
      </c>
      <c r="Q112" t="s">
        <v>254</v>
      </c>
      <c r="R112">
        <v>0.72879000000000005</v>
      </c>
      <c r="T112" t="s">
        <v>252</v>
      </c>
      <c r="U112" s="5">
        <v>7000</v>
      </c>
      <c r="V112">
        <v>0.6</v>
      </c>
    </row>
    <row r="113" spans="1:22" x14ac:dyDescent="0.2">
      <c r="A113" t="str">
        <f t="shared" si="4"/>
        <v/>
      </c>
      <c r="B113" t="s">
        <v>256</v>
      </c>
      <c r="C113">
        <v>0.61177999999999999</v>
      </c>
      <c r="D113">
        <f t="shared" si="5"/>
        <v>17220</v>
      </c>
      <c r="E113">
        <f t="shared" si="6"/>
        <v>2.4</v>
      </c>
      <c r="F113">
        <f t="shared" si="7"/>
        <v>0.72814000000000001</v>
      </c>
      <c r="H113" t="s">
        <v>184</v>
      </c>
      <c r="I113">
        <v>0.39729999999999999</v>
      </c>
      <c r="K113" t="s">
        <v>147</v>
      </c>
      <c r="L113">
        <v>0.49754999999999999</v>
      </c>
      <c r="N113" t="s">
        <v>253</v>
      </c>
      <c r="O113">
        <v>0.62251999999999996</v>
      </c>
      <c r="Q113" t="s">
        <v>194</v>
      </c>
      <c r="R113">
        <v>0.72814000000000001</v>
      </c>
      <c r="T113" t="s">
        <v>256</v>
      </c>
      <c r="U113" s="5">
        <v>17220</v>
      </c>
      <c r="V113">
        <v>2.4</v>
      </c>
    </row>
    <row r="114" spans="1:22" x14ac:dyDescent="0.2">
      <c r="A114" t="str">
        <f t="shared" si="4"/>
        <v/>
      </c>
      <c r="B114" t="s">
        <v>224</v>
      </c>
      <c r="C114">
        <v>0.60811999999999999</v>
      </c>
      <c r="D114">
        <f t="shared" si="5"/>
        <v>9550</v>
      </c>
      <c r="E114">
        <f t="shared" si="6"/>
        <v>1.2</v>
      </c>
      <c r="F114">
        <f t="shared" si="7"/>
        <v>0.70889999999999997</v>
      </c>
      <c r="H114" t="s">
        <v>244</v>
      </c>
      <c r="I114">
        <v>0.3836</v>
      </c>
      <c r="K114" t="s">
        <v>257</v>
      </c>
      <c r="L114">
        <v>0.49696000000000001</v>
      </c>
      <c r="N114" t="s">
        <v>189</v>
      </c>
      <c r="O114">
        <v>0.62219000000000002</v>
      </c>
      <c r="Q114" t="s">
        <v>215</v>
      </c>
      <c r="R114">
        <v>0.70889999999999997</v>
      </c>
      <c r="T114" t="s">
        <v>224</v>
      </c>
      <c r="U114" s="5">
        <v>9550</v>
      </c>
      <c r="V114">
        <v>1.2</v>
      </c>
    </row>
    <row r="115" spans="1:22" x14ac:dyDescent="0.2">
      <c r="A115" t="str">
        <f t="shared" si="4"/>
        <v/>
      </c>
      <c r="B115" t="s">
        <v>258</v>
      </c>
      <c r="C115">
        <v>0.60074000000000005</v>
      </c>
      <c r="D115">
        <f t="shared" si="5"/>
        <v>9650</v>
      </c>
      <c r="E115">
        <f t="shared" si="6"/>
        <v>2.5</v>
      </c>
      <c r="F115">
        <f t="shared" si="7"/>
        <v>0.69455999999999996</v>
      </c>
      <c r="H115" t="s">
        <v>224</v>
      </c>
      <c r="I115">
        <v>0.3836</v>
      </c>
      <c r="K115" t="s">
        <v>253</v>
      </c>
      <c r="L115">
        <v>0.49584</v>
      </c>
      <c r="N115" t="s">
        <v>177</v>
      </c>
      <c r="O115">
        <v>0.61502999999999997</v>
      </c>
      <c r="Q115" t="s">
        <v>177</v>
      </c>
      <c r="R115">
        <v>0.69455999999999996</v>
      </c>
      <c r="T115" t="s">
        <v>258</v>
      </c>
      <c r="U115" s="5">
        <v>9650</v>
      </c>
      <c r="V115">
        <v>2.5</v>
      </c>
    </row>
    <row r="116" spans="1:22" x14ac:dyDescent="0.2">
      <c r="A116" t="str">
        <f t="shared" si="4"/>
        <v/>
      </c>
      <c r="B116" t="s">
        <v>259</v>
      </c>
      <c r="C116">
        <v>0.5988</v>
      </c>
      <c r="D116">
        <f t="shared" si="5"/>
        <v>9000</v>
      </c>
      <c r="E116">
        <f t="shared" si="6"/>
        <v>6.5</v>
      </c>
      <c r="F116">
        <f t="shared" si="7"/>
        <v>0.69418000000000002</v>
      </c>
      <c r="H116" t="s">
        <v>235</v>
      </c>
      <c r="I116">
        <v>0.36990000000000001</v>
      </c>
      <c r="K116" t="s">
        <v>126</v>
      </c>
      <c r="L116">
        <v>0.48376999999999998</v>
      </c>
      <c r="N116" t="s">
        <v>116</v>
      </c>
      <c r="O116">
        <v>0.61487000000000003</v>
      </c>
      <c r="Q116" t="s">
        <v>260</v>
      </c>
      <c r="R116">
        <v>0.69418000000000002</v>
      </c>
      <c r="T116" t="s">
        <v>259</v>
      </c>
      <c r="U116" s="5">
        <v>9000</v>
      </c>
      <c r="V116">
        <v>6.5</v>
      </c>
    </row>
    <row r="117" spans="1:22" x14ac:dyDescent="0.2">
      <c r="A117" t="str">
        <f t="shared" si="4"/>
        <v>Algeria</v>
      </c>
      <c r="B117" t="s">
        <v>261</v>
      </c>
      <c r="C117">
        <v>0.59555999999999998</v>
      </c>
      <c r="D117">
        <f t="shared" si="5"/>
        <v>11430</v>
      </c>
      <c r="E117">
        <f t="shared" si="6"/>
        <v>46.2</v>
      </c>
      <c r="F117">
        <f t="shared" si="7"/>
        <v>0.68735999999999997</v>
      </c>
      <c r="H117" t="s">
        <v>247</v>
      </c>
      <c r="I117">
        <v>0.36990000000000001</v>
      </c>
      <c r="K117" t="s">
        <v>169</v>
      </c>
      <c r="L117">
        <v>0.48137000000000002</v>
      </c>
      <c r="N117" t="s">
        <v>203</v>
      </c>
      <c r="O117">
        <v>0.61297999999999997</v>
      </c>
      <c r="Q117" t="s">
        <v>262</v>
      </c>
      <c r="R117">
        <v>0.68735999999999997</v>
      </c>
      <c r="T117" t="s">
        <v>261</v>
      </c>
      <c r="U117" s="5">
        <v>11430</v>
      </c>
      <c r="V117">
        <v>46.2</v>
      </c>
    </row>
    <row r="118" spans="1:22" x14ac:dyDescent="0.2">
      <c r="A118" t="str">
        <f t="shared" si="4"/>
        <v/>
      </c>
      <c r="B118" t="s">
        <v>263</v>
      </c>
      <c r="C118">
        <v>0.58762000000000003</v>
      </c>
      <c r="D118">
        <f t="shared" si="5"/>
        <v>14990</v>
      </c>
      <c r="E118">
        <f t="shared" si="6"/>
        <v>0.1</v>
      </c>
      <c r="F118">
        <f t="shared" si="7"/>
        <v>0.68335000000000001</v>
      </c>
      <c r="H118" t="s">
        <v>257</v>
      </c>
      <c r="I118">
        <v>0.36990000000000001</v>
      </c>
      <c r="K118" t="s">
        <v>202</v>
      </c>
      <c r="L118">
        <v>0.48081000000000002</v>
      </c>
      <c r="N118" t="s">
        <v>157</v>
      </c>
      <c r="O118">
        <v>0.60782999999999998</v>
      </c>
      <c r="Q118" t="s">
        <v>69</v>
      </c>
      <c r="R118">
        <v>0.68335000000000001</v>
      </c>
      <c r="T118" t="s">
        <v>263</v>
      </c>
      <c r="U118" s="5">
        <v>14990</v>
      </c>
      <c r="V118">
        <v>0.1</v>
      </c>
    </row>
    <row r="119" spans="1:22" x14ac:dyDescent="0.2">
      <c r="A119" t="s">
        <v>264</v>
      </c>
      <c r="B119" t="s">
        <v>264</v>
      </c>
      <c r="C119">
        <v>0.57992999999999995</v>
      </c>
      <c r="D119">
        <f t="shared" si="5"/>
        <v>2370</v>
      </c>
      <c r="E119">
        <f t="shared" si="6"/>
        <v>13.5</v>
      </c>
      <c r="F119">
        <f t="shared" si="7"/>
        <v>0.67674999999999996</v>
      </c>
      <c r="H119" t="s">
        <v>200</v>
      </c>
      <c r="I119">
        <v>0.34250000000000003</v>
      </c>
      <c r="K119" t="s">
        <v>265</v>
      </c>
      <c r="L119">
        <v>0.47910000000000003</v>
      </c>
      <c r="N119" t="s">
        <v>266</v>
      </c>
      <c r="O119">
        <v>0.60372000000000003</v>
      </c>
      <c r="Q119" t="s">
        <v>223</v>
      </c>
      <c r="R119">
        <v>0.67674999999999996</v>
      </c>
      <c r="T119" t="s">
        <v>264</v>
      </c>
      <c r="U119" s="5">
        <v>2370</v>
      </c>
      <c r="V119">
        <v>13.5</v>
      </c>
    </row>
    <row r="120" spans="1:22" x14ac:dyDescent="0.2">
      <c r="A120" t="str">
        <f t="shared" si="4"/>
        <v>Nepal</v>
      </c>
      <c r="B120" t="s">
        <v>267</v>
      </c>
      <c r="C120">
        <v>0.57813000000000003</v>
      </c>
      <c r="D120">
        <f t="shared" si="5"/>
        <v>4190</v>
      </c>
      <c r="E120">
        <f t="shared" si="6"/>
        <v>30</v>
      </c>
      <c r="F120">
        <f t="shared" si="7"/>
        <v>0.67674000000000001</v>
      </c>
      <c r="H120" t="s">
        <v>223</v>
      </c>
      <c r="I120">
        <v>0.34250000000000003</v>
      </c>
      <c r="K120" t="s">
        <v>112</v>
      </c>
      <c r="L120">
        <v>0.47804000000000002</v>
      </c>
      <c r="N120" t="s">
        <v>80</v>
      </c>
      <c r="O120">
        <v>0.59514999999999996</v>
      </c>
      <c r="Q120" t="s">
        <v>163</v>
      </c>
      <c r="R120">
        <v>0.67674000000000001</v>
      </c>
      <c r="T120" t="s">
        <v>267</v>
      </c>
      <c r="U120" s="5">
        <v>4190</v>
      </c>
      <c r="V120">
        <v>30</v>
      </c>
    </row>
    <row r="121" spans="1:22" x14ac:dyDescent="0.2">
      <c r="A121" t="str">
        <f t="shared" si="4"/>
        <v>Cambodia</v>
      </c>
      <c r="B121" t="s">
        <v>268</v>
      </c>
      <c r="C121">
        <v>0.57535999999999998</v>
      </c>
      <c r="D121">
        <f t="shared" si="5"/>
        <v>4580</v>
      </c>
      <c r="E121">
        <f t="shared" si="6"/>
        <v>16.899999999999999</v>
      </c>
      <c r="F121">
        <f t="shared" si="7"/>
        <v>0.67566000000000004</v>
      </c>
      <c r="H121" t="s">
        <v>255</v>
      </c>
      <c r="I121">
        <v>0.32879999999999998</v>
      </c>
      <c r="K121" t="s">
        <v>246</v>
      </c>
      <c r="L121">
        <v>0.47788999999999998</v>
      </c>
      <c r="N121" t="s">
        <v>260</v>
      </c>
      <c r="O121">
        <v>0.59326999999999996</v>
      </c>
      <c r="Q121" t="s">
        <v>269</v>
      </c>
      <c r="R121">
        <v>0.67566000000000004</v>
      </c>
      <c r="T121" t="s">
        <v>268</v>
      </c>
      <c r="U121" s="5">
        <v>4580</v>
      </c>
      <c r="V121">
        <v>16.899999999999999</v>
      </c>
    </row>
    <row r="122" spans="1:22" x14ac:dyDescent="0.2">
      <c r="A122" t="str">
        <f t="shared" si="4"/>
        <v/>
      </c>
      <c r="B122" t="s">
        <v>270</v>
      </c>
      <c r="C122">
        <v>0.57408000000000003</v>
      </c>
      <c r="D122">
        <f t="shared" si="5"/>
        <v>14970</v>
      </c>
      <c r="E122">
        <f t="shared" si="6"/>
        <v>2.2999999999999998</v>
      </c>
      <c r="F122">
        <f t="shared" si="7"/>
        <v>0.66925999999999997</v>
      </c>
      <c r="H122" t="s">
        <v>149</v>
      </c>
      <c r="I122">
        <v>0.32879999999999998</v>
      </c>
      <c r="K122" t="s">
        <v>226</v>
      </c>
      <c r="L122">
        <v>0.47692000000000001</v>
      </c>
      <c r="N122" t="s">
        <v>271</v>
      </c>
      <c r="O122">
        <v>0.59284999999999999</v>
      </c>
      <c r="Q122" t="s">
        <v>240</v>
      </c>
      <c r="R122">
        <v>0.66925999999999997</v>
      </c>
      <c r="T122" t="s">
        <v>270</v>
      </c>
      <c r="U122" s="5">
        <v>14970</v>
      </c>
      <c r="V122">
        <v>2.2999999999999998</v>
      </c>
    </row>
    <row r="123" spans="1:22" x14ac:dyDescent="0.2">
      <c r="A123" t="str">
        <f t="shared" si="4"/>
        <v>Guatemala</v>
      </c>
      <c r="B123" t="s">
        <v>272</v>
      </c>
      <c r="C123">
        <v>0.57382999999999995</v>
      </c>
      <c r="D123">
        <f t="shared" si="5"/>
        <v>9110</v>
      </c>
      <c r="E123">
        <f t="shared" si="6"/>
        <v>18.100000000000001</v>
      </c>
      <c r="F123">
        <f t="shared" si="7"/>
        <v>0.66617999999999999</v>
      </c>
      <c r="H123" t="s">
        <v>147</v>
      </c>
      <c r="I123">
        <v>0.32879999999999998</v>
      </c>
      <c r="K123" t="s">
        <v>155</v>
      </c>
      <c r="L123">
        <v>0.46379999999999999</v>
      </c>
      <c r="N123" t="s">
        <v>224</v>
      </c>
      <c r="O123">
        <v>0.58357000000000003</v>
      </c>
      <c r="Q123" t="s">
        <v>273</v>
      </c>
      <c r="R123">
        <v>0.66617999999999999</v>
      </c>
      <c r="T123" t="s">
        <v>272</v>
      </c>
      <c r="U123" s="5">
        <v>9110</v>
      </c>
      <c r="V123">
        <v>18.100000000000001</v>
      </c>
    </row>
    <row r="124" spans="1:22" x14ac:dyDescent="0.2">
      <c r="A124" t="str">
        <f t="shared" si="4"/>
        <v/>
      </c>
      <c r="B124" t="s">
        <v>274</v>
      </c>
      <c r="C124">
        <v>0.56054999999999999</v>
      </c>
      <c r="D124">
        <f t="shared" si="5"/>
        <v>4170</v>
      </c>
      <c r="E124">
        <f t="shared" si="6"/>
        <v>10</v>
      </c>
      <c r="F124">
        <f t="shared" si="7"/>
        <v>0.65010000000000001</v>
      </c>
      <c r="H124" t="s">
        <v>275</v>
      </c>
      <c r="I124">
        <v>0.32879999999999998</v>
      </c>
      <c r="K124" t="s">
        <v>229</v>
      </c>
      <c r="L124">
        <v>0.46246999999999999</v>
      </c>
      <c r="N124" t="s">
        <v>166</v>
      </c>
      <c r="O124">
        <v>0.58337000000000006</v>
      </c>
      <c r="Q124" t="s">
        <v>166</v>
      </c>
      <c r="R124">
        <v>0.65010000000000001</v>
      </c>
      <c r="T124" t="s">
        <v>274</v>
      </c>
      <c r="U124" s="5">
        <v>4170</v>
      </c>
      <c r="V124">
        <v>10</v>
      </c>
    </row>
    <row r="125" spans="1:22" x14ac:dyDescent="0.2">
      <c r="A125" t="str">
        <f t="shared" si="4"/>
        <v>Côte d'Ivoire</v>
      </c>
      <c r="B125" t="s">
        <v>240</v>
      </c>
      <c r="C125">
        <v>0.55867999999999995</v>
      </c>
      <c r="D125">
        <f t="shared" si="5"/>
        <v>6090</v>
      </c>
      <c r="E125">
        <f t="shared" si="6"/>
        <v>29.4</v>
      </c>
      <c r="F125">
        <f t="shared" si="7"/>
        <v>0.64992000000000005</v>
      </c>
      <c r="H125" t="s">
        <v>276</v>
      </c>
      <c r="I125">
        <v>0.32879999999999998</v>
      </c>
      <c r="K125" t="s">
        <v>277</v>
      </c>
      <c r="L125">
        <v>0.45873999999999998</v>
      </c>
      <c r="N125" t="s">
        <v>269</v>
      </c>
      <c r="O125">
        <v>0.57806999999999997</v>
      </c>
      <c r="Q125" t="s">
        <v>154</v>
      </c>
      <c r="R125">
        <v>0.64992000000000005</v>
      </c>
      <c r="T125" t="s">
        <v>240</v>
      </c>
      <c r="U125" s="5">
        <v>6090</v>
      </c>
      <c r="V125">
        <v>29.4</v>
      </c>
    </row>
    <row r="126" spans="1:22" x14ac:dyDescent="0.2">
      <c r="A126" t="str">
        <f t="shared" si="4"/>
        <v/>
      </c>
      <c r="B126" t="s">
        <v>80</v>
      </c>
      <c r="C126">
        <v>0.54661999999999999</v>
      </c>
      <c r="D126">
        <f t="shared" si="5"/>
        <v>13910</v>
      </c>
      <c r="E126">
        <f t="shared" si="6"/>
        <v>6.9</v>
      </c>
      <c r="F126">
        <f t="shared" si="7"/>
        <v>0.64980000000000004</v>
      </c>
      <c r="H126" t="s">
        <v>171</v>
      </c>
      <c r="I126">
        <v>0.32879999999999998</v>
      </c>
      <c r="K126" t="s">
        <v>224</v>
      </c>
      <c r="L126">
        <v>0.45573999999999998</v>
      </c>
      <c r="N126" t="s">
        <v>198</v>
      </c>
      <c r="O126">
        <v>0.57723000000000002</v>
      </c>
      <c r="Q126" t="s">
        <v>266</v>
      </c>
      <c r="R126">
        <v>0.64980000000000004</v>
      </c>
      <c r="T126" t="s">
        <v>80</v>
      </c>
      <c r="U126" s="8">
        <v>13910</v>
      </c>
      <c r="V126">
        <v>6.9</v>
      </c>
    </row>
    <row r="127" spans="1:22" x14ac:dyDescent="0.2">
      <c r="A127" t="str">
        <f t="shared" si="4"/>
        <v/>
      </c>
      <c r="B127" t="s">
        <v>278</v>
      </c>
      <c r="C127">
        <v>0.54490000000000005</v>
      </c>
      <c r="D127">
        <f t="shared" si="5"/>
        <v>11800</v>
      </c>
      <c r="E127">
        <f t="shared" si="6"/>
        <v>5.3</v>
      </c>
      <c r="F127">
        <f t="shared" si="7"/>
        <v>0.64246000000000003</v>
      </c>
      <c r="H127" t="s">
        <v>204</v>
      </c>
      <c r="I127">
        <v>0.32879999999999998</v>
      </c>
      <c r="K127" t="s">
        <v>237</v>
      </c>
      <c r="L127">
        <v>0.45034000000000002</v>
      </c>
      <c r="N127" t="s">
        <v>254</v>
      </c>
      <c r="O127">
        <v>0.57382</v>
      </c>
      <c r="Q127" t="s">
        <v>219</v>
      </c>
      <c r="R127">
        <v>0.64246000000000003</v>
      </c>
      <c r="T127" t="s">
        <v>278</v>
      </c>
      <c r="U127" s="8">
        <v>11800</v>
      </c>
      <c r="V127">
        <v>5.3</v>
      </c>
    </row>
    <row r="128" spans="1:22" x14ac:dyDescent="0.2">
      <c r="A128" t="str">
        <f t="shared" si="4"/>
        <v/>
      </c>
      <c r="B128" t="s">
        <v>279</v>
      </c>
      <c r="C128">
        <v>0.54452</v>
      </c>
      <c r="D128">
        <f t="shared" si="5"/>
        <v>12740</v>
      </c>
      <c r="E128">
        <f t="shared" si="6"/>
        <v>7.0000000000000007E-2</v>
      </c>
      <c r="F128">
        <f t="shared" si="7"/>
        <v>0.61651999999999996</v>
      </c>
      <c r="H128" t="s">
        <v>178</v>
      </c>
      <c r="I128">
        <v>0.31509999999999999</v>
      </c>
      <c r="K128" t="s">
        <v>280</v>
      </c>
      <c r="L128">
        <v>0.44927</v>
      </c>
      <c r="N128" t="s">
        <v>281</v>
      </c>
      <c r="O128">
        <v>0.57345999999999997</v>
      </c>
      <c r="Q128" t="s">
        <v>226</v>
      </c>
      <c r="R128">
        <v>0.61651999999999996</v>
      </c>
      <c r="T128" t="s">
        <v>279</v>
      </c>
      <c r="U128" s="5">
        <v>12740</v>
      </c>
      <c r="V128">
        <v>7.0000000000000007E-2</v>
      </c>
    </row>
    <row r="129" spans="1:22" x14ac:dyDescent="0.2">
      <c r="A129" t="str">
        <f t="shared" si="4"/>
        <v/>
      </c>
      <c r="B129" t="s">
        <v>282</v>
      </c>
      <c r="C129">
        <v>0.54432000000000003</v>
      </c>
      <c r="D129">
        <f t="shared" si="5"/>
        <v>20540</v>
      </c>
      <c r="E129">
        <f t="shared" si="6"/>
        <v>0.8</v>
      </c>
      <c r="F129">
        <f t="shared" si="7"/>
        <v>0.61277999999999999</v>
      </c>
      <c r="H129" t="s">
        <v>283</v>
      </c>
      <c r="I129">
        <v>0.31509999999999999</v>
      </c>
      <c r="K129" t="s">
        <v>219</v>
      </c>
      <c r="L129">
        <v>0.44894000000000001</v>
      </c>
      <c r="N129" t="s">
        <v>180</v>
      </c>
      <c r="O129">
        <v>0.57194</v>
      </c>
      <c r="Q129" t="s">
        <v>190</v>
      </c>
      <c r="R129">
        <v>0.61277999999999999</v>
      </c>
      <c r="T129" t="s">
        <v>282</v>
      </c>
      <c r="U129" s="5">
        <v>20540</v>
      </c>
      <c r="V129">
        <v>0.8</v>
      </c>
    </row>
    <row r="130" spans="1:22" x14ac:dyDescent="0.2">
      <c r="A130" t="str">
        <f t="shared" si="4"/>
        <v/>
      </c>
      <c r="B130" t="s">
        <v>284</v>
      </c>
      <c r="C130">
        <v>0.54271000000000003</v>
      </c>
      <c r="D130">
        <f t="shared" si="5"/>
        <v>3310</v>
      </c>
      <c r="E130">
        <f t="shared" si="6"/>
        <v>0.3</v>
      </c>
      <c r="F130">
        <f t="shared" si="7"/>
        <v>0.59014999999999995</v>
      </c>
      <c r="H130" t="s">
        <v>237</v>
      </c>
      <c r="I130">
        <v>0.31509999999999999</v>
      </c>
      <c r="K130" t="s">
        <v>232</v>
      </c>
      <c r="L130">
        <v>0.44806000000000001</v>
      </c>
      <c r="N130" t="s">
        <v>190</v>
      </c>
      <c r="O130">
        <v>0.56935000000000002</v>
      </c>
      <c r="Q130" t="s">
        <v>140</v>
      </c>
      <c r="R130">
        <v>0.59014999999999995</v>
      </c>
      <c r="T130" t="s">
        <v>284</v>
      </c>
      <c r="U130" s="5">
        <v>3310</v>
      </c>
      <c r="V130">
        <v>0.3</v>
      </c>
    </row>
    <row r="131" spans="1:22" x14ac:dyDescent="0.2">
      <c r="A131" t="str">
        <f t="shared" ref="A131:A194" si="8">IF(E131&gt;15, B131, "")</f>
        <v>Zambia</v>
      </c>
      <c r="B131" t="s">
        <v>285</v>
      </c>
      <c r="C131">
        <v>0.54237000000000002</v>
      </c>
      <c r="D131">
        <f t="shared" ref="D131:D194" si="9">INDEX($U$2:$U$194, MATCH(B131,$T$2:$T$194,0))</f>
        <v>3630</v>
      </c>
      <c r="E131">
        <f t="shared" ref="E131:E194" si="10">INDEX($V$2:$V$194, MATCH(B131,$T$2:$T$194,0))</f>
        <v>19.600000000000001</v>
      </c>
      <c r="F131">
        <f t="shared" ref="F131:F194" si="11">INDEX($R$2:$R$194, MATCH(B131,$T$2:$T$194,0))</f>
        <v>0.58633999999999997</v>
      </c>
      <c r="H131" t="s">
        <v>21</v>
      </c>
      <c r="I131">
        <v>0.3014</v>
      </c>
      <c r="K131" t="s">
        <v>243</v>
      </c>
      <c r="L131">
        <v>0.4476</v>
      </c>
      <c r="N131" t="s">
        <v>280</v>
      </c>
      <c r="O131">
        <v>0.56101999999999996</v>
      </c>
      <c r="Q131" t="s">
        <v>286</v>
      </c>
      <c r="R131">
        <v>0.58633999999999997</v>
      </c>
      <c r="T131" t="s">
        <v>285</v>
      </c>
      <c r="U131" s="5">
        <v>3630</v>
      </c>
      <c r="V131">
        <v>19.600000000000001</v>
      </c>
    </row>
    <row r="132" spans="1:22" x14ac:dyDescent="0.2">
      <c r="A132" t="str">
        <f t="shared" si="8"/>
        <v>Venezuela</v>
      </c>
      <c r="B132" t="s">
        <v>287</v>
      </c>
      <c r="C132">
        <v>0.53603000000000001</v>
      </c>
      <c r="D132">
        <f t="shared" si="9"/>
        <v>17440</v>
      </c>
      <c r="E132">
        <f t="shared" si="10"/>
        <v>28.2</v>
      </c>
      <c r="F132">
        <f t="shared" si="11"/>
        <v>0.58511999999999997</v>
      </c>
      <c r="H132" t="s">
        <v>288</v>
      </c>
      <c r="I132">
        <v>0.3014</v>
      </c>
      <c r="K132" t="s">
        <v>231</v>
      </c>
      <c r="L132">
        <v>0.44721</v>
      </c>
      <c r="N132" t="s">
        <v>194</v>
      </c>
      <c r="O132">
        <v>0.55857000000000001</v>
      </c>
      <c r="Q132" t="s">
        <v>280</v>
      </c>
      <c r="R132">
        <v>0.58511999999999997</v>
      </c>
      <c r="T132" t="s">
        <v>287</v>
      </c>
      <c r="U132" s="8">
        <v>17440</v>
      </c>
      <c r="V132">
        <v>28.2</v>
      </c>
    </row>
    <row r="133" spans="1:22" x14ac:dyDescent="0.2">
      <c r="A133" t="str">
        <f t="shared" si="8"/>
        <v/>
      </c>
      <c r="B133" t="s">
        <v>289</v>
      </c>
      <c r="C133">
        <v>0.53181</v>
      </c>
      <c r="D133">
        <f t="shared" si="9"/>
        <v>5790</v>
      </c>
      <c r="E133">
        <f t="shared" si="10"/>
        <v>7</v>
      </c>
      <c r="F133">
        <f t="shared" si="11"/>
        <v>0.58426999999999996</v>
      </c>
      <c r="H133" t="s">
        <v>269</v>
      </c>
      <c r="I133">
        <v>0.3014</v>
      </c>
      <c r="K133" t="s">
        <v>200</v>
      </c>
      <c r="L133">
        <v>0.41658000000000001</v>
      </c>
      <c r="N133" t="s">
        <v>169</v>
      </c>
      <c r="O133">
        <v>0.55684</v>
      </c>
      <c r="Q133" t="s">
        <v>196</v>
      </c>
      <c r="R133">
        <v>0.58426999999999996</v>
      </c>
      <c r="T133" t="s">
        <v>289</v>
      </c>
      <c r="U133" s="5">
        <v>5790</v>
      </c>
      <c r="V133">
        <v>7</v>
      </c>
    </row>
    <row r="134" spans="1:22" x14ac:dyDescent="0.2">
      <c r="A134" t="str">
        <f t="shared" si="8"/>
        <v/>
      </c>
      <c r="B134" t="s">
        <v>290</v>
      </c>
      <c r="C134">
        <v>0.52546999999999999</v>
      </c>
      <c r="D134">
        <f t="shared" si="9"/>
        <v>13740</v>
      </c>
      <c r="E134">
        <f t="shared" si="10"/>
        <v>0.2</v>
      </c>
      <c r="F134">
        <f t="shared" si="11"/>
        <v>0.58238999999999996</v>
      </c>
      <c r="H134" t="s">
        <v>167</v>
      </c>
      <c r="I134">
        <v>0.3014</v>
      </c>
      <c r="K134" t="s">
        <v>291</v>
      </c>
      <c r="L134">
        <v>0.41003000000000001</v>
      </c>
      <c r="N134" t="s">
        <v>205</v>
      </c>
      <c r="O134">
        <v>0.54781000000000002</v>
      </c>
      <c r="Q134" t="s">
        <v>292</v>
      </c>
      <c r="R134">
        <v>0.58238999999999996</v>
      </c>
      <c r="T134" t="s">
        <v>290</v>
      </c>
      <c r="U134" s="5">
        <v>13740</v>
      </c>
      <c r="V134">
        <v>0.2</v>
      </c>
    </row>
    <row r="135" spans="1:22" x14ac:dyDescent="0.2">
      <c r="A135" t="str">
        <f t="shared" si="8"/>
        <v/>
      </c>
      <c r="B135" t="s">
        <v>293</v>
      </c>
      <c r="C135">
        <v>0.51639000000000002</v>
      </c>
      <c r="D135">
        <f t="shared" si="9"/>
        <v>6070</v>
      </c>
      <c r="E135">
        <f t="shared" si="10"/>
        <v>0.1</v>
      </c>
      <c r="F135">
        <f t="shared" si="11"/>
        <v>0.58098000000000005</v>
      </c>
      <c r="H135" t="s">
        <v>277</v>
      </c>
      <c r="I135">
        <v>0.3014</v>
      </c>
      <c r="K135" t="s">
        <v>294</v>
      </c>
      <c r="L135">
        <v>0.40544999999999998</v>
      </c>
      <c r="N135" t="s">
        <v>113</v>
      </c>
      <c r="O135">
        <v>0.54668000000000005</v>
      </c>
      <c r="Q135" t="s">
        <v>243</v>
      </c>
      <c r="R135">
        <v>0.58098000000000005</v>
      </c>
      <c r="T135" t="s">
        <v>293</v>
      </c>
      <c r="U135" s="5">
        <v>6070</v>
      </c>
      <c r="V135">
        <v>0.1</v>
      </c>
    </row>
    <row r="136" spans="1:22" x14ac:dyDescent="0.2">
      <c r="A136" t="str">
        <f t="shared" si="8"/>
        <v>Senegal</v>
      </c>
      <c r="B136" t="s">
        <v>295</v>
      </c>
      <c r="C136">
        <v>0.51624999999999999</v>
      </c>
      <c r="D136">
        <f t="shared" si="9"/>
        <v>4090</v>
      </c>
      <c r="E136">
        <f t="shared" si="10"/>
        <v>17.899999999999999</v>
      </c>
      <c r="F136">
        <f t="shared" si="11"/>
        <v>0.57003999999999999</v>
      </c>
      <c r="H136" t="s">
        <v>250</v>
      </c>
      <c r="I136">
        <v>0.3014</v>
      </c>
      <c r="K136" t="s">
        <v>288</v>
      </c>
      <c r="L136">
        <v>0.40447</v>
      </c>
      <c r="N136" t="s">
        <v>296</v>
      </c>
      <c r="O136">
        <v>0.54634000000000005</v>
      </c>
      <c r="Q136" t="s">
        <v>116</v>
      </c>
      <c r="R136">
        <v>0.57003999999999999</v>
      </c>
      <c r="T136" t="s">
        <v>295</v>
      </c>
      <c r="U136" s="5">
        <v>4090</v>
      </c>
      <c r="V136">
        <v>17.899999999999999</v>
      </c>
    </row>
    <row r="137" spans="1:22" x14ac:dyDescent="0.2">
      <c r="A137" t="str">
        <f t="shared" si="8"/>
        <v>Pakistan</v>
      </c>
      <c r="B137" t="s">
        <v>297</v>
      </c>
      <c r="C137">
        <v>0.50954999999999995</v>
      </c>
      <c r="D137">
        <f t="shared" si="9"/>
        <v>5860</v>
      </c>
      <c r="E137">
        <f t="shared" si="10"/>
        <v>235.8</v>
      </c>
      <c r="F137">
        <f t="shared" si="11"/>
        <v>0.53905000000000003</v>
      </c>
      <c r="H137" t="s">
        <v>155</v>
      </c>
      <c r="I137">
        <v>0.3014</v>
      </c>
      <c r="K137" t="s">
        <v>242</v>
      </c>
      <c r="L137">
        <v>0.39884999999999998</v>
      </c>
      <c r="N137" t="s">
        <v>219</v>
      </c>
      <c r="O137">
        <v>0.54329000000000005</v>
      </c>
      <c r="Q137" t="s">
        <v>210</v>
      </c>
      <c r="R137">
        <v>0.53905000000000003</v>
      </c>
      <c r="T137" t="s">
        <v>297</v>
      </c>
      <c r="U137" s="5">
        <v>5860</v>
      </c>
      <c r="V137">
        <v>235.8</v>
      </c>
    </row>
    <row r="138" spans="1:22" x14ac:dyDescent="0.2">
      <c r="A138" t="str">
        <f t="shared" si="8"/>
        <v/>
      </c>
      <c r="B138" t="s">
        <v>298</v>
      </c>
      <c r="C138">
        <v>0.50724000000000002</v>
      </c>
      <c r="D138">
        <f t="shared" si="9"/>
        <v>14370</v>
      </c>
      <c r="E138">
        <f t="shared" si="10"/>
        <v>0.02</v>
      </c>
      <c r="F138">
        <f t="shared" si="11"/>
        <v>0.53381999999999996</v>
      </c>
      <c r="H138" t="s">
        <v>299</v>
      </c>
      <c r="I138">
        <v>0.28770000000000001</v>
      </c>
      <c r="K138" t="s">
        <v>180</v>
      </c>
      <c r="L138">
        <v>0.39851999999999999</v>
      </c>
      <c r="N138" t="s">
        <v>291</v>
      </c>
      <c r="O138">
        <v>0.53949999999999998</v>
      </c>
      <c r="Q138" t="s">
        <v>299</v>
      </c>
      <c r="R138">
        <v>0.53381999999999996</v>
      </c>
      <c r="T138" t="s">
        <v>298</v>
      </c>
      <c r="U138" s="5">
        <v>14370</v>
      </c>
      <c r="V138">
        <v>0.02</v>
      </c>
    </row>
    <row r="139" spans="1:22" x14ac:dyDescent="0.2">
      <c r="A139" t="str">
        <f t="shared" si="8"/>
        <v>Myanmar</v>
      </c>
      <c r="B139" t="s">
        <v>300</v>
      </c>
      <c r="C139">
        <v>0.50007000000000001</v>
      </c>
      <c r="D139">
        <f t="shared" si="9"/>
        <v>5140</v>
      </c>
      <c r="E139">
        <f t="shared" si="10"/>
        <v>54.2</v>
      </c>
      <c r="F139">
        <f t="shared" si="11"/>
        <v>0.53183000000000002</v>
      </c>
      <c r="H139" t="s">
        <v>301</v>
      </c>
      <c r="I139">
        <v>0.28770000000000001</v>
      </c>
      <c r="K139" t="s">
        <v>302</v>
      </c>
      <c r="L139">
        <v>0.39623999999999998</v>
      </c>
      <c r="N139" t="s">
        <v>244</v>
      </c>
      <c r="O139">
        <v>0.53478999999999999</v>
      </c>
      <c r="Q139" t="s">
        <v>207</v>
      </c>
      <c r="R139">
        <v>0.53183000000000002</v>
      </c>
      <c r="T139" t="s">
        <v>300</v>
      </c>
      <c r="U139" s="5">
        <v>5140</v>
      </c>
      <c r="V139">
        <v>54.2</v>
      </c>
    </row>
    <row r="140" spans="1:22" x14ac:dyDescent="0.2">
      <c r="A140" t="str">
        <f t="shared" si="8"/>
        <v/>
      </c>
      <c r="B140" t="s">
        <v>303</v>
      </c>
      <c r="C140">
        <v>0.49214000000000002</v>
      </c>
      <c r="D140">
        <f t="shared" si="9"/>
        <v>8920</v>
      </c>
      <c r="E140">
        <f t="shared" si="10"/>
        <v>11.1</v>
      </c>
      <c r="F140">
        <f t="shared" si="11"/>
        <v>0.52917000000000003</v>
      </c>
      <c r="H140" t="s">
        <v>169</v>
      </c>
      <c r="I140">
        <v>0.28770000000000001</v>
      </c>
      <c r="K140" t="s">
        <v>304</v>
      </c>
      <c r="L140">
        <v>0.39590999999999998</v>
      </c>
      <c r="N140" t="s">
        <v>226</v>
      </c>
      <c r="O140">
        <v>0.53473999999999999</v>
      </c>
      <c r="Q140" t="s">
        <v>294</v>
      </c>
      <c r="R140">
        <v>0.52917000000000003</v>
      </c>
      <c r="T140" t="s">
        <v>303</v>
      </c>
      <c r="U140" s="8">
        <v>8920</v>
      </c>
      <c r="V140">
        <v>11.1</v>
      </c>
    </row>
    <row r="141" spans="1:22" x14ac:dyDescent="0.2">
      <c r="A141" t="str">
        <f t="shared" si="8"/>
        <v/>
      </c>
      <c r="B141" t="s">
        <v>305</v>
      </c>
      <c r="C141">
        <v>0.4899</v>
      </c>
      <c r="D141">
        <f t="shared" si="9"/>
        <v>6310</v>
      </c>
      <c r="E141">
        <f t="shared" si="10"/>
        <v>0.2</v>
      </c>
      <c r="F141">
        <f t="shared" si="11"/>
        <v>0.51512000000000002</v>
      </c>
      <c r="H141" t="s">
        <v>265</v>
      </c>
      <c r="I141">
        <v>0.28770000000000001</v>
      </c>
      <c r="K141" t="s">
        <v>223</v>
      </c>
      <c r="L141">
        <v>0.39062999999999998</v>
      </c>
      <c r="N141" t="s">
        <v>140</v>
      </c>
      <c r="O141">
        <v>0.52710999999999997</v>
      </c>
      <c r="Q141" t="s">
        <v>236</v>
      </c>
      <c r="R141">
        <v>0.51512000000000002</v>
      </c>
      <c r="T141" t="s">
        <v>305</v>
      </c>
      <c r="U141" s="5">
        <v>6310</v>
      </c>
      <c r="V141">
        <v>0.2</v>
      </c>
    </row>
    <row r="142" spans="1:22" x14ac:dyDescent="0.2">
      <c r="A142" t="str">
        <f t="shared" si="8"/>
        <v/>
      </c>
      <c r="B142" t="s">
        <v>306</v>
      </c>
      <c r="C142">
        <v>0.48719000000000001</v>
      </c>
      <c r="D142">
        <f t="shared" si="9"/>
        <v>9420</v>
      </c>
      <c r="E142">
        <f t="shared" si="10"/>
        <v>0.4</v>
      </c>
      <c r="F142">
        <f t="shared" si="11"/>
        <v>0.50880000000000003</v>
      </c>
      <c r="H142" t="s">
        <v>307</v>
      </c>
      <c r="I142">
        <v>0.27400000000000002</v>
      </c>
      <c r="K142" t="s">
        <v>255</v>
      </c>
      <c r="L142">
        <v>0.39034999999999997</v>
      </c>
      <c r="N142" t="s">
        <v>294</v>
      </c>
      <c r="O142">
        <v>0.52698</v>
      </c>
      <c r="Q142" t="s">
        <v>253</v>
      </c>
      <c r="R142">
        <v>0.50880000000000003</v>
      </c>
      <c r="T142" t="s">
        <v>306</v>
      </c>
      <c r="U142" s="5">
        <v>9420</v>
      </c>
      <c r="V142">
        <v>0.4</v>
      </c>
    </row>
    <row r="143" spans="1:22" x14ac:dyDescent="0.2">
      <c r="A143" t="str">
        <f t="shared" si="8"/>
        <v/>
      </c>
      <c r="B143" t="s">
        <v>308</v>
      </c>
      <c r="C143">
        <v>0.48559000000000002</v>
      </c>
      <c r="D143">
        <f t="shared" si="9"/>
        <v>6500</v>
      </c>
      <c r="E143">
        <f t="shared" si="10"/>
        <v>10.3</v>
      </c>
      <c r="F143">
        <f t="shared" si="11"/>
        <v>0.49096000000000001</v>
      </c>
      <c r="H143" t="s">
        <v>254</v>
      </c>
      <c r="I143">
        <v>0.27400000000000002</v>
      </c>
      <c r="K143" t="s">
        <v>275</v>
      </c>
      <c r="L143">
        <v>0.38228000000000001</v>
      </c>
      <c r="N143" t="s">
        <v>232</v>
      </c>
      <c r="O143">
        <v>0.52100000000000002</v>
      </c>
      <c r="Q143" t="s">
        <v>167</v>
      </c>
      <c r="R143">
        <v>0.49096000000000001</v>
      </c>
      <c r="T143" t="s">
        <v>308</v>
      </c>
      <c r="U143" s="5">
        <v>6500</v>
      </c>
      <c r="V143">
        <v>10.3</v>
      </c>
    </row>
    <row r="144" spans="1:22" x14ac:dyDescent="0.2">
      <c r="A144" t="str">
        <f t="shared" si="8"/>
        <v/>
      </c>
      <c r="B144" t="s">
        <v>309</v>
      </c>
      <c r="C144">
        <v>0.48229</v>
      </c>
      <c r="D144">
        <f t="shared" si="9"/>
        <v>6310</v>
      </c>
      <c r="E144">
        <f t="shared" si="10"/>
        <v>0.06</v>
      </c>
      <c r="F144">
        <f t="shared" si="11"/>
        <v>0.49023</v>
      </c>
      <c r="H144" t="s">
        <v>180</v>
      </c>
      <c r="I144">
        <v>0.27400000000000002</v>
      </c>
      <c r="K144" t="s">
        <v>269</v>
      </c>
      <c r="L144">
        <v>0.37983</v>
      </c>
      <c r="N144" t="s">
        <v>242</v>
      </c>
      <c r="O144">
        <v>0.51924999999999999</v>
      </c>
      <c r="Q144" t="s">
        <v>310</v>
      </c>
      <c r="R144">
        <v>0.49023</v>
      </c>
      <c r="T144" t="s">
        <v>309</v>
      </c>
      <c r="U144" s="5">
        <v>6310</v>
      </c>
      <c r="V144">
        <v>0.06</v>
      </c>
    </row>
    <row r="145" spans="1:22" x14ac:dyDescent="0.2">
      <c r="A145" t="str">
        <f t="shared" si="8"/>
        <v>Nigeria</v>
      </c>
      <c r="B145" t="s">
        <v>311</v>
      </c>
      <c r="C145">
        <v>0.48146</v>
      </c>
      <c r="D145">
        <f t="shared" si="9"/>
        <v>5000</v>
      </c>
      <c r="E145">
        <f t="shared" si="10"/>
        <v>218.5</v>
      </c>
      <c r="F145">
        <f t="shared" si="11"/>
        <v>0.48393999999999998</v>
      </c>
      <c r="H145" t="s">
        <v>243</v>
      </c>
      <c r="I145">
        <v>0.27400000000000002</v>
      </c>
      <c r="K145" t="s">
        <v>227</v>
      </c>
      <c r="L145">
        <v>0.37729000000000001</v>
      </c>
      <c r="N145" t="s">
        <v>277</v>
      </c>
      <c r="O145">
        <v>0.51817999999999997</v>
      </c>
      <c r="Q145" t="s">
        <v>271</v>
      </c>
      <c r="R145">
        <v>0.48393999999999998</v>
      </c>
      <c r="T145" t="s">
        <v>311</v>
      </c>
      <c r="U145" s="5">
        <v>5000</v>
      </c>
      <c r="V145">
        <v>218.5</v>
      </c>
    </row>
    <row r="146" spans="1:22" x14ac:dyDescent="0.2">
      <c r="A146" t="str">
        <f t="shared" si="8"/>
        <v/>
      </c>
      <c r="B146" t="s">
        <v>312</v>
      </c>
      <c r="C146">
        <v>0.47569</v>
      </c>
      <c r="D146">
        <f t="shared" si="9"/>
        <v>16050</v>
      </c>
      <c r="E146">
        <f t="shared" si="10"/>
        <v>6.3</v>
      </c>
      <c r="F146">
        <f t="shared" si="11"/>
        <v>0.48354999999999998</v>
      </c>
      <c r="H146" t="s">
        <v>291</v>
      </c>
      <c r="I146">
        <v>0.27400000000000002</v>
      </c>
      <c r="K146" t="s">
        <v>250</v>
      </c>
      <c r="L146">
        <v>0.36377999999999999</v>
      </c>
      <c r="N146" t="s">
        <v>237</v>
      </c>
      <c r="O146">
        <v>0.51488999999999996</v>
      </c>
      <c r="Q146" t="s">
        <v>235</v>
      </c>
      <c r="R146">
        <v>0.48354999999999998</v>
      </c>
      <c r="T146" t="s">
        <v>312</v>
      </c>
      <c r="U146" s="5">
        <v>16050</v>
      </c>
      <c r="V146">
        <v>6.3</v>
      </c>
    </row>
    <row r="147" spans="1:22" x14ac:dyDescent="0.2">
      <c r="A147" t="str">
        <f t="shared" si="8"/>
        <v/>
      </c>
      <c r="B147" t="s">
        <v>313</v>
      </c>
      <c r="C147">
        <v>0.45778999999999997</v>
      </c>
      <c r="D147">
        <f t="shared" si="9"/>
        <v>3740</v>
      </c>
      <c r="E147">
        <f t="shared" si="10"/>
        <v>13.7</v>
      </c>
      <c r="F147">
        <f t="shared" si="11"/>
        <v>0.48171000000000003</v>
      </c>
      <c r="H147" t="s">
        <v>314</v>
      </c>
      <c r="I147">
        <v>0.24660000000000001</v>
      </c>
      <c r="K147" t="s">
        <v>149</v>
      </c>
      <c r="L147">
        <v>0.35858000000000001</v>
      </c>
      <c r="N147" t="s">
        <v>276</v>
      </c>
      <c r="O147">
        <v>0.51036000000000004</v>
      </c>
      <c r="Q147" t="s">
        <v>247</v>
      </c>
      <c r="R147">
        <v>0.48171000000000003</v>
      </c>
      <c r="T147" t="s">
        <v>313</v>
      </c>
      <c r="U147" s="5">
        <v>3740</v>
      </c>
      <c r="V147">
        <v>13.7</v>
      </c>
    </row>
    <row r="148" spans="1:22" x14ac:dyDescent="0.2">
      <c r="A148" t="str">
        <f t="shared" si="8"/>
        <v/>
      </c>
      <c r="B148" t="s">
        <v>315</v>
      </c>
      <c r="C148">
        <v>0.45723000000000003</v>
      </c>
      <c r="D148">
        <f t="shared" si="9"/>
        <v>2530</v>
      </c>
      <c r="E148">
        <f t="shared" si="10"/>
        <v>0.1</v>
      </c>
      <c r="F148">
        <f t="shared" si="11"/>
        <v>0.47992000000000001</v>
      </c>
      <c r="H148" t="s">
        <v>163</v>
      </c>
      <c r="I148">
        <v>0.24660000000000001</v>
      </c>
      <c r="K148" t="s">
        <v>210</v>
      </c>
      <c r="L148">
        <v>0.35755999999999999</v>
      </c>
      <c r="N148" t="s">
        <v>273</v>
      </c>
      <c r="O148">
        <v>0.50812000000000002</v>
      </c>
      <c r="Q148" t="s">
        <v>277</v>
      </c>
      <c r="R148">
        <v>0.47992000000000001</v>
      </c>
      <c r="T148" t="s">
        <v>315</v>
      </c>
      <c r="U148" s="5">
        <v>2530</v>
      </c>
      <c r="V148">
        <v>0.1</v>
      </c>
    </row>
    <row r="149" spans="1:22" x14ac:dyDescent="0.2">
      <c r="A149" t="str">
        <f t="shared" si="8"/>
        <v>Iraq</v>
      </c>
      <c r="B149" t="s">
        <v>316</v>
      </c>
      <c r="C149">
        <v>0.45721000000000001</v>
      </c>
      <c r="D149">
        <f t="shared" si="9"/>
        <v>14160</v>
      </c>
      <c r="E149">
        <f t="shared" si="10"/>
        <v>44.5</v>
      </c>
      <c r="F149">
        <f t="shared" si="11"/>
        <v>0.47841</v>
      </c>
      <c r="H149" t="s">
        <v>286</v>
      </c>
      <c r="I149">
        <v>0.2329</v>
      </c>
      <c r="K149" t="s">
        <v>99</v>
      </c>
      <c r="L149">
        <v>0.35754000000000002</v>
      </c>
      <c r="N149" t="s">
        <v>286</v>
      </c>
      <c r="O149">
        <v>0.50612000000000001</v>
      </c>
      <c r="Q149" t="s">
        <v>171</v>
      </c>
      <c r="R149">
        <v>0.47841</v>
      </c>
      <c r="T149" t="s">
        <v>316</v>
      </c>
      <c r="U149" s="5">
        <v>14160</v>
      </c>
      <c r="V149">
        <v>44.5</v>
      </c>
    </row>
    <row r="150" spans="1:22" x14ac:dyDescent="0.2">
      <c r="A150" t="str">
        <f t="shared" si="8"/>
        <v>Zimbabwe</v>
      </c>
      <c r="B150" t="s">
        <v>317</v>
      </c>
      <c r="C150">
        <v>0.44807000000000002</v>
      </c>
      <c r="D150">
        <f t="shared" si="9"/>
        <v>2150</v>
      </c>
      <c r="E150">
        <f t="shared" si="10"/>
        <v>16</v>
      </c>
      <c r="F150">
        <f t="shared" si="11"/>
        <v>0.47453000000000001</v>
      </c>
      <c r="H150" t="s">
        <v>318</v>
      </c>
      <c r="I150">
        <v>0.2329</v>
      </c>
      <c r="K150" t="s">
        <v>260</v>
      </c>
      <c r="L150">
        <v>0.34549000000000002</v>
      </c>
      <c r="N150" t="s">
        <v>212</v>
      </c>
      <c r="O150">
        <v>0.50229000000000001</v>
      </c>
      <c r="Q150" t="s">
        <v>183</v>
      </c>
      <c r="R150">
        <v>0.47453000000000001</v>
      </c>
      <c r="T150" t="s">
        <v>317</v>
      </c>
      <c r="U150" s="5">
        <v>2150</v>
      </c>
      <c r="V150">
        <v>16</v>
      </c>
    </row>
    <row r="151" spans="1:22" x14ac:dyDescent="0.2">
      <c r="A151" t="str">
        <f t="shared" si="8"/>
        <v>Uganda</v>
      </c>
      <c r="B151" t="s">
        <v>319</v>
      </c>
      <c r="C151">
        <v>0.44635999999999998</v>
      </c>
      <c r="D151">
        <f t="shared" si="9"/>
        <v>2370</v>
      </c>
      <c r="E151">
        <f t="shared" si="10"/>
        <v>45.9</v>
      </c>
      <c r="F151">
        <f t="shared" si="11"/>
        <v>0.47197</v>
      </c>
      <c r="H151" t="s">
        <v>280</v>
      </c>
      <c r="I151">
        <v>0.2329</v>
      </c>
      <c r="K151" t="s">
        <v>320</v>
      </c>
      <c r="L151">
        <v>0.34194999999999998</v>
      </c>
      <c r="N151" t="s">
        <v>262</v>
      </c>
      <c r="O151">
        <v>0.49671999999999999</v>
      </c>
      <c r="Q151" t="s">
        <v>296</v>
      </c>
      <c r="R151">
        <v>0.47197</v>
      </c>
      <c r="T151" t="s">
        <v>319</v>
      </c>
      <c r="U151" s="5">
        <v>2370</v>
      </c>
      <c r="V151">
        <v>45.9</v>
      </c>
    </row>
    <row r="152" spans="1:22" x14ac:dyDescent="0.2">
      <c r="A152" t="str">
        <f t="shared" si="8"/>
        <v/>
      </c>
      <c r="B152" t="s">
        <v>321</v>
      </c>
      <c r="C152">
        <v>0.44544</v>
      </c>
      <c r="E152">
        <f t="shared" si="10"/>
        <v>0.01</v>
      </c>
      <c r="F152">
        <f t="shared" si="11"/>
        <v>0.46427000000000002</v>
      </c>
      <c r="H152" t="s">
        <v>294</v>
      </c>
      <c r="I152">
        <v>0.2329</v>
      </c>
      <c r="K152" t="s">
        <v>276</v>
      </c>
      <c r="L152">
        <v>0.34055999999999997</v>
      </c>
      <c r="N152" t="s">
        <v>322</v>
      </c>
      <c r="O152">
        <v>0.49243999999999999</v>
      </c>
      <c r="Q152" t="s">
        <v>323</v>
      </c>
      <c r="R152">
        <v>0.46427000000000002</v>
      </c>
      <c r="T152" t="s">
        <v>321</v>
      </c>
      <c r="U152" s="8" t="s">
        <v>118</v>
      </c>
      <c r="V152">
        <v>0.01</v>
      </c>
    </row>
    <row r="153" spans="1:22" x14ac:dyDescent="0.2">
      <c r="A153" t="str">
        <f t="shared" si="8"/>
        <v/>
      </c>
      <c r="B153" t="s">
        <v>299</v>
      </c>
      <c r="C153">
        <v>0.44037999999999999</v>
      </c>
      <c r="D153">
        <f t="shared" si="9"/>
        <v>12122</v>
      </c>
      <c r="E153">
        <f t="shared" si="10"/>
        <v>7.5</v>
      </c>
      <c r="F153">
        <f t="shared" si="11"/>
        <v>0.46065</v>
      </c>
      <c r="H153" t="s">
        <v>302</v>
      </c>
      <c r="I153">
        <v>0.21920000000000001</v>
      </c>
      <c r="K153" t="s">
        <v>324</v>
      </c>
      <c r="L153">
        <v>0.3392</v>
      </c>
      <c r="N153" t="s">
        <v>323</v>
      </c>
      <c r="O153">
        <v>0.48616999999999999</v>
      </c>
      <c r="Q153" t="s">
        <v>250</v>
      </c>
      <c r="R153">
        <v>0.46065</v>
      </c>
      <c r="T153" t="s">
        <v>299</v>
      </c>
      <c r="U153" s="5">
        <v>12122</v>
      </c>
      <c r="V153">
        <v>7.5</v>
      </c>
    </row>
    <row r="154" spans="1:22" x14ac:dyDescent="0.2">
      <c r="A154" t="str">
        <f t="shared" si="8"/>
        <v>Tanzania</v>
      </c>
      <c r="B154" t="s">
        <v>325</v>
      </c>
      <c r="C154">
        <v>0.43271999999999999</v>
      </c>
      <c r="D154">
        <f t="shared" si="9"/>
        <v>3000</v>
      </c>
      <c r="E154">
        <f t="shared" si="10"/>
        <v>63.6</v>
      </c>
      <c r="F154">
        <f t="shared" si="11"/>
        <v>0.44323000000000001</v>
      </c>
      <c r="H154" t="s">
        <v>232</v>
      </c>
      <c r="I154">
        <v>0.21920000000000001</v>
      </c>
      <c r="K154" t="s">
        <v>326</v>
      </c>
      <c r="L154">
        <v>0.33764</v>
      </c>
      <c r="N154" t="s">
        <v>240</v>
      </c>
      <c r="O154">
        <v>0.48483999999999999</v>
      </c>
      <c r="Q154" t="s">
        <v>307</v>
      </c>
      <c r="R154">
        <v>0.44323000000000001</v>
      </c>
      <c r="T154" t="s">
        <v>325</v>
      </c>
      <c r="U154" s="5">
        <v>3000</v>
      </c>
      <c r="V154">
        <v>63.6</v>
      </c>
    </row>
    <row r="155" spans="1:22" x14ac:dyDescent="0.2">
      <c r="A155" t="str">
        <f t="shared" si="8"/>
        <v/>
      </c>
      <c r="B155" t="s">
        <v>327</v>
      </c>
      <c r="C155">
        <v>0.43078</v>
      </c>
      <c r="D155">
        <f t="shared" si="9"/>
        <v>4170</v>
      </c>
      <c r="E155">
        <f t="shared" si="10"/>
        <v>0.2</v>
      </c>
      <c r="F155">
        <f t="shared" si="11"/>
        <v>0.44256000000000001</v>
      </c>
      <c r="H155" t="s">
        <v>326</v>
      </c>
      <c r="I155">
        <v>0.21920000000000001</v>
      </c>
      <c r="K155" t="s">
        <v>307</v>
      </c>
      <c r="L155">
        <v>0.33339999999999997</v>
      </c>
      <c r="N155" t="s">
        <v>196</v>
      </c>
      <c r="O155">
        <v>0.4834</v>
      </c>
      <c r="Q155" t="s">
        <v>328</v>
      </c>
      <c r="R155">
        <v>0.44256000000000001</v>
      </c>
      <c r="T155" t="s">
        <v>327</v>
      </c>
      <c r="U155" s="5">
        <v>4170</v>
      </c>
      <c r="V155">
        <v>0.2</v>
      </c>
    </row>
    <row r="156" spans="1:22" x14ac:dyDescent="0.2">
      <c r="A156" t="str">
        <f t="shared" si="8"/>
        <v>Cameroon</v>
      </c>
      <c r="B156" t="s">
        <v>329</v>
      </c>
      <c r="C156">
        <v>0.42935000000000001</v>
      </c>
      <c r="D156">
        <f t="shared" si="9"/>
        <v>4090</v>
      </c>
      <c r="E156">
        <f t="shared" si="10"/>
        <v>27.2</v>
      </c>
      <c r="F156">
        <f t="shared" si="11"/>
        <v>0.43922</v>
      </c>
      <c r="H156" t="s">
        <v>330</v>
      </c>
      <c r="I156">
        <v>0.21920000000000001</v>
      </c>
      <c r="K156" t="s">
        <v>208</v>
      </c>
      <c r="L156">
        <v>0.33200000000000002</v>
      </c>
      <c r="N156" t="s">
        <v>231</v>
      </c>
      <c r="O156">
        <v>0.48133999999999999</v>
      </c>
      <c r="Q156" t="s">
        <v>331</v>
      </c>
      <c r="R156">
        <v>0.43922</v>
      </c>
      <c r="T156" t="s">
        <v>329</v>
      </c>
      <c r="U156" s="5">
        <v>4090</v>
      </c>
      <c r="V156">
        <v>27.2</v>
      </c>
    </row>
    <row r="157" spans="1:22" x14ac:dyDescent="0.2">
      <c r="A157" t="str">
        <f t="shared" si="8"/>
        <v>Angola</v>
      </c>
      <c r="B157" t="s">
        <v>332</v>
      </c>
      <c r="C157">
        <v>0.41487000000000002</v>
      </c>
      <c r="D157">
        <f t="shared" si="9"/>
        <v>6090</v>
      </c>
      <c r="E157">
        <f t="shared" si="10"/>
        <v>35.6</v>
      </c>
      <c r="F157">
        <f t="shared" si="11"/>
        <v>0.43230000000000002</v>
      </c>
      <c r="H157" t="s">
        <v>310</v>
      </c>
      <c r="I157">
        <v>0.21920000000000001</v>
      </c>
      <c r="K157" t="s">
        <v>299</v>
      </c>
      <c r="L157">
        <v>0.32647999999999999</v>
      </c>
      <c r="N157" t="s">
        <v>302</v>
      </c>
      <c r="O157">
        <v>0.47602</v>
      </c>
      <c r="Q157" t="s">
        <v>202</v>
      </c>
      <c r="R157">
        <v>0.43230000000000002</v>
      </c>
      <c r="T157" t="s">
        <v>332</v>
      </c>
      <c r="U157" s="5">
        <v>6090</v>
      </c>
      <c r="V157">
        <v>35.6</v>
      </c>
    </row>
    <row r="158" spans="1:22" x14ac:dyDescent="0.2">
      <c r="A158" t="str">
        <f t="shared" si="8"/>
        <v/>
      </c>
      <c r="B158" t="s">
        <v>333</v>
      </c>
      <c r="C158">
        <v>0.41228999999999999</v>
      </c>
      <c r="D158">
        <f t="shared" si="9"/>
        <v>2740</v>
      </c>
      <c r="E158">
        <f t="shared" si="10"/>
        <v>2.2000000000000002</v>
      </c>
      <c r="F158">
        <f t="shared" si="11"/>
        <v>0.39471000000000001</v>
      </c>
      <c r="H158" t="s">
        <v>260</v>
      </c>
      <c r="I158">
        <v>0.21920000000000001</v>
      </c>
      <c r="K158" t="s">
        <v>273</v>
      </c>
      <c r="L158">
        <v>0.32594000000000001</v>
      </c>
      <c r="N158" t="s">
        <v>229</v>
      </c>
      <c r="O158">
        <v>0.47493000000000002</v>
      </c>
      <c r="Q158" t="s">
        <v>291</v>
      </c>
      <c r="R158">
        <v>0.39471000000000001</v>
      </c>
      <c r="T158" t="s">
        <v>333</v>
      </c>
      <c r="U158" s="5">
        <v>2740</v>
      </c>
      <c r="V158">
        <v>2.2000000000000002</v>
      </c>
    </row>
    <row r="159" spans="1:22" x14ac:dyDescent="0.2">
      <c r="A159" t="str">
        <f t="shared" si="8"/>
        <v/>
      </c>
      <c r="B159" t="s">
        <v>334</v>
      </c>
      <c r="C159">
        <v>0.40425</v>
      </c>
      <c r="D159">
        <f t="shared" si="9"/>
        <v>7790</v>
      </c>
      <c r="E159">
        <f t="shared" si="10"/>
        <v>0.01</v>
      </c>
      <c r="F159">
        <f t="shared" si="11"/>
        <v>0.38766</v>
      </c>
      <c r="H159" t="s">
        <v>210</v>
      </c>
      <c r="I159">
        <v>0.21920000000000001</v>
      </c>
      <c r="K159" t="s">
        <v>266</v>
      </c>
      <c r="L159">
        <v>0.32291999999999998</v>
      </c>
      <c r="N159" t="s">
        <v>335</v>
      </c>
      <c r="O159">
        <v>0.46375</v>
      </c>
      <c r="Q159" t="s">
        <v>336</v>
      </c>
      <c r="R159">
        <v>0.38766</v>
      </c>
      <c r="T159" t="s">
        <v>334</v>
      </c>
      <c r="U159" s="8">
        <v>7790</v>
      </c>
      <c r="V159">
        <v>0.01</v>
      </c>
    </row>
    <row r="160" spans="1:22" x14ac:dyDescent="0.2">
      <c r="A160" t="str">
        <f t="shared" si="8"/>
        <v/>
      </c>
      <c r="B160" t="s">
        <v>276</v>
      </c>
      <c r="C160">
        <v>0.40201999999999999</v>
      </c>
      <c r="D160">
        <f t="shared" si="9"/>
        <v>4170</v>
      </c>
      <c r="E160">
        <f t="shared" si="10"/>
        <v>1.3</v>
      </c>
      <c r="F160">
        <f t="shared" si="11"/>
        <v>0.38401999999999997</v>
      </c>
      <c r="H160" t="s">
        <v>323</v>
      </c>
      <c r="I160">
        <v>0.20549999999999999</v>
      </c>
      <c r="K160" t="s">
        <v>171</v>
      </c>
      <c r="L160">
        <v>0.32203999999999999</v>
      </c>
      <c r="N160" t="s">
        <v>299</v>
      </c>
      <c r="O160">
        <v>0.46084000000000003</v>
      </c>
      <c r="Q160" t="s">
        <v>337</v>
      </c>
      <c r="R160">
        <v>0.38401999999999997</v>
      </c>
      <c r="T160" t="s">
        <v>276</v>
      </c>
      <c r="U160" s="5">
        <v>4170</v>
      </c>
      <c r="V160">
        <v>1.3</v>
      </c>
    </row>
    <row r="161" spans="1:22" x14ac:dyDescent="0.2">
      <c r="A161" t="str">
        <f t="shared" si="8"/>
        <v/>
      </c>
      <c r="B161" t="s">
        <v>338</v>
      </c>
      <c r="C161">
        <v>0.40059</v>
      </c>
      <c r="D161">
        <f t="shared" si="9"/>
        <v>3000</v>
      </c>
      <c r="E161">
        <f t="shared" si="10"/>
        <v>13.5</v>
      </c>
      <c r="F161">
        <f t="shared" si="11"/>
        <v>0.37920999999999999</v>
      </c>
      <c r="H161" t="s">
        <v>304</v>
      </c>
      <c r="I161">
        <v>0.20549999999999999</v>
      </c>
      <c r="K161" t="s">
        <v>198</v>
      </c>
      <c r="L161">
        <v>0.31874999999999998</v>
      </c>
      <c r="N161" t="s">
        <v>314</v>
      </c>
      <c r="O161">
        <v>0.44867000000000001</v>
      </c>
      <c r="Q161" t="s">
        <v>325</v>
      </c>
      <c r="R161">
        <v>0.37920999999999999</v>
      </c>
      <c r="T161" t="s">
        <v>338</v>
      </c>
      <c r="U161" s="5">
        <v>3000</v>
      </c>
      <c r="V161">
        <v>13.5</v>
      </c>
    </row>
    <row r="162" spans="1:22" x14ac:dyDescent="0.2">
      <c r="A162" t="str">
        <f t="shared" si="8"/>
        <v/>
      </c>
      <c r="B162" t="s">
        <v>339</v>
      </c>
      <c r="C162">
        <v>0.39198</v>
      </c>
      <c r="D162">
        <f t="shared" si="9"/>
        <v>2800</v>
      </c>
      <c r="E162">
        <f t="shared" si="10"/>
        <v>8.5</v>
      </c>
      <c r="F162">
        <f t="shared" si="11"/>
        <v>0.37237999999999999</v>
      </c>
      <c r="H162" t="s">
        <v>340</v>
      </c>
      <c r="I162">
        <v>0.20549999999999999</v>
      </c>
      <c r="K162" t="s">
        <v>330</v>
      </c>
      <c r="L162">
        <v>0.31459999999999999</v>
      </c>
      <c r="N162" t="s">
        <v>265</v>
      </c>
      <c r="O162">
        <v>0.43986999999999998</v>
      </c>
      <c r="Q162" t="s">
        <v>302</v>
      </c>
      <c r="R162">
        <v>0.37237999999999999</v>
      </c>
      <c r="T162" t="s">
        <v>339</v>
      </c>
      <c r="U162" s="5">
        <v>2800</v>
      </c>
      <c r="V162">
        <v>8.5</v>
      </c>
    </row>
    <row r="163" spans="1:22" x14ac:dyDescent="0.2">
      <c r="A163" t="str">
        <f t="shared" si="8"/>
        <v>Syria</v>
      </c>
      <c r="B163" t="s">
        <v>328</v>
      </c>
      <c r="C163">
        <v>0.38875999999999999</v>
      </c>
      <c r="D163">
        <f t="shared" si="9"/>
        <v>4610</v>
      </c>
      <c r="E163">
        <f t="shared" si="10"/>
        <v>22.1</v>
      </c>
      <c r="F163">
        <f t="shared" si="11"/>
        <v>0.37235000000000001</v>
      </c>
      <c r="H163" t="s">
        <v>174</v>
      </c>
      <c r="I163">
        <v>0.20549999999999999</v>
      </c>
      <c r="K163" t="s">
        <v>340</v>
      </c>
      <c r="L163">
        <v>0.30839</v>
      </c>
      <c r="N163" t="s">
        <v>257</v>
      </c>
      <c r="O163">
        <v>0.42624000000000001</v>
      </c>
      <c r="Q163" t="s">
        <v>113</v>
      </c>
      <c r="R163">
        <v>0.37235000000000001</v>
      </c>
      <c r="T163" t="s">
        <v>328</v>
      </c>
      <c r="U163" s="8">
        <v>4610</v>
      </c>
      <c r="V163">
        <v>22.1</v>
      </c>
    </row>
    <row r="164" spans="1:22" x14ac:dyDescent="0.2">
      <c r="A164" t="str">
        <f t="shared" si="8"/>
        <v>Malawi</v>
      </c>
      <c r="B164" t="s">
        <v>341</v>
      </c>
      <c r="C164">
        <v>0.37534000000000001</v>
      </c>
      <c r="D164">
        <f t="shared" si="9"/>
        <v>1500</v>
      </c>
      <c r="E164">
        <f t="shared" si="10"/>
        <v>20</v>
      </c>
      <c r="F164">
        <f t="shared" si="11"/>
        <v>0.37003999999999998</v>
      </c>
      <c r="H164" t="s">
        <v>324</v>
      </c>
      <c r="I164">
        <v>0.1918</v>
      </c>
      <c r="K164" t="s">
        <v>342</v>
      </c>
      <c r="L164">
        <v>0.30678</v>
      </c>
      <c r="N164" t="s">
        <v>235</v>
      </c>
      <c r="O164">
        <v>0.42357</v>
      </c>
      <c r="Q164" t="s">
        <v>242</v>
      </c>
      <c r="R164">
        <v>0.37003999999999998</v>
      </c>
      <c r="T164" t="s">
        <v>341</v>
      </c>
      <c r="U164" s="5">
        <v>1500</v>
      </c>
      <c r="V164">
        <v>20</v>
      </c>
    </row>
    <row r="165" spans="1:22" x14ac:dyDescent="0.2">
      <c r="A165" t="str">
        <f t="shared" si="8"/>
        <v/>
      </c>
      <c r="B165" t="s">
        <v>343</v>
      </c>
      <c r="C165">
        <v>0.36810999999999999</v>
      </c>
      <c r="D165">
        <f t="shared" si="9"/>
        <v>2700</v>
      </c>
      <c r="E165">
        <f t="shared" si="10"/>
        <v>0.7</v>
      </c>
      <c r="F165">
        <f t="shared" si="11"/>
        <v>0.36402000000000001</v>
      </c>
      <c r="H165" t="s">
        <v>336</v>
      </c>
      <c r="I165">
        <v>0.17810000000000001</v>
      </c>
      <c r="K165" t="s">
        <v>174</v>
      </c>
      <c r="L165">
        <v>0.30385000000000001</v>
      </c>
      <c r="N165" t="s">
        <v>342</v>
      </c>
      <c r="O165">
        <v>0.41688999999999998</v>
      </c>
      <c r="Q165" t="s">
        <v>326</v>
      </c>
      <c r="R165">
        <v>0.36402000000000001</v>
      </c>
      <c r="T165" t="s">
        <v>343</v>
      </c>
      <c r="U165" s="5">
        <v>2700</v>
      </c>
      <c r="V165">
        <v>0.7</v>
      </c>
    </row>
    <row r="166" spans="1:22" x14ac:dyDescent="0.2">
      <c r="A166" t="str">
        <f t="shared" si="8"/>
        <v/>
      </c>
      <c r="B166" t="s">
        <v>344</v>
      </c>
      <c r="C166">
        <v>0.34911999999999999</v>
      </c>
      <c r="D166">
        <f t="shared" si="9"/>
        <v>5860</v>
      </c>
      <c r="E166">
        <f t="shared" si="10"/>
        <v>5</v>
      </c>
      <c r="F166">
        <f t="shared" si="11"/>
        <v>0.35505999999999999</v>
      </c>
      <c r="H166" t="s">
        <v>227</v>
      </c>
      <c r="I166">
        <v>0.17810000000000001</v>
      </c>
      <c r="K166" t="s">
        <v>301</v>
      </c>
      <c r="L166">
        <v>0.29709999999999998</v>
      </c>
      <c r="N166" t="s">
        <v>288</v>
      </c>
      <c r="O166">
        <v>0.41409000000000001</v>
      </c>
      <c r="Q166" t="s">
        <v>276</v>
      </c>
      <c r="R166">
        <v>0.35505999999999999</v>
      </c>
      <c r="T166" t="s">
        <v>344</v>
      </c>
      <c r="U166" s="5">
        <v>5860</v>
      </c>
      <c r="V166">
        <v>5</v>
      </c>
    </row>
    <row r="167" spans="1:22" x14ac:dyDescent="0.2">
      <c r="A167" t="str">
        <f t="shared" si="8"/>
        <v/>
      </c>
      <c r="B167" t="s">
        <v>345</v>
      </c>
      <c r="C167">
        <v>0.33911999999999998</v>
      </c>
      <c r="D167">
        <f t="shared" si="9"/>
        <v>4170</v>
      </c>
      <c r="E167">
        <f t="shared" si="10"/>
        <v>5.8</v>
      </c>
      <c r="F167">
        <f t="shared" si="11"/>
        <v>0.35437999999999997</v>
      </c>
      <c r="H167" t="s">
        <v>346</v>
      </c>
      <c r="I167">
        <v>0.16439999999999999</v>
      </c>
      <c r="K167" t="s">
        <v>323</v>
      </c>
      <c r="L167">
        <v>0.28637000000000001</v>
      </c>
      <c r="N167" t="s">
        <v>318</v>
      </c>
      <c r="O167">
        <v>0.41021000000000002</v>
      </c>
      <c r="Q167" t="s">
        <v>255</v>
      </c>
      <c r="R167">
        <v>0.35437999999999997</v>
      </c>
      <c r="T167" t="s">
        <v>345</v>
      </c>
      <c r="U167" s="5">
        <v>4170</v>
      </c>
      <c r="V167">
        <v>5.8</v>
      </c>
    </row>
    <row r="168" spans="1:22" x14ac:dyDescent="0.2">
      <c r="A168" t="str">
        <f t="shared" si="8"/>
        <v/>
      </c>
      <c r="B168" t="s">
        <v>347</v>
      </c>
      <c r="C168">
        <v>0.32351999999999997</v>
      </c>
      <c r="D168">
        <f t="shared" si="9"/>
        <v>3740</v>
      </c>
      <c r="E168">
        <f t="shared" si="10"/>
        <v>0.1</v>
      </c>
      <c r="F168">
        <f t="shared" si="11"/>
        <v>0.35367999999999999</v>
      </c>
      <c r="H168" t="s">
        <v>273</v>
      </c>
      <c r="I168">
        <v>0.16439999999999999</v>
      </c>
      <c r="K168" t="s">
        <v>167</v>
      </c>
      <c r="L168">
        <v>0.27866999999999997</v>
      </c>
      <c r="N168" t="s">
        <v>348</v>
      </c>
      <c r="O168">
        <v>0.39916000000000001</v>
      </c>
      <c r="Q168" t="s">
        <v>348</v>
      </c>
      <c r="R168">
        <v>0.35367999999999999</v>
      </c>
      <c r="T168" t="s">
        <v>347</v>
      </c>
      <c r="U168" s="5">
        <v>3740</v>
      </c>
      <c r="V168">
        <v>0.1</v>
      </c>
    </row>
    <row r="169" spans="1:22" x14ac:dyDescent="0.2">
      <c r="A169" t="str">
        <f t="shared" si="8"/>
        <v>Madagascar</v>
      </c>
      <c r="B169" t="s">
        <v>349</v>
      </c>
      <c r="C169">
        <v>0.32346000000000003</v>
      </c>
      <c r="D169">
        <f t="shared" si="9"/>
        <v>1600</v>
      </c>
      <c r="E169">
        <f t="shared" si="10"/>
        <v>29.1</v>
      </c>
      <c r="F169">
        <f t="shared" si="11"/>
        <v>0.30473</v>
      </c>
      <c r="H169" t="s">
        <v>320</v>
      </c>
      <c r="I169">
        <v>0.16439999999999999</v>
      </c>
      <c r="K169" t="s">
        <v>335</v>
      </c>
      <c r="L169">
        <v>0.27604000000000001</v>
      </c>
      <c r="N169" t="s">
        <v>324</v>
      </c>
      <c r="O169">
        <v>0.39838000000000001</v>
      </c>
      <c r="Q169" t="s">
        <v>149</v>
      </c>
      <c r="R169">
        <v>0.30473</v>
      </c>
      <c r="T169" t="s">
        <v>349</v>
      </c>
      <c r="U169" s="5">
        <v>1600</v>
      </c>
      <c r="V169">
        <v>29.1</v>
      </c>
    </row>
    <row r="170" spans="1:22" x14ac:dyDescent="0.2">
      <c r="A170" t="str">
        <f t="shared" si="8"/>
        <v>Ethiopia</v>
      </c>
      <c r="B170" t="s">
        <v>350</v>
      </c>
      <c r="C170">
        <v>0.31108999999999998</v>
      </c>
      <c r="D170">
        <f t="shared" si="9"/>
        <v>2370</v>
      </c>
      <c r="E170">
        <f t="shared" si="10"/>
        <v>123.4</v>
      </c>
      <c r="F170">
        <f t="shared" si="11"/>
        <v>0.29044999999999999</v>
      </c>
      <c r="H170" t="s">
        <v>271</v>
      </c>
      <c r="I170">
        <v>0.16439999999999999</v>
      </c>
      <c r="K170" t="s">
        <v>283</v>
      </c>
      <c r="L170">
        <v>0.26738000000000001</v>
      </c>
      <c r="N170" t="s">
        <v>330</v>
      </c>
      <c r="O170">
        <v>0.39655000000000001</v>
      </c>
      <c r="Q170" t="s">
        <v>351</v>
      </c>
      <c r="R170">
        <v>0.29044999999999999</v>
      </c>
      <c r="T170" t="s">
        <v>350</v>
      </c>
      <c r="U170" s="5">
        <v>2370</v>
      </c>
      <c r="V170">
        <v>123.4</v>
      </c>
    </row>
    <row r="171" spans="1:22" x14ac:dyDescent="0.2">
      <c r="A171" t="str">
        <f t="shared" si="8"/>
        <v/>
      </c>
      <c r="B171" t="s">
        <v>352</v>
      </c>
      <c r="C171">
        <v>0.30830999999999997</v>
      </c>
      <c r="D171">
        <f t="shared" si="9"/>
        <v>2370</v>
      </c>
      <c r="E171">
        <f t="shared" si="10"/>
        <v>2.1</v>
      </c>
      <c r="F171">
        <f t="shared" si="11"/>
        <v>0.27757999999999999</v>
      </c>
      <c r="H171" t="s">
        <v>126</v>
      </c>
      <c r="I171">
        <v>0.1507</v>
      </c>
      <c r="K171" t="s">
        <v>346</v>
      </c>
      <c r="L171">
        <v>0.26334999999999997</v>
      </c>
      <c r="N171" t="s">
        <v>304</v>
      </c>
      <c r="O171">
        <v>0.39518999999999999</v>
      </c>
      <c r="Q171" t="s">
        <v>335</v>
      </c>
      <c r="R171">
        <v>0.27757999999999999</v>
      </c>
      <c r="T171" t="s">
        <v>352</v>
      </c>
      <c r="U171" s="5">
        <v>2370</v>
      </c>
      <c r="V171">
        <v>2.1</v>
      </c>
    </row>
    <row r="172" spans="1:22" x14ac:dyDescent="0.2">
      <c r="A172" t="str">
        <f t="shared" si="8"/>
        <v/>
      </c>
      <c r="B172" t="s">
        <v>353</v>
      </c>
      <c r="C172">
        <v>0.30756</v>
      </c>
      <c r="D172">
        <f t="shared" si="9"/>
        <v>4230</v>
      </c>
      <c r="E172">
        <f t="shared" si="10"/>
        <v>10.9</v>
      </c>
      <c r="F172">
        <f t="shared" si="11"/>
        <v>0.26591999999999999</v>
      </c>
      <c r="H172" t="s">
        <v>351</v>
      </c>
      <c r="I172">
        <v>0.1507</v>
      </c>
      <c r="K172" t="s">
        <v>281</v>
      </c>
      <c r="L172">
        <v>0.26211000000000001</v>
      </c>
      <c r="N172" t="s">
        <v>247</v>
      </c>
      <c r="O172">
        <v>0.37146000000000001</v>
      </c>
      <c r="Q172" t="s">
        <v>320</v>
      </c>
      <c r="R172">
        <v>0.26591999999999999</v>
      </c>
      <c r="T172" t="s">
        <v>353</v>
      </c>
      <c r="U172" s="5">
        <v>4230</v>
      </c>
      <c r="V172">
        <v>10.9</v>
      </c>
    </row>
    <row r="173" spans="1:22" x14ac:dyDescent="0.2">
      <c r="A173" t="str">
        <f t="shared" si="8"/>
        <v/>
      </c>
      <c r="B173" t="s">
        <v>354</v>
      </c>
      <c r="C173">
        <v>0.30421999999999999</v>
      </c>
      <c r="D173">
        <f t="shared" si="9"/>
        <v>1660</v>
      </c>
      <c r="E173">
        <f t="shared" si="10"/>
        <v>8.6999999999999993</v>
      </c>
      <c r="F173">
        <f t="shared" si="11"/>
        <v>0.25851000000000002</v>
      </c>
      <c r="H173" t="s">
        <v>281</v>
      </c>
      <c r="I173">
        <v>0.13700000000000001</v>
      </c>
      <c r="K173" t="s">
        <v>236</v>
      </c>
      <c r="L173">
        <v>0.25063999999999997</v>
      </c>
      <c r="N173" t="s">
        <v>346</v>
      </c>
      <c r="O173">
        <v>0.3669</v>
      </c>
      <c r="Q173" t="s">
        <v>275</v>
      </c>
      <c r="R173">
        <v>0.25851000000000002</v>
      </c>
      <c r="T173" t="s">
        <v>354</v>
      </c>
      <c r="U173" s="5">
        <v>1660</v>
      </c>
      <c r="V173">
        <v>8.6999999999999993</v>
      </c>
    </row>
    <row r="174" spans="1:22" x14ac:dyDescent="0.2">
      <c r="A174" t="str">
        <f t="shared" si="8"/>
        <v>Mali</v>
      </c>
      <c r="B174" t="s">
        <v>355</v>
      </c>
      <c r="C174">
        <v>0.30053000000000002</v>
      </c>
      <c r="D174">
        <f t="shared" si="9"/>
        <v>2540</v>
      </c>
      <c r="E174">
        <f t="shared" si="10"/>
        <v>23.3</v>
      </c>
      <c r="F174">
        <f t="shared" si="11"/>
        <v>0.25319999999999998</v>
      </c>
      <c r="H174" t="s">
        <v>266</v>
      </c>
      <c r="I174">
        <v>0.13700000000000001</v>
      </c>
      <c r="K174" t="s">
        <v>286</v>
      </c>
      <c r="L174">
        <v>0.24387</v>
      </c>
      <c r="N174" t="s">
        <v>183</v>
      </c>
      <c r="O174">
        <v>0.34995999999999999</v>
      </c>
      <c r="Q174" t="s">
        <v>318</v>
      </c>
      <c r="R174">
        <v>0.25319999999999998</v>
      </c>
      <c r="T174" t="s">
        <v>355</v>
      </c>
      <c r="U174" s="5">
        <v>2540</v>
      </c>
      <c r="V174">
        <v>23.3</v>
      </c>
    </row>
    <row r="175" spans="1:22" x14ac:dyDescent="0.2">
      <c r="A175" t="str">
        <f t="shared" si="8"/>
        <v/>
      </c>
      <c r="B175" t="s">
        <v>356</v>
      </c>
      <c r="C175">
        <v>0.29104999999999998</v>
      </c>
      <c r="D175">
        <f t="shared" si="9"/>
        <v>4900</v>
      </c>
      <c r="E175">
        <f t="shared" si="10"/>
        <v>1.1000000000000001</v>
      </c>
      <c r="F175">
        <f t="shared" si="11"/>
        <v>0.24736</v>
      </c>
      <c r="H175" t="s">
        <v>292</v>
      </c>
      <c r="I175">
        <v>0.12330000000000001</v>
      </c>
      <c r="K175" t="s">
        <v>207</v>
      </c>
      <c r="L175">
        <v>0.22982</v>
      </c>
      <c r="N175" t="s">
        <v>246</v>
      </c>
      <c r="O175">
        <v>0.33804000000000001</v>
      </c>
      <c r="Q175" t="s">
        <v>231</v>
      </c>
      <c r="R175">
        <v>0.24736</v>
      </c>
      <c r="T175" t="s">
        <v>356</v>
      </c>
      <c r="U175" s="5">
        <v>4900</v>
      </c>
      <c r="V175">
        <v>1.1000000000000001</v>
      </c>
    </row>
    <row r="176" spans="1:22" x14ac:dyDescent="0.2">
      <c r="A176" t="str">
        <f t="shared" si="8"/>
        <v>Burkina Faso</v>
      </c>
      <c r="B176" t="s">
        <v>357</v>
      </c>
      <c r="C176">
        <v>0.28946</v>
      </c>
      <c r="D176">
        <f t="shared" si="9"/>
        <v>2420</v>
      </c>
      <c r="E176">
        <f t="shared" si="10"/>
        <v>23.3</v>
      </c>
      <c r="F176">
        <f t="shared" si="11"/>
        <v>0.22989999999999999</v>
      </c>
      <c r="H176" t="s">
        <v>198</v>
      </c>
      <c r="I176">
        <v>0.12330000000000001</v>
      </c>
      <c r="K176" t="s">
        <v>271</v>
      </c>
      <c r="L176">
        <v>0.21557000000000001</v>
      </c>
      <c r="N176" t="s">
        <v>358</v>
      </c>
      <c r="O176">
        <v>0.33237</v>
      </c>
      <c r="Q176" t="s">
        <v>212</v>
      </c>
      <c r="R176">
        <v>0.22989999999999999</v>
      </c>
      <c r="T176" t="s">
        <v>357</v>
      </c>
      <c r="U176" s="5">
        <v>2420</v>
      </c>
      <c r="V176">
        <v>23.3</v>
      </c>
    </row>
    <row r="177" spans="1:22" x14ac:dyDescent="0.2">
      <c r="A177" t="str">
        <f t="shared" si="8"/>
        <v/>
      </c>
      <c r="B177" t="s">
        <v>359</v>
      </c>
      <c r="C177">
        <v>0.28554000000000002</v>
      </c>
      <c r="D177">
        <f t="shared" si="9"/>
        <v>17330</v>
      </c>
      <c r="E177">
        <f t="shared" si="10"/>
        <v>1.7</v>
      </c>
      <c r="F177">
        <f t="shared" si="11"/>
        <v>0.21672</v>
      </c>
      <c r="H177" t="s">
        <v>99</v>
      </c>
      <c r="I177">
        <v>0.12330000000000001</v>
      </c>
      <c r="K177" t="s">
        <v>337</v>
      </c>
      <c r="L177">
        <v>0.20915</v>
      </c>
      <c r="N177" t="s">
        <v>320</v>
      </c>
      <c r="O177">
        <v>0.32536999999999999</v>
      </c>
      <c r="Q177" t="s">
        <v>360</v>
      </c>
      <c r="R177">
        <v>0.21672</v>
      </c>
      <c r="T177" t="s">
        <v>359</v>
      </c>
      <c r="U177" s="5">
        <v>17330</v>
      </c>
      <c r="V177">
        <v>1.7</v>
      </c>
    </row>
    <row r="178" spans="1:22" x14ac:dyDescent="0.2">
      <c r="A178" t="str">
        <f t="shared" si="8"/>
        <v>Mozambique</v>
      </c>
      <c r="B178" t="s">
        <v>361</v>
      </c>
      <c r="C178">
        <v>0.28476000000000001</v>
      </c>
      <c r="D178">
        <f t="shared" si="9"/>
        <v>1520</v>
      </c>
      <c r="E178">
        <f t="shared" si="10"/>
        <v>33.9</v>
      </c>
      <c r="F178">
        <f t="shared" si="11"/>
        <v>0.20874000000000001</v>
      </c>
      <c r="H178" t="s">
        <v>360</v>
      </c>
      <c r="I178">
        <v>0.1096</v>
      </c>
      <c r="K178" t="s">
        <v>314</v>
      </c>
      <c r="L178">
        <v>0.20671</v>
      </c>
      <c r="N178" t="s">
        <v>310</v>
      </c>
      <c r="O178">
        <v>0.30774000000000001</v>
      </c>
      <c r="Q178" t="s">
        <v>362</v>
      </c>
      <c r="R178">
        <v>0.20874000000000001</v>
      </c>
      <c r="T178" t="s">
        <v>361</v>
      </c>
      <c r="U178" s="5">
        <v>1520</v>
      </c>
      <c r="V178">
        <v>33.9</v>
      </c>
    </row>
    <row r="179" spans="1:22" x14ac:dyDescent="0.2">
      <c r="A179" t="str">
        <f t="shared" si="8"/>
        <v>Sudan</v>
      </c>
      <c r="B179" t="s">
        <v>363</v>
      </c>
      <c r="C179">
        <v>0.27594000000000002</v>
      </c>
      <c r="D179">
        <f t="shared" si="9"/>
        <v>3870</v>
      </c>
      <c r="E179">
        <f t="shared" si="10"/>
        <v>48.1</v>
      </c>
      <c r="F179">
        <f t="shared" si="11"/>
        <v>0.18862000000000001</v>
      </c>
      <c r="H179" t="s">
        <v>364</v>
      </c>
      <c r="I179">
        <v>0.1096</v>
      </c>
      <c r="K179" t="s">
        <v>296</v>
      </c>
      <c r="L179">
        <v>0.19438</v>
      </c>
      <c r="N179" t="s">
        <v>292</v>
      </c>
      <c r="O179">
        <v>0.29615000000000002</v>
      </c>
      <c r="Q179" t="s">
        <v>229</v>
      </c>
      <c r="R179">
        <v>0.18862000000000001</v>
      </c>
      <c r="T179" t="s">
        <v>363</v>
      </c>
      <c r="U179" s="5">
        <v>3870</v>
      </c>
      <c r="V179">
        <v>48.1</v>
      </c>
    </row>
    <row r="180" spans="1:22" x14ac:dyDescent="0.2">
      <c r="A180" t="str">
        <f t="shared" si="8"/>
        <v>Democratic Republic of the Congo</v>
      </c>
      <c r="B180" t="s">
        <v>365</v>
      </c>
      <c r="C180">
        <v>0.27149000000000001</v>
      </c>
      <c r="D180">
        <f t="shared" si="9"/>
        <v>1270</v>
      </c>
      <c r="E180">
        <f t="shared" si="10"/>
        <v>102.3</v>
      </c>
      <c r="F180">
        <f t="shared" si="11"/>
        <v>0.18512999999999999</v>
      </c>
      <c r="H180" t="s">
        <v>262</v>
      </c>
      <c r="I180">
        <v>9.5899999999999999E-2</v>
      </c>
      <c r="K180" t="s">
        <v>318</v>
      </c>
      <c r="L180">
        <v>0.19319</v>
      </c>
      <c r="N180" t="s">
        <v>202</v>
      </c>
      <c r="O180">
        <v>0.28867999999999999</v>
      </c>
      <c r="Q180" t="s">
        <v>353</v>
      </c>
      <c r="R180">
        <v>0.18512999999999999</v>
      </c>
      <c r="T180" t="s">
        <v>365</v>
      </c>
      <c r="U180" s="5">
        <v>1270</v>
      </c>
      <c r="V180">
        <v>102.3</v>
      </c>
    </row>
    <row r="181" spans="1:22" x14ac:dyDescent="0.2">
      <c r="A181" t="str">
        <f t="shared" si="8"/>
        <v/>
      </c>
      <c r="B181" t="s">
        <v>366</v>
      </c>
      <c r="C181">
        <v>0.25862000000000002</v>
      </c>
      <c r="D181">
        <f t="shared" si="9"/>
        <v>3620</v>
      </c>
      <c r="E181">
        <f t="shared" si="10"/>
        <v>0.9</v>
      </c>
      <c r="F181">
        <f t="shared" si="11"/>
        <v>0.18109</v>
      </c>
      <c r="H181" t="s">
        <v>337</v>
      </c>
      <c r="I181">
        <v>9.5899999999999999E-2</v>
      </c>
      <c r="K181" t="s">
        <v>262</v>
      </c>
      <c r="L181">
        <v>0.18754999999999999</v>
      </c>
      <c r="N181" t="s">
        <v>362</v>
      </c>
      <c r="O181">
        <v>0.28833999999999999</v>
      </c>
      <c r="Q181" t="s">
        <v>257</v>
      </c>
      <c r="R181">
        <v>0.18109</v>
      </c>
      <c r="T181" t="s">
        <v>366</v>
      </c>
      <c r="U181" s="5">
        <v>3620</v>
      </c>
      <c r="V181">
        <v>0.9</v>
      </c>
    </row>
    <row r="182" spans="1:22" x14ac:dyDescent="0.2">
      <c r="A182" t="str">
        <f t="shared" si="8"/>
        <v/>
      </c>
      <c r="B182" t="s">
        <v>367</v>
      </c>
      <c r="C182">
        <v>0.25517000000000001</v>
      </c>
      <c r="D182">
        <f t="shared" si="9"/>
        <v>2280</v>
      </c>
      <c r="E182">
        <f t="shared" si="10"/>
        <v>2.8</v>
      </c>
      <c r="F182">
        <f t="shared" si="11"/>
        <v>0.17452000000000001</v>
      </c>
      <c r="H182" t="s">
        <v>362</v>
      </c>
      <c r="I182">
        <v>9.5899999999999999E-2</v>
      </c>
      <c r="K182" t="s">
        <v>292</v>
      </c>
      <c r="L182">
        <v>0.16879</v>
      </c>
      <c r="N182" t="s">
        <v>336</v>
      </c>
      <c r="O182">
        <v>0.28231000000000001</v>
      </c>
      <c r="Q182" t="s">
        <v>368</v>
      </c>
      <c r="R182">
        <v>0.17452000000000001</v>
      </c>
      <c r="T182" t="s">
        <v>367</v>
      </c>
      <c r="U182" s="5">
        <v>2280</v>
      </c>
      <c r="V182">
        <v>2.8</v>
      </c>
    </row>
    <row r="183" spans="1:22" x14ac:dyDescent="0.2">
      <c r="A183" t="str">
        <f t="shared" si="8"/>
        <v/>
      </c>
      <c r="B183" t="s">
        <v>369</v>
      </c>
      <c r="C183">
        <v>0.25133</v>
      </c>
      <c r="D183">
        <f t="shared" si="9"/>
        <v>1620</v>
      </c>
      <c r="E183">
        <f t="shared" si="10"/>
        <v>5.4</v>
      </c>
      <c r="F183">
        <f t="shared" si="11"/>
        <v>0.15906000000000001</v>
      </c>
      <c r="H183" t="s">
        <v>370</v>
      </c>
      <c r="I183">
        <v>8.2199999999999995E-2</v>
      </c>
      <c r="K183" t="s">
        <v>364</v>
      </c>
      <c r="L183">
        <v>0.15040999999999999</v>
      </c>
      <c r="N183" t="s">
        <v>337</v>
      </c>
      <c r="O183">
        <v>0.27995999999999999</v>
      </c>
      <c r="Q183" t="s">
        <v>314</v>
      </c>
      <c r="R183">
        <v>0.15906000000000001</v>
      </c>
      <c r="T183" t="s">
        <v>369</v>
      </c>
      <c r="U183" s="5">
        <v>1620</v>
      </c>
      <c r="V183">
        <v>5.4</v>
      </c>
    </row>
    <row r="184" spans="1:22" x14ac:dyDescent="0.2">
      <c r="A184" t="str">
        <f t="shared" si="8"/>
        <v/>
      </c>
      <c r="B184" t="s">
        <v>371</v>
      </c>
      <c r="C184">
        <v>0.24804999999999999</v>
      </c>
      <c r="D184">
        <f t="shared" si="9"/>
        <v>840</v>
      </c>
      <c r="E184">
        <f t="shared" si="10"/>
        <v>12.9</v>
      </c>
      <c r="F184">
        <f t="shared" si="11"/>
        <v>0.15783</v>
      </c>
      <c r="H184" t="s">
        <v>335</v>
      </c>
      <c r="I184">
        <v>8.2199999999999995E-2</v>
      </c>
      <c r="K184" t="s">
        <v>360</v>
      </c>
      <c r="L184">
        <v>0.14379</v>
      </c>
      <c r="N184" t="s">
        <v>275</v>
      </c>
      <c r="O184">
        <v>0.27184999999999998</v>
      </c>
      <c r="Q184" t="s">
        <v>340</v>
      </c>
      <c r="R184">
        <v>0.15783</v>
      </c>
      <c r="T184" t="s">
        <v>371</v>
      </c>
      <c r="U184" s="5">
        <v>840</v>
      </c>
      <c r="V184">
        <v>12.9</v>
      </c>
    </row>
    <row r="185" spans="1:22" x14ac:dyDescent="0.2">
      <c r="A185" t="str">
        <f t="shared" si="8"/>
        <v>North Korea</v>
      </c>
      <c r="B185" t="s">
        <v>368</v>
      </c>
      <c r="C185">
        <v>0.23200999999999999</v>
      </c>
      <c r="D185">
        <f t="shared" si="9"/>
        <v>840</v>
      </c>
      <c r="E185">
        <f t="shared" si="10"/>
        <v>26.1</v>
      </c>
      <c r="F185">
        <f t="shared" si="11"/>
        <v>0.15178</v>
      </c>
      <c r="H185" t="s">
        <v>331</v>
      </c>
      <c r="I185">
        <v>6.8500000000000005E-2</v>
      </c>
      <c r="K185" t="s">
        <v>362</v>
      </c>
      <c r="L185">
        <v>0.13785</v>
      </c>
      <c r="N185" t="s">
        <v>351</v>
      </c>
      <c r="O185">
        <v>0.26704</v>
      </c>
      <c r="Q185" t="s">
        <v>288</v>
      </c>
      <c r="R185">
        <v>0.15178</v>
      </c>
      <c r="T185" t="s">
        <v>368</v>
      </c>
      <c r="U185" s="5">
        <v>840</v>
      </c>
      <c r="V185">
        <v>26.1</v>
      </c>
    </row>
    <row r="186" spans="1:22" x14ac:dyDescent="0.2">
      <c r="A186" t="str">
        <f t="shared" si="8"/>
        <v>Yemen</v>
      </c>
      <c r="B186" t="s">
        <v>372</v>
      </c>
      <c r="C186">
        <v>0.23175000000000001</v>
      </c>
      <c r="D186">
        <f t="shared" si="9"/>
        <v>1840</v>
      </c>
      <c r="E186">
        <f t="shared" si="10"/>
        <v>34.4</v>
      </c>
      <c r="F186">
        <f t="shared" si="11"/>
        <v>0.14324000000000001</v>
      </c>
      <c r="H186" t="s">
        <v>342</v>
      </c>
      <c r="I186">
        <v>6.8500000000000005E-2</v>
      </c>
      <c r="K186" t="s">
        <v>351</v>
      </c>
      <c r="L186">
        <v>0.13774</v>
      </c>
      <c r="N186" t="s">
        <v>360</v>
      </c>
      <c r="O186">
        <v>0.26429999999999998</v>
      </c>
      <c r="Q186" t="s">
        <v>301</v>
      </c>
      <c r="R186">
        <v>0.14324000000000001</v>
      </c>
      <c r="T186" t="s">
        <v>372</v>
      </c>
      <c r="U186" s="8">
        <v>1840</v>
      </c>
      <c r="V186">
        <v>34.4</v>
      </c>
    </row>
    <row r="187" spans="1:22" x14ac:dyDescent="0.2">
      <c r="A187" t="str">
        <f t="shared" si="8"/>
        <v/>
      </c>
      <c r="B187" t="s">
        <v>373</v>
      </c>
      <c r="C187">
        <v>0.21165</v>
      </c>
      <c r="D187">
        <f t="shared" si="9"/>
        <v>2110</v>
      </c>
      <c r="E187">
        <f t="shared" si="10"/>
        <v>11.7</v>
      </c>
      <c r="F187">
        <f t="shared" si="11"/>
        <v>0.14054</v>
      </c>
      <c r="H187" t="s">
        <v>296</v>
      </c>
      <c r="I187">
        <v>6.8500000000000005E-2</v>
      </c>
      <c r="K187" t="s">
        <v>331</v>
      </c>
      <c r="L187">
        <v>0.1293</v>
      </c>
      <c r="N187" t="s">
        <v>331</v>
      </c>
      <c r="O187">
        <v>0.25931999999999999</v>
      </c>
      <c r="Q187" t="s">
        <v>358</v>
      </c>
      <c r="R187">
        <v>0.14054</v>
      </c>
      <c r="T187" t="s">
        <v>373</v>
      </c>
      <c r="U187" s="5">
        <v>2110</v>
      </c>
      <c r="V187">
        <v>11.7</v>
      </c>
    </row>
    <row r="188" spans="1:22" x14ac:dyDescent="0.2">
      <c r="A188" t="str">
        <f t="shared" si="8"/>
        <v>Niger</v>
      </c>
      <c r="B188" t="s">
        <v>374</v>
      </c>
      <c r="C188">
        <v>0.21157000000000001</v>
      </c>
      <c r="D188">
        <f t="shared" si="9"/>
        <v>1830</v>
      </c>
      <c r="E188">
        <f t="shared" si="10"/>
        <v>27.2</v>
      </c>
      <c r="F188">
        <f t="shared" si="11"/>
        <v>0.13502</v>
      </c>
      <c r="H188" t="s">
        <v>208</v>
      </c>
      <c r="I188">
        <v>5.4800000000000001E-2</v>
      </c>
      <c r="K188" t="s">
        <v>310</v>
      </c>
      <c r="L188">
        <v>0.12703</v>
      </c>
      <c r="N188" t="s">
        <v>370</v>
      </c>
      <c r="O188">
        <v>0.17130000000000001</v>
      </c>
      <c r="Q188" t="s">
        <v>347</v>
      </c>
      <c r="R188">
        <v>0.13502</v>
      </c>
      <c r="T188" t="s">
        <v>374</v>
      </c>
      <c r="U188" s="5">
        <v>1830</v>
      </c>
      <c r="V188">
        <v>27.2</v>
      </c>
    </row>
    <row r="189" spans="1:22" x14ac:dyDescent="0.2">
      <c r="A189" t="str">
        <f t="shared" si="8"/>
        <v>Afghanistan</v>
      </c>
      <c r="B189" t="s">
        <v>360</v>
      </c>
      <c r="C189">
        <v>0.20827000000000001</v>
      </c>
      <c r="D189">
        <f t="shared" si="9"/>
        <v>1500</v>
      </c>
      <c r="E189">
        <f t="shared" si="10"/>
        <v>41.1</v>
      </c>
      <c r="F189">
        <f t="shared" si="11"/>
        <v>0.12379</v>
      </c>
      <c r="H189" t="s">
        <v>207</v>
      </c>
      <c r="I189">
        <v>5.4800000000000001E-2</v>
      </c>
      <c r="K189" t="s">
        <v>370</v>
      </c>
      <c r="L189">
        <v>0.1128</v>
      </c>
      <c r="N189" t="s">
        <v>340</v>
      </c>
      <c r="O189">
        <v>0.16850999999999999</v>
      </c>
      <c r="Q189" t="s">
        <v>346</v>
      </c>
      <c r="R189">
        <v>0.12379</v>
      </c>
      <c r="T189" t="s">
        <v>360</v>
      </c>
      <c r="U189" s="8">
        <v>1500</v>
      </c>
      <c r="V189">
        <v>41.1</v>
      </c>
    </row>
    <row r="190" spans="1:22" x14ac:dyDescent="0.2">
      <c r="A190" t="str">
        <f t="shared" si="8"/>
        <v>Chad</v>
      </c>
      <c r="B190" t="s">
        <v>375</v>
      </c>
      <c r="C190">
        <v>0.17852999999999999</v>
      </c>
      <c r="D190">
        <f t="shared" si="9"/>
        <v>920</v>
      </c>
      <c r="E190">
        <f t="shared" si="10"/>
        <v>17.8</v>
      </c>
      <c r="F190">
        <f t="shared" si="11"/>
        <v>0.11945</v>
      </c>
      <c r="H190" t="s">
        <v>236</v>
      </c>
      <c r="I190">
        <v>4.1099999999999998E-2</v>
      </c>
      <c r="K190" t="s">
        <v>336</v>
      </c>
      <c r="L190">
        <v>9.5509999999999998E-2</v>
      </c>
      <c r="N190" t="s">
        <v>326</v>
      </c>
      <c r="O190">
        <v>0.16677</v>
      </c>
      <c r="Q190" t="s">
        <v>283</v>
      </c>
      <c r="R190">
        <v>0.11945</v>
      </c>
      <c r="T190" t="s">
        <v>375</v>
      </c>
      <c r="U190" s="5">
        <v>920</v>
      </c>
      <c r="V190">
        <v>17.8</v>
      </c>
    </row>
    <row r="191" spans="1:22" x14ac:dyDescent="0.2">
      <c r="A191" t="str">
        <f t="shared" si="8"/>
        <v/>
      </c>
      <c r="B191" t="s">
        <v>376</v>
      </c>
      <c r="C191">
        <v>0.15762000000000001</v>
      </c>
      <c r="D191">
        <f t="shared" si="9"/>
        <v>980</v>
      </c>
      <c r="E191">
        <f t="shared" si="10"/>
        <v>3.7</v>
      </c>
      <c r="F191">
        <f t="shared" si="11"/>
        <v>6.3210000000000002E-2</v>
      </c>
      <c r="H191" t="s">
        <v>80</v>
      </c>
      <c r="I191">
        <v>1.37E-2</v>
      </c>
      <c r="K191" t="s">
        <v>80</v>
      </c>
      <c r="L191">
        <v>8.0759999999999998E-2</v>
      </c>
      <c r="N191" t="s">
        <v>364</v>
      </c>
      <c r="O191">
        <v>0.15212000000000001</v>
      </c>
      <c r="Q191" t="s">
        <v>304</v>
      </c>
      <c r="R191">
        <v>6.3210000000000002E-2</v>
      </c>
      <c r="T191" t="s">
        <v>376</v>
      </c>
      <c r="U191" s="5">
        <v>980</v>
      </c>
      <c r="V191">
        <v>3.7</v>
      </c>
    </row>
    <row r="192" spans="1:22" x14ac:dyDescent="0.2">
      <c r="A192" t="str">
        <f t="shared" si="8"/>
        <v>Somalia</v>
      </c>
      <c r="B192" t="s">
        <v>377</v>
      </c>
      <c r="C192">
        <v>0.14677000000000001</v>
      </c>
      <c r="E192">
        <f t="shared" si="10"/>
        <v>17.600000000000001</v>
      </c>
      <c r="F192">
        <f t="shared" si="11"/>
        <v>5.4730000000000001E-2</v>
      </c>
      <c r="H192" t="s">
        <v>358</v>
      </c>
      <c r="I192">
        <v>1.37E-2</v>
      </c>
      <c r="K192" t="s">
        <v>322</v>
      </c>
      <c r="L192">
        <v>2.9080000000000002E-2</v>
      </c>
      <c r="N192" t="s">
        <v>283</v>
      </c>
      <c r="O192">
        <v>0.14879000000000001</v>
      </c>
      <c r="Q192" t="s">
        <v>364</v>
      </c>
      <c r="R192">
        <v>5.4730000000000001E-2</v>
      </c>
      <c r="T192" t="s">
        <v>377</v>
      </c>
      <c r="V192">
        <v>17.600000000000001</v>
      </c>
    </row>
    <row r="193" spans="1:22" x14ac:dyDescent="0.2">
      <c r="A193" t="str">
        <f t="shared" si="8"/>
        <v/>
      </c>
      <c r="B193" t="s">
        <v>364</v>
      </c>
      <c r="C193">
        <v>0.11907</v>
      </c>
      <c r="D193">
        <f t="shared" si="9"/>
        <v>1200</v>
      </c>
      <c r="E193">
        <f t="shared" si="10"/>
        <v>10.9</v>
      </c>
      <c r="F193">
        <f t="shared" si="11"/>
        <v>3.3050000000000003E-2</v>
      </c>
      <c r="H193" t="s">
        <v>348</v>
      </c>
      <c r="I193">
        <v>0</v>
      </c>
      <c r="K193" t="s">
        <v>348</v>
      </c>
      <c r="L193">
        <v>2.299E-2</v>
      </c>
      <c r="N193" t="s">
        <v>307</v>
      </c>
      <c r="O193">
        <v>0.12497999999999999</v>
      </c>
      <c r="Q193" t="s">
        <v>330</v>
      </c>
      <c r="R193">
        <v>3.3050000000000003E-2</v>
      </c>
      <c r="T193" t="s">
        <v>364</v>
      </c>
      <c r="U193" s="8">
        <v>1200</v>
      </c>
      <c r="V193">
        <v>10.9</v>
      </c>
    </row>
    <row r="194" spans="1:22" x14ac:dyDescent="0.2">
      <c r="A194" t="str">
        <f t="shared" si="8"/>
        <v/>
      </c>
      <c r="B194" t="s">
        <v>378</v>
      </c>
      <c r="C194">
        <v>9.4700000000000006E-2</v>
      </c>
      <c r="D194">
        <f t="shared" si="9"/>
        <v>980</v>
      </c>
      <c r="E194">
        <f t="shared" si="10"/>
        <v>5.5</v>
      </c>
      <c r="F194">
        <f t="shared" si="11"/>
        <v>0</v>
      </c>
      <c r="H194" t="s">
        <v>322</v>
      </c>
      <c r="I194">
        <v>0</v>
      </c>
      <c r="K194" t="s">
        <v>358</v>
      </c>
      <c r="L194">
        <v>0</v>
      </c>
      <c r="N194" t="s">
        <v>301</v>
      </c>
      <c r="O194">
        <v>0</v>
      </c>
      <c r="Q194" t="s">
        <v>378</v>
      </c>
      <c r="R194">
        <v>0</v>
      </c>
      <c r="T194" t="s">
        <v>378</v>
      </c>
      <c r="U194" s="8">
        <v>980</v>
      </c>
      <c r="V194">
        <v>5.5</v>
      </c>
    </row>
  </sheetData>
  <conditionalFormatting sqref="D1: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PPP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Kelly</dc:creator>
  <cp:lastModifiedBy>Gerard Kelly</cp:lastModifiedBy>
  <dcterms:created xsi:type="dcterms:W3CDTF">2025-04-09T22:53:46Z</dcterms:created>
  <dcterms:modified xsi:type="dcterms:W3CDTF">2025-05-20T09:42:49Z</dcterms:modified>
</cp:coreProperties>
</file>