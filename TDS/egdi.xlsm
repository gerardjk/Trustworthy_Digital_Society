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c/Library/Mobile Documents/com~apple~CloudDocs/TDS/"/>
    </mc:Choice>
  </mc:AlternateContent>
  <xr:revisionPtr revIDLastSave="0" documentId="13_ncr:1_{1BF7F7D4-2F6A-454B-9C10-D9B20DC3751A}" xr6:coauthVersionLast="47" xr6:coauthVersionMax="47" xr10:uidLastSave="{00000000-0000-0000-0000-000000000000}"/>
  <bookViews>
    <workbookView xWindow="44820" yWindow="720" windowWidth="30460" windowHeight="19880" activeTab="5" xr2:uid="{B26157B4-6C9A-C246-8CCB-5EDB40355A65}"/>
  </bookViews>
  <sheets>
    <sheet name="VH" sheetId="2" r:id="rId1"/>
    <sheet name="PPP" sheetId="1" r:id="rId2"/>
    <sheet name="OSI" sheetId="3" r:id="rId3"/>
    <sheet name="OSI_VH" sheetId="4" r:id="rId4"/>
    <sheet name="TII" sheetId="5" r:id="rId5"/>
    <sheet name="TII_VH" sheetId="6" r:id="rId6"/>
  </sheets>
  <functionGroups builtInGroupCount="19"/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" i="6" l="1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2" i="6"/>
  <c r="C41" i="4"/>
  <c r="D41" i="4" s="1"/>
  <c r="C42" i="4"/>
  <c r="D42" i="4"/>
  <c r="C43" i="4"/>
  <c r="D43" i="4" s="1"/>
  <c r="C44" i="4"/>
  <c r="D44" i="4" s="1"/>
  <c r="C45" i="4"/>
  <c r="D45" i="4" s="1"/>
  <c r="C46" i="4"/>
  <c r="D46" i="4"/>
  <c r="C47" i="4"/>
  <c r="D47" i="4"/>
  <c r="C48" i="4"/>
  <c r="D48" i="4"/>
  <c r="C49" i="4"/>
  <c r="D49" i="4" s="1"/>
  <c r="C50" i="4"/>
  <c r="D50" i="4"/>
  <c r="C51" i="4"/>
  <c r="D51" i="4" s="1"/>
  <c r="C52" i="4"/>
  <c r="D52" i="4" s="1"/>
  <c r="C53" i="4"/>
  <c r="D53" i="4" s="1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 s="1"/>
  <c r="C62" i="4"/>
  <c r="D62" i="4" s="1"/>
  <c r="C63" i="4"/>
  <c r="D63" i="4" s="1"/>
  <c r="C64" i="4"/>
  <c r="D64" i="4" s="1"/>
  <c r="C65" i="4"/>
  <c r="D65" i="4" s="1"/>
  <c r="C66" i="4"/>
  <c r="D66" i="4" s="1"/>
  <c r="C67" i="4"/>
  <c r="D67" i="4" s="1"/>
  <c r="C68" i="4"/>
  <c r="D68" i="4"/>
  <c r="C69" i="4"/>
  <c r="D69" i="4" s="1"/>
  <c r="C70" i="4"/>
  <c r="D70" i="4" s="1"/>
  <c r="C71" i="4"/>
  <c r="D71" i="4"/>
  <c r="C72" i="4"/>
  <c r="D72" i="4" s="1"/>
  <c r="C73" i="4"/>
  <c r="D73" i="4"/>
  <c r="C74" i="4"/>
  <c r="D74" i="4" s="1"/>
  <c r="C75" i="4"/>
  <c r="D75" i="4" s="1"/>
  <c r="C76" i="4"/>
  <c r="D76" i="4"/>
  <c r="C77" i="4"/>
  <c r="D77" i="4"/>
  <c r="C78" i="4"/>
  <c r="D78" i="4" s="1"/>
  <c r="C79" i="4"/>
  <c r="D79" i="4" s="1"/>
  <c r="C80" i="4"/>
  <c r="D80" i="4"/>
  <c r="C81" i="4"/>
  <c r="D81" i="4" s="1"/>
  <c r="C82" i="4"/>
  <c r="D82" i="4" s="1"/>
  <c r="C83" i="4"/>
  <c r="D83" i="4"/>
  <c r="C84" i="4"/>
  <c r="D84" i="4" s="1"/>
  <c r="C85" i="4"/>
  <c r="D85" i="4"/>
  <c r="C86" i="4"/>
  <c r="D86" i="4" s="1"/>
  <c r="C87" i="4"/>
  <c r="D87" i="4" s="1"/>
  <c r="A71" i="4"/>
  <c r="A76" i="4"/>
  <c r="A77" i="4"/>
  <c r="A82" i="4"/>
  <c r="A83" i="4"/>
  <c r="A86" i="4"/>
  <c r="A87" i="4"/>
  <c r="A44" i="4"/>
  <c r="A45" i="4"/>
  <c r="A46" i="4"/>
  <c r="A50" i="4"/>
  <c r="A51" i="4"/>
  <c r="A52" i="4"/>
  <c r="A58" i="4"/>
  <c r="A63" i="4"/>
  <c r="A64" i="4"/>
  <c r="E43" i="6"/>
  <c r="F43" i="6"/>
  <c r="E44" i="6"/>
  <c r="F44" i="6"/>
  <c r="E45" i="6"/>
  <c r="F45" i="6"/>
  <c r="E46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E56" i="6"/>
  <c r="F56" i="6"/>
  <c r="E57" i="6"/>
  <c r="F57" i="6"/>
  <c r="E58" i="6"/>
  <c r="F58" i="6"/>
  <c r="E59" i="6"/>
  <c r="F59" i="6"/>
  <c r="E60" i="6"/>
  <c r="F60" i="6"/>
  <c r="E61" i="6"/>
  <c r="F61" i="6"/>
  <c r="E62" i="6"/>
  <c r="F62" i="6"/>
  <c r="E63" i="6"/>
  <c r="F63" i="6"/>
  <c r="E64" i="6"/>
  <c r="F64" i="6"/>
  <c r="E65" i="6"/>
  <c r="F65" i="6"/>
  <c r="E66" i="6"/>
  <c r="F66" i="6"/>
  <c r="E67" i="6"/>
  <c r="F67" i="6"/>
  <c r="E68" i="6"/>
  <c r="F68" i="6"/>
  <c r="E69" i="6"/>
  <c r="F69" i="6"/>
  <c r="E70" i="6"/>
  <c r="F70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C184" i="6"/>
  <c r="C185" i="6"/>
  <c r="C186" i="6"/>
  <c r="C187" i="6"/>
  <c r="C188" i="6"/>
  <c r="C189" i="6"/>
  <c r="C190" i="6"/>
  <c r="C191" i="6"/>
  <c r="C192" i="6"/>
  <c r="C193" i="6"/>
  <c r="C19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2" i="6"/>
  <c r="E42" i="6"/>
  <c r="D40" i="6"/>
  <c r="D41" i="6"/>
  <c r="D42" i="6"/>
  <c r="E41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2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2" i="6"/>
  <c r="A194" i="6"/>
  <c r="D193" i="6"/>
  <c r="A193" i="6"/>
  <c r="D192" i="6"/>
  <c r="A192" i="6"/>
  <c r="D191" i="6"/>
  <c r="A191" i="6"/>
  <c r="D190" i="6"/>
  <c r="A190" i="6"/>
  <c r="D189" i="6"/>
  <c r="A189" i="6"/>
  <c r="D188" i="6"/>
  <c r="A188" i="6"/>
  <c r="D187" i="6"/>
  <c r="A187" i="6"/>
  <c r="D186" i="6"/>
  <c r="A186" i="6"/>
  <c r="D185" i="6"/>
  <c r="A185" i="6"/>
  <c r="D184" i="6"/>
  <c r="A184" i="6"/>
  <c r="D183" i="6"/>
  <c r="A183" i="6"/>
  <c r="D182" i="6"/>
  <c r="A182" i="6"/>
  <c r="D181" i="6"/>
  <c r="A181" i="6"/>
  <c r="D180" i="6"/>
  <c r="A180" i="6"/>
  <c r="D179" i="6"/>
  <c r="A179" i="6"/>
  <c r="D178" i="6"/>
  <c r="A178" i="6"/>
  <c r="D177" i="6"/>
  <c r="A177" i="6"/>
  <c r="D176" i="6"/>
  <c r="A176" i="6"/>
  <c r="D175" i="6"/>
  <c r="A175" i="6"/>
  <c r="D174" i="6"/>
  <c r="A174" i="6"/>
  <c r="D173" i="6"/>
  <c r="A173" i="6"/>
  <c r="D172" i="6"/>
  <c r="A172" i="6"/>
  <c r="D171" i="6"/>
  <c r="A171" i="6"/>
  <c r="D170" i="6"/>
  <c r="A170" i="6"/>
  <c r="D169" i="6"/>
  <c r="A169" i="6"/>
  <c r="D168" i="6"/>
  <c r="A168" i="6"/>
  <c r="D167" i="6"/>
  <c r="A167" i="6"/>
  <c r="D166" i="6"/>
  <c r="A166" i="6"/>
  <c r="D165" i="6"/>
  <c r="A165" i="6"/>
  <c r="D164" i="6"/>
  <c r="A164" i="6"/>
  <c r="D163" i="6"/>
  <c r="A163" i="6"/>
  <c r="D162" i="6"/>
  <c r="A162" i="6"/>
  <c r="D161" i="6"/>
  <c r="A161" i="6"/>
  <c r="D160" i="6"/>
  <c r="A160" i="6"/>
  <c r="D159" i="6"/>
  <c r="A159" i="6"/>
  <c r="D158" i="6"/>
  <c r="A158" i="6"/>
  <c r="D157" i="6"/>
  <c r="A157" i="6"/>
  <c r="D156" i="6"/>
  <c r="A156" i="6"/>
  <c r="D155" i="6"/>
  <c r="A155" i="6"/>
  <c r="D154" i="6"/>
  <c r="A154" i="6"/>
  <c r="D153" i="6"/>
  <c r="A153" i="6"/>
  <c r="D152" i="6"/>
  <c r="A152" i="6"/>
  <c r="D151" i="6"/>
  <c r="A151" i="6"/>
  <c r="D150" i="6"/>
  <c r="A150" i="6"/>
  <c r="D149" i="6"/>
  <c r="A149" i="6"/>
  <c r="D148" i="6"/>
  <c r="A148" i="6"/>
  <c r="D147" i="6"/>
  <c r="A147" i="6"/>
  <c r="D146" i="6"/>
  <c r="A146" i="6"/>
  <c r="D145" i="6"/>
  <c r="A145" i="6"/>
  <c r="D144" i="6"/>
  <c r="A144" i="6"/>
  <c r="D143" i="6"/>
  <c r="A143" i="6"/>
  <c r="D142" i="6"/>
  <c r="A142" i="6"/>
  <c r="D141" i="6"/>
  <c r="A141" i="6"/>
  <c r="D140" i="6"/>
  <c r="A140" i="6"/>
  <c r="D139" i="6"/>
  <c r="A139" i="6"/>
  <c r="D138" i="6"/>
  <c r="A138" i="6"/>
  <c r="D137" i="6"/>
  <c r="A137" i="6"/>
  <c r="D136" i="6"/>
  <c r="A136" i="6"/>
  <c r="D135" i="6"/>
  <c r="A135" i="6"/>
  <c r="D134" i="6"/>
  <c r="A134" i="6"/>
  <c r="D133" i="6"/>
  <c r="A133" i="6"/>
  <c r="D132" i="6"/>
  <c r="A132" i="6"/>
  <c r="D131" i="6"/>
  <c r="A131" i="6"/>
  <c r="D130" i="6"/>
  <c r="A130" i="6"/>
  <c r="D129" i="6"/>
  <c r="A129" i="6"/>
  <c r="D128" i="6"/>
  <c r="A128" i="6"/>
  <c r="D127" i="6"/>
  <c r="A127" i="6"/>
  <c r="D126" i="6"/>
  <c r="A126" i="6"/>
  <c r="D125" i="6"/>
  <c r="A125" i="6"/>
  <c r="D124" i="6"/>
  <c r="A124" i="6"/>
  <c r="D123" i="6"/>
  <c r="A123" i="6"/>
  <c r="D122" i="6"/>
  <c r="A122" i="6"/>
  <c r="D121" i="6"/>
  <c r="A121" i="6"/>
  <c r="D120" i="6"/>
  <c r="A120" i="6"/>
  <c r="D119" i="6"/>
  <c r="A119" i="6"/>
  <c r="D118" i="6"/>
  <c r="A118" i="6"/>
  <c r="D117" i="6"/>
  <c r="A117" i="6"/>
  <c r="D116" i="6"/>
  <c r="A116" i="6"/>
  <c r="D115" i="6"/>
  <c r="A115" i="6"/>
  <c r="D114" i="6"/>
  <c r="A114" i="6"/>
  <c r="D113" i="6"/>
  <c r="A113" i="6"/>
  <c r="D112" i="6"/>
  <c r="A112" i="6"/>
  <c r="D111" i="6"/>
  <c r="A111" i="6"/>
  <c r="D110" i="6"/>
  <c r="A110" i="6"/>
  <c r="D109" i="6"/>
  <c r="A109" i="6"/>
  <c r="D108" i="6"/>
  <c r="A108" i="6"/>
  <c r="D107" i="6"/>
  <c r="A107" i="6"/>
  <c r="D106" i="6"/>
  <c r="A106" i="6"/>
  <c r="D105" i="6"/>
  <c r="A105" i="6"/>
  <c r="D104" i="6"/>
  <c r="A104" i="6"/>
  <c r="D103" i="6"/>
  <c r="A103" i="6"/>
  <c r="D102" i="6"/>
  <c r="A102" i="6"/>
  <c r="D101" i="6"/>
  <c r="A101" i="6"/>
  <c r="D100" i="6"/>
  <c r="A100" i="6"/>
  <c r="D99" i="6"/>
  <c r="A99" i="6"/>
  <c r="D98" i="6"/>
  <c r="A98" i="6"/>
  <c r="D97" i="6"/>
  <c r="A97" i="6"/>
  <c r="D96" i="6"/>
  <c r="A96" i="6"/>
  <c r="D95" i="6"/>
  <c r="A95" i="6"/>
  <c r="D94" i="6"/>
  <c r="A94" i="6"/>
  <c r="D93" i="6"/>
  <c r="A93" i="6"/>
  <c r="D92" i="6"/>
  <c r="A92" i="6"/>
  <c r="D91" i="6"/>
  <c r="A91" i="6"/>
  <c r="D90" i="6"/>
  <c r="A90" i="6"/>
  <c r="D89" i="6"/>
  <c r="A89" i="6"/>
  <c r="D88" i="6"/>
  <c r="A88" i="6"/>
  <c r="D87" i="6"/>
  <c r="A87" i="6"/>
  <c r="D86" i="6"/>
  <c r="A86" i="6"/>
  <c r="D85" i="6"/>
  <c r="A85" i="6"/>
  <c r="D84" i="6"/>
  <c r="A84" i="6"/>
  <c r="D83" i="6"/>
  <c r="A83" i="6"/>
  <c r="D82" i="6"/>
  <c r="A82" i="6"/>
  <c r="D81" i="6"/>
  <c r="A81" i="6"/>
  <c r="D80" i="6"/>
  <c r="A80" i="6"/>
  <c r="D79" i="6"/>
  <c r="A79" i="6"/>
  <c r="D78" i="6"/>
  <c r="A78" i="6"/>
  <c r="D77" i="6"/>
  <c r="A77" i="6"/>
  <c r="D76" i="6"/>
  <c r="A76" i="6"/>
  <c r="D75" i="6"/>
  <c r="A75" i="6"/>
  <c r="D74" i="6"/>
  <c r="A74" i="6"/>
  <c r="D73" i="6"/>
  <c r="A73" i="6"/>
  <c r="D72" i="6"/>
  <c r="D71" i="6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2" i="5"/>
  <c r="E194" i="5"/>
  <c r="A194" i="5" s="1"/>
  <c r="E193" i="5"/>
  <c r="A193" i="5" s="1"/>
  <c r="D193" i="5"/>
  <c r="E192" i="5"/>
  <c r="A192" i="5" s="1"/>
  <c r="D192" i="5"/>
  <c r="E191" i="5"/>
  <c r="A191" i="5" s="1"/>
  <c r="D191" i="5"/>
  <c r="E190" i="5"/>
  <c r="A190" i="5" s="1"/>
  <c r="D190" i="5"/>
  <c r="E189" i="5"/>
  <c r="A189" i="5" s="1"/>
  <c r="D189" i="5"/>
  <c r="E188" i="5"/>
  <c r="A188" i="5" s="1"/>
  <c r="D188" i="5"/>
  <c r="E187" i="5"/>
  <c r="A187" i="5" s="1"/>
  <c r="D187" i="5"/>
  <c r="E186" i="5"/>
  <c r="A186" i="5" s="1"/>
  <c r="D186" i="5"/>
  <c r="E185" i="5"/>
  <c r="A185" i="5" s="1"/>
  <c r="D185" i="5"/>
  <c r="E184" i="5"/>
  <c r="A184" i="5" s="1"/>
  <c r="D184" i="5"/>
  <c r="E183" i="5"/>
  <c r="A183" i="5" s="1"/>
  <c r="D183" i="5"/>
  <c r="E182" i="5"/>
  <c r="A182" i="5" s="1"/>
  <c r="D182" i="5"/>
  <c r="E181" i="5"/>
  <c r="A181" i="5" s="1"/>
  <c r="D181" i="5"/>
  <c r="E180" i="5"/>
  <c r="A180" i="5" s="1"/>
  <c r="D180" i="5"/>
  <c r="E179" i="5"/>
  <c r="A179" i="5" s="1"/>
  <c r="D179" i="5"/>
  <c r="E178" i="5"/>
  <c r="A178" i="5" s="1"/>
  <c r="D178" i="5"/>
  <c r="E177" i="5"/>
  <c r="A177" i="5" s="1"/>
  <c r="D177" i="5"/>
  <c r="E176" i="5"/>
  <c r="A176" i="5" s="1"/>
  <c r="D176" i="5"/>
  <c r="E175" i="5"/>
  <c r="A175" i="5" s="1"/>
  <c r="D175" i="5"/>
  <c r="E174" i="5"/>
  <c r="A174" i="5" s="1"/>
  <c r="E173" i="5"/>
  <c r="A173" i="5" s="1"/>
  <c r="D173" i="5"/>
  <c r="E172" i="5"/>
  <c r="A172" i="5" s="1"/>
  <c r="D172" i="5"/>
  <c r="E171" i="5"/>
  <c r="A171" i="5" s="1"/>
  <c r="D171" i="5"/>
  <c r="E170" i="5"/>
  <c r="A170" i="5" s="1"/>
  <c r="D170" i="5"/>
  <c r="E169" i="5"/>
  <c r="A169" i="5" s="1"/>
  <c r="D169" i="5"/>
  <c r="E168" i="5"/>
  <c r="A168" i="5" s="1"/>
  <c r="D168" i="5"/>
  <c r="E167" i="5"/>
  <c r="D167" i="5"/>
  <c r="A167" i="5"/>
  <c r="E166" i="5"/>
  <c r="A166" i="5" s="1"/>
  <c r="D166" i="5"/>
  <c r="E165" i="5"/>
  <c r="A165" i="5" s="1"/>
  <c r="D165" i="5"/>
  <c r="E164" i="5"/>
  <c r="A164" i="5" s="1"/>
  <c r="D164" i="5"/>
  <c r="E163" i="5"/>
  <c r="A163" i="5" s="1"/>
  <c r="D163" i="5"/>
  <c r="E162" i="5"/>
  <c r="A162" i="5" s="1"/>
  <c r="D162" i="5"/>
  <c r="E161" i="5"/>
  <c r="A161" i="5" s="1"/>
  <c r="D161" i="5"/>
  <c r="E160" i="5"/>
  <c r="A160" i="5" s="1"/>
  <c r="D160" i="5"/>
  <c r="E159" i="5"/>
  <c r="D159" i="5"/>
  <c r="A159" i="5"/>
  <c r="E158" i="5"/>
  <c r="A158" i="5" s="1"/>
  <c r="D158" i="5"/>
  <c r="E157" i="5"/>
  <c r="A157" i="5" s="1"/>
  <c r="D157" i="5"/>
  <c r="E156" i="5"/>
  <c r="A156" i="5" s="1"/>
  <c r="D156" i="5"/>
  <c r="E155" i="5"/>
  <c r="A155" i="5" s="1"/>
  <c r="D155" i="5"/>
  <c r="E154" i="5"/>
  <c r="A154" i="5" s="1"/>
  <c r="D154" i="5"/>
  <c r="E153" i="5"/>
  <c r="A153" i="5" s="1"/>
  <c r="D153" i="5"/>
  <c r="E152" i="5"/>
  <c r="A152" i="5" s="1"/>
  <c r="D152" i="5"/>
  <c r="E151" i="5"/>
  <c r="A151" i="5" s="1"/>
  <c r="D151" i="5"/>
  <c r="E150" i="5"/>
  <c r="A150" i="5" s="1"/>
  <c r="D150" i="5"/>
  <c r="E149" i="5"/>
  <c r="A149" i="5" s="1"/>
  <c r="E148" i="5"/>
  <c r="A148" i="5" s="1"/>
  <c r="D148" i="5"/>
  <c r="E147" i="5"/>
  <c r="A147" i="5" s="1"/>
  <c r="D147" i="5"/>
  <c r="E146" i="5"/>
  <c r="A146" i="5" s="1"/>
  <c r="D146" i="5"/>
  <c r="E145" i="5"/>
  <c r="D145" i="5"/>
  <c r="A145" i="5"/>
  <c r="E144" i="5"/>
  <c r="A144" i="5" s="1"/>
  <c r="D144" i="5"/>
  <c r="E143" i="5"/>
  <c r="A143" i="5" s="1"/>
  <c r="D143" i="5"/>
  <c r="E142" i="5"/>
  <c r="A142" i="5" s="1"/>
  <c r="D142" i="5"/>
  <c r="E141" i="5"/>
  <c r="D141" i="5"/>
  <c r="A141" i="5"/>
  <c r="E140" i="5"/>
  <c r="A140" i="5" s="1"/>
  <c r="D140" i="5"/>
  <c r="E139" i="5"/>
  <c r="D139" i="5"/>
  <c r="A139" i="5"/>
  <c r="E138" i="5"/>
  <c r="A138" i="5" s="1"/>
  <c r="D138" i="5"/>
  <c r="E137" i="5"/>
  <c r="A137" i="5" s="1"/>
  <c r="D137" i="5"/>
  <c r="E136" i="5"/>
  <c r="A136" i="5" s="1"/>
  <c r="D136" i="5"/>
  <c r="E135" i="5"/>
  <c r="D135" i="5"/>
  <c r="A135" i="5"/>
  <c r="E134" i="5"/>
  <c r="A134" i="5" s="1"/>
  <c r="D134" i="5"/>
  <c r="E133" i="5"/>
  <c r="A133" i="5" s="1"/>
  <c r="D133" i="5"/>
  <c r="E132" i="5"/>
  <c r="D132" i="5"/>
  <c r="A132" i="5"/>
  <c r="E131" i="5"/>
  <c r="A131" i="5" s="1"/>
  <c r="E130" i="5"/>
  <c r="A130" i="5" s="1"/>
  <c r="D130" i="5"/>
  <c r="E129" i="5"/>
  <c r="A129" i="5" s="1"/>
  <c r="D129" i="5"/>
  <c r="E128" i="5"/>
  <c r="A128" i="5" s="1"/>
  <c r="D128" i="5"/>
  <c r="E127" i="5"/>
  <c r="A127" i="5" s="1"/>
  <c r="D127" i="5"/>
  <c r="E126" i="5"/>
  <c r="D126" i="5"/>
  <c r="A126" i="5"/>
  <c r="E125" i="5"/>
  <c r="A125" i="5" s="1"/>
  <c r="D125" i="5"/>
  <c r="E124" i="5"/>
  <c r="D124" i="5"/>
  <c r="A124" i="5"/>
  <c r="E123" i="5"/>
  <c r="A123" i="5" s="1"/>
  <c r="D123" i="5"/>
  <c r="E122" i="5"/>
  <c r="A122" i="5" s="1"/>
  <c r="D122" i="5"/>
  <c r="E121" i="5"/>
  <c r="A121" i="5" s="1"/>
  <c r="D121" i="5"/>
  <c r="E120" i="5"/>
  <c r="A120" i="5" s="1"/>
  <c r="E119" i="5"/>
  <c r="A119" i="5" s="1"/>
  <c r="D119" i="5"/>
  <c r="E118" i="5"/>
  <c r="A118" i="5" s="1"/>
  <c r="D118" i="5"/>
  <c r="E117" i="5"/>
  <c r="A117" i="5" s="1"/>
  <c r="D117" i="5"/>
  <c r="E116" i="5"/>
  <c r="A116" i="5" s="1"/>
  <c r="E115" i="5"/>
  <c r="A115" i="5" s="1"/>
  <c r="D115" i="5"/>
  <c r="E114" i="5"/>
  <c r="A114" i="5" s="1"/>
  <c r="D114" i="5"/>
  <c r="E113" i="5"/>
  <c r="A113" i="5" s="1"/>
  <c r="D113" i="5"/>
  <c r="E112" i="5"/>
  <c r="D112" i="5"/>
  <c r="A112" i="5"/>
  <c r="E111" i="5"/>
  <c r="A111" i="5" s="1"/>
  <c r="D111" i="5"/>
  <c r="E110" i="5"/>
  <c r="D110" i="5"/>
  <c r="A110" i="5"/>
  <c r="E109" i="5"/>
  <c r="A109" i="5" s="1"/>
  <c r="D109" i="5"/>
  <c r="E108" i="5"/>
  <c r="A108" i="5" s="1"/>
  <c r="D108" i="5"/>
  <c r="E107" i="5"/>
  <c r="A107" i="5" s="1"/>
  <c r="D107" i="5"/>
  <c r="E106" i="5"/>
  <c r="A106" i="5" s="1"/>
  <c r="D106" i="5"/>
  <c r="E105" i="5"/>
  <c r="A105" i="5" s="1"/>
  <c r="D105" i="5"/>
  <c r="E104" i="5"/>
  <c r="A104" i="5" s="1"/>
  <c r="D104" i="5"/>
  <c r="E103" i="5"/>
  <c r="A103" i="5" s="1"/>
  <c r="D103" i="5"/>
  <c r="E102" i="5"/>
  <c r="A102" i="5" s="1"/>
  <c r="D102" i="5"/>
  <c r="E101" i="5"/>
  <c r="A101" i="5" s="1"/>
  <c r="D101" i="5"/>
  <c r="E100" i="5"/>
  <c r="A100" i="5" s="1"/>
  <c r="D100" i="5"/>
  <c r="E99" i="5"/>
  <c r="A99" i="5" s="1"/>
  <c r="D99" i="5"/>
  <c r="E98" i="5"/>
  <c r="A98" i="5" s="1"/>
  <c r="D98" i="5"/>
  <c r="E97" i="5"/>
  <c r="A97" i="5" s="1"/>
  <c r="D97" i="5"/>
  <c r="E96" i="5"/>
  <c r="A96" i="5" s="1"/>
  <c r="D96" i="5"/>
  <c r="E95" i="5"/>
  <c r="A95" i="5" s="1"/>
  <c r="D95" i="5"/>
  <c r="E94" i="5"/>
  <c r="D94" i="5"/>
  <c r="A94" i="5"/>
  <c r="E93" i="5"/>
  <c r="A93" i="5" s="1"/>
  <c r="D93" i="5"/>
  <c r="E92" i="5"/>
  <c r="A92" i="5" s="1"/>
  <c r="D92" i="5"/>
  <c r="E91" i="5"/>
  <c r="A91" i="5" s="1"/>
  <c r="D91" i="5"/>
  <c r="E90" i="5"/>
  <c r="A90" i="5" s="1"/>
  <c r="D90" i="5"/>
  <c r="E89" i="5"/>
  <c r="A89" i="5" s="1"/>
  <c r="D89" i="5"/>
  <c r="E88" i="5"/>
  <c r="A88" i="5" s="1"/>
  <c r="D88" i="5"/>
  <c r="E87" i="5"/>
  <c r="A87" i="5" s="1"/>
  <c r="D87" i="5"/>
  <c r="E86" i="5"/>
  <c r="A86" i="5" s="1"/>
  <c r="D86" i="5"/>
  <c r="E85" i="5"/>
  <c r="A85" i="5" s="1"/>
  <c r="D85" i="5"/>
  <c r="E84" i="5"/>
  <c r="A84" i="5" s="1"/>
  <c r="D84" i="5"/>
  <c r="E83" i="5"/>
  <c r="A83" i="5" s="1"/>
  <c r="D83" i="5"/>
  <c r="E82" i="5"/>
  <c r="A82" i="5" s="1"/>
  <c r="D82" i="5"/>
  <c r="E81" i="5"/>
  <c r="A81" i="5" s="1"/>
  <c r="D81" i="5"/>
  <c r="E80" i="5"/>
  <c r="A80" i="5" s="1"/>
  <c r="D80" i="5"/>
  <c r="E79" i="5"/>
  <c r="A79" i="5" s="1"/>
  <c r="D79" i="5"/>
  <c r="E78" i="5"/>
  <c r="A78" i="5" s="1"/>
  <c r="D78" i="5"/>
  <c r="E77" i="5"/>
  <c r="A77" i="5" s="1"/>
  <c r="D77" i="5"/>
  <c r="E76" i="5"/>
  <c r="A76" i="5" s="1"/>
  <c r="D76" i="5"/>
  <c r="E75" i="5"/>
  <c r="A75" i="5" s="1"/>
  <c r="D75" i="5"/>
  <c r="E74" i="5"/>
  <c r="A74" i="5" s="1"/>
  <c r="D74" i="5"/>
  <c r="E73" i="5"/>
  <c r="A73" i="5" s="1"/>
  <c r="D73" i="5"/>
  <c r="E72" i="5"/>
  <c r="A72" i="5" s="1"/>
  <c r="D72" i="5"/>
  <c r="E71" i="5"/>
  <c r="A71" i="5" s="1"/>
  <c r="D71" i="5"/>
  <c r="E70" i="5"/>
  <c r="A70" i="5" s="1"/>
  <c r="D70" i="5"/>
  <c r="E69" i="5"/>
  <c r="A69" i="5" s="1"/>
  <c r="D69" i="5"/>
  <c r="E68" i="5"/>
  <c r="D68" i="5"/>
  <c r="A68" i="5"/>
  <c r="E67" i="5"/>
  <c r="A67" i="5" s="1"/>
  <c r="E66" i="5"/>
  <c r="A66" i="5" s="1"/>
  <c r="D66" i="5"/>
  <c r="E65" i="5"/>
  <c r="A65" i="5" s="1"/>
  <c r="D65" i="5"/>
  <c r="E64" i="5"/>
  <c r="A64" i="5" s="1"/>
  <c r="D64" i="5"/>
  <c r="E63" i="5"/>
  <c r="A63" i="5" s="1"/>
  <c r="D63" i="5"/>
  <c r="E62" i="5"/>
  <c r="A62" i="5" s="1"/>
  <c r="D62" i="5"/>
  <c r="E61" i="5"/>
  <c r="A61" i="5" s="1"/>
  <c r="D61" i="5"/>
  <c r="E60" i="5"/>
  <c r="D60" i="5"/>
  <c r="A60" i="5"/>
  <c r="E59" i="5"/>
  <c r="A59" i="5" s="1"/>
  <c r="D59" i="5"/>
  <c r="E58" i="5"/>
  <c r="A58" i="5" s="1"/>
  <c r="D58" i="5"/>
  <c r="E57" i="5"/>
  <c r="A57" i="5" s="1"/>
  <c r="D57" i="5"/>
  <c r="E56" i="5"/>
  <c r="A56" i="5" s="1"/>
  <c r="D56" i="5"/>
  <c r="E55" i="5"/>
  <c r="A55" i="5" s="1"/>
  <c r="D55" i="5"/>
  <c r="E54" i="5"/>
  <c r="D54" i="5"/>
  <c r="A54" i="5"/>
  <c r="E53" i="5"/>
  <c r="A53" i="5" s="1"/>
  <c r="D53" i="5"/>
  <c r="E52" i="5"/>
  <c r="D52" i="5"/>
  <c r="A52" i="5"/>
  <c r="E51" i="5"/>
  <c r="A51" i="5" s="1"/>
  <c r="D51" i="5"/>
  <c r="E50" i="5"/>
  <c r="A50" i="5" s="1"/>
  <c r="D50" i="5"/>
  <c r="E49" i="5"/>
  <c r="A49" i="5" s="1"/>
  <c r="E48" i="5"/>
  <c r="A48" i="5" s="1"/>
  <c r="D48" i="5"/>
  <c r="E47" i="5"/>
  <c r="A47" i="5" s="1"/>
  <c r="D47" i="5"/>
  <c r="E46" i="5"/>
  <c r="D46" i="5"/>
  <c r="A46" i="5"/>
  <c r="E45" i="5"/>
  <c r="A45" i="5" s="1"/>
  <c r="D45" i="5"/>
  <c r="E44" i="5"/>
  <c r="D44" i="5"/>
  <c r="A44" i="5"/>
  <c r="E43" i="5"/>
  <c r="A43" i="5" s="1"/>
  <c r="E42" i="5"/>
  <c r="A42" i="5" s="1"/>
  <c r="D42" i="5"/>
  <c r="E41" i="5"/>
  <c r="A41" i="5" s="1"/>
  <c r="D41" i="5"/>
  <c r="E40" i="5"/>
  <c r="A40" i="5" s="1"/>
  <c r="D40" i="5"/>
  <c r="E39" i="5"/>
  <c r="A39" i="5" s="1"/>
  <c r="D39" i="5"/>
  <c r="E38" i="5"/>
  <c r="A38" i="5" s="1"/>
  <c r="D38" i="5"/>
  <c r="E37" i="5"/>
  <c r="A37" i="5" s="1"/>
  <c r="D37" i="5"/>
  <c r="E36" i="5"/>
  <c r="A36" i="5"/>
  <c r="E35" i="5"/>
  <c r="A35" i="5" s="1"/>
  <c r="D35" i="5"/>
  <c r="E34" i="5"/>
  <c r="A34" i="5" s="1"/>
  <c r="D34" i="5"/>
  <c r="E33" i="5"/>
  <c r="A33" i="5" s="1"/>
  <c r="D33" i="5"/>
  <c r="E32" i="5"/>
  <c r="A32" i="5" s="1"/>
  <c r="D32" i="5"/>
  <c r="E31" i="5"/>
  <c r="A31" i="5" s="1"/>
  <c r="D31" i="5"/>
  <c r="E30" i="5"/>
  <c r="D30" i="5"/>
  <c r="A30" i="5"/>
  <c r="E29" i="5"/>
  <c r="A29" i="5" s="1"/>
  <c r="D29" i="5"/>
  <c r="E28" i="5"/>
  <c r="A28" i="5" s="1"/>
  <c r="D28" i="5"/>
  <c r="E27" i="5"/>
  <c r="A27" i="5" s="1"/>
  <c r="D27" i="5"/>
  <c r="E26" i="5"/>
  <c r="D26" i="5"/>
  <c r="A26" i="5"/>
  <c r="E25" i="5"/>
  <c r="A25" i="5" s="1"/>
  <c r="D25" i="5"/>
  <c r="E24" i="5"/>
  <c r="A24" i="5" s="1"/>
  <c r="D24" i="5"/>
  <c r="E23" i="5"/>
  <c r="A23" i="5" s="1"/>
  <c r="D23" i="5"/>
  <c r="E22" i="5"/>
  <c r="D22" i="5"/>
  <c r="A22" i="5"/>
  <c r="E21" i="5"/>
  <c r="A21" i="5" s="1"/>
  <c r="D21" i="5"/>
  <c r="E20" i="5"/>
  <c r="A20" i="5" s="1"/>
  <c r="D20" i="5"/>
  <c r="E19" i="5"/>
  <c r="A19" i="5" s="1"/>
  <c r="D19" i="5"/>
  <c r="E18" i="5"/>
  <c r="A18" i="5" s="1"/>
  <c r="D18" i="5"/>
  <c r="E17" i="5"/>
  <c r="A17" i="5" s="1"/>
  <c r="D17" i="5"/>
  <c r="E16" i="5"/>
  <c r="A16" i="5" s="1"/>
  <c r="D16" i="5"/>
  <c r="E15" i="5"/>
  <c r="A15" i="5" s="1"/>
  <c r="D15" i="5"/>
  <c r="E14" i="5"/>
  <c r="A14" i="5" s="1"/>
  <c r="D14" i="5"/>
  <c r="E13" i="5"/>
  <c r="A13" i="5" s="1"/>
  <c r="D13" i="5"/>
  <c r="E12" i="5"/>
  <c r="D12" i="5"/>
  <c r="A12" i="5"/>
  <c r="E11" i="5"/>
  <c r="A11" i="5" s="1"/>
  <c r="D11" i="5"/>
  <c r="E10" i="5"/>
  <c r="A10" i="5" s="1"/>
  <c r="D10" i="5"/>
  <c r="E9" i="5"/>
  <c r="A9" i="5" s="1"/>
  <c r="D9" i="5"/>
  <c r="E8" i="5"/>
  <c r="A8" i="5" s="1"/>
  <c r="E7" i="5"/>
  <c r="A7" i="5" s="1"/>
  <c r="D7" i="5"/>
  <c r="E6" i="5"/>
  <c r="A6" i="5" s="1"/>
  <c r="D6" i="5"/>
  <c r="E5" i="5"/>
  <c r="A5" i="5" s="1"/>
  <c r="D5" i="5"/>
  <c r="E4" i="5"/>
  <c r="D4" i="5"/>
  <c r="A4" i="5"/>
  <c r="E3" i="5"/>
  <c r="A3" i="5" s="1"/>
  <c r="D3" i="5"/>
  <c r="E2" i="5"/>
  <c r="A2" i="5" s="1"/>
  <c r="D2" i="5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2" i="4"/>
  <c r="E6" i="4"/>
  <c r="A6" i="4" s="1"/>
  <c r="E12" i="4"/>
  <c r="A12" i="4" s="1"/>
  <c r="E14" i="4"/>
  <c r="A14" i="4" s="1"/>
  <c r="C88" i="4"/>
  <c r="D88" i="4" s="1"/>
  <c r="C89" i="4"/>
  <c r="D89" i="4" s="1"/>
  <c r="C90" i="4"/>
  <c r="D90" i="4" s="1"/>
  <c r="C91" i="4"/>
  <c r="D91" i="4" s="1"/>
  <c r="C92" i="4"/>
  <c r="D92" i="4" s="1"/>
  <c r="C93" i="4"/>
  <c r="D93" i="4" s="1"/>
  <c r="C94" i="4"/>
  <c r="D94" i="4" s="1"/>
  <c r="C95" i="4"/>
  <c r="D95" i="4" s="1"/>
  <c r="C96" i="4"/>
  <c r="D96" i="4" s="1"/>
  <c r="C97" i="4"/>
  <c r="D97" i="4" s="1"/>
  <c r="C98" i="4"/>
  <c r="D98" i="4" s="1"/>
  <c r="C99" i="4"/>
  <c r="D99" i="4" s="1"/>
  <c r="C100" i="4"/>
  <c r="D100" i="4" s="1"/>
  <c r="C101" i="4"/>
  <c r="D101" i="4" s="1"/>
  <c r="C102" i="4"/>
  <c r="D102" i="4" s="1"/>
  <c r="C103" i="4"/>
  <c r="D103" i="4" s="1"/>
  <c r="C104" i="4"/>
  <c r="D104" i="4" s="1"/>
  <c r="C105" i="4"/>
  <c r="D105" i="4" s="1"/>
  <c r="C106" i="4"/>
  <c r="D106" i="4" s="1"/>
  <c r="C107" i="4"/>
  <c r="D107" i="4" s="1"/>
  <c r="C108" i="4"/>
  <c r="D108" i="4" s="1"/>
  <c r="C109" i="4"/>
  <c r="D109" i="4" s="1"/>
  <c r="C110" i="4"/>
  <c r="D110" i="4" s="1"/>
  <c r="C111" i="4"/>
  <c r="D111" i="4" s="1"/>
  <c r="C112" i="4"/>
  <c r="D112" i="4" s="1"/>
  <c r="C113" i="4"/>
  <c r="D113" i="4" s="1"/>
  <c r="C114" i="4"/>
  <c r="D114" i="4" s="1"/>
  <c r="C115" i="4"/>
  <c r="D115" i="4" s="1"/>
  <c r="C116" i="4"/>
  <c r="D116" i="4" s="1"/>
  <c r="C117" i="4"/>
  <c r="D117" i="4" s="1"/>
  <c r="C118" i="4"/>
  <c r="D118" i="4" s="1"/>
  <c r="C119" i="4"/>
  <c r="D119" i="4" s="1"/>
  <c r="C120" i="4"/>
  <c r="D120" i="4" s="1"/>
  <c r="C121" i="4"/>
  <c r="D121" i="4" s="1"/>
  <c r="C122" i="4"/>
  <c r="D122" i="4" s="1"/>
  <c r="C123" i="4"/>
  <c r="D123" i="4" s="1"/>
  <c r="C124" i="4"/>
  <c r="D124" i="4" s="1"/>
  <c r="C125" i="4"/>
  <c r="D125" i="4" s="1"/>
  <c r="C126" i="4"/>
  <c r="D126" i="4" s="1"/>
  <c r="C127" i="4"/>
  <c r="D127" i="4" s="1"/>
  <c r="C128" i="4"/>
  <c r="D128" i="4" s="1"/>
  <c r="C129" i="4"/>
  <c r="D129" i="4" s="1"/>
  <c r="C130" i="4"/>
  <c r="D130" i="4" s="1"/>
  <c r="C131" i="4"/>
  <c r="D131" i="4" s="1"/>
  <c r="C132" i="4"/>
  <c r="D132" i="4" s="1"/>
  <c r="C133" i="4"/>
  <c r="D133" i="4" s="1"/>
  <c r="C134" i="4"/>
  <c r="D134" i="4" s="1"/>
  <c r="C135" i="4"/>
  <c r="D135" i="4" s="1"/>
  <c r="C136" i="4"/>
  <c r="D136" i="4" s="1"/>
  <c r="C137" i="4"/>
  <c r="D137" i="4" s="1"/>
  <c r="C138" i="4"/>
  <c r="D138" i="4" s="1"/>
  <c r="C139" i="4"/>
  <c r="D139" i="4" s="1"/>
  <c r="C140" i="4"/>
  <c r="D140" i="4" s="1"/>
  <c r="C141" i="4"/>
  <c r="D141" i="4" s="1"/>
  <c r="C142" i="4"/>
  <c r="D142" i="4" s="1"/>
  <c r="C143" i="4"/>
  <c r="D143" i="4" s="1"/>
  <c r="C144" i="4"/>
  <c r="D144" i="4" s="1"/>
  <c r="C145" i="4"/>
  <c r="D145" i="4" s="1"/>
  <c r="C146" i="4"/>
  <c r="D146" i="4" s="1"/>
  <c r="C147" i="4"/>
  <c r="D147" i="4" s="1"/>
  <c r="C148" i="4"/>
  <c r="D148" i="4" s="1"/>
  <c r="C149" i="4"/>
  <c r="D149" i="4" s="1"/>
  <c r="C150" i="4"/>
  <c r="D150" i="4" s="1"/>
  <c r="C151" i="4"/>
  <c r="D151" i="4" s="1"/>
  <c r="C152" i="4"/>
  <c r="D152" i="4" s="1"/>
  <c r="C153" i="4"/>
  <c r="D153" i="4" s="1"/>
  <c r="C154" i="4"/>
  <c r="D154" i="4" s="1"/>
  <c r="C155" i="4"/>
  <c r="D155" i="4" s="1"/>
  <c r="C156" i="4"/>
  <c r="D156" i="4" s="1"/>
  <c r="C157" i="4"/>
  <c r="D157" i="4" s="1"/>
  <c r="C158" i="4"/>
  <c r="D158" i="4" s="1"/>
  <c r="C159" i="4"/>
  <c r="D159" i="4" s="1"/>
  <c r="C160" i="4"/>
  <c r="D160" i="4" s="1"/>
  <c r="C161" i="4"/>
  <c r="D161" i="4" s="1"/>
  <c r="C162" i="4"/>
  <c r="D162" i="4" s="1"/>
  <c r="C163" i="4"/>
  <c r="D163" i="4" s="1"/>
  <c r="C164" i="4"/>
  <c r="D164" i="4" s="1"/>
  <c r="C165" i="4"/>
  <c r="D165" i="4" s="1"/>
  <c r="C166" i="4"/>
  <c r="D166" i="4" s="1"/>
  <c r="C167" i="4"/>
  <c r="D167" i="4" s="1"/>
  <c r="C168" i="4"/>
  <c r="D168" i="4" s="1"/>
  <c r="C169" i="4"/>
  <c r="D169" i="4" s="1"/>
  <c r="C170" i="4"/>
  <c r="D170" i="4" s="1"/>
  <c r="C171" i="4"/>
  <c r="D171" i="4" s="1"/>
  <c r="C172" i="4"/>
  <c r="D172" i="4" s="1"/>
  <c r="C173" i="4"/>
  <c r="D173" i="4" s="1"/>
  <c r="C174" i="4"/>
  <c r="D174" i="4" s="1"/>
  <c r="C175" i="4"/>
  <c r="D175" i="4" s="1"/>
  <c r="C176" i="4"/>
  <c r="D176" i="4" s="1"/>
  <c r="C177" i="4"/>
  <c r="D177" i="4" s="1"/>
  <c r="C178" i="4"/>
  <c r="D178" i="4" s="1"/>
  <c r="C179" i="4"/>
  <c r="D179" i="4" s="1"/>
  <c r="C180" i="4"/>
  <c r="D180" i="4" s="1"/>
  <c r="C181" i="4"/>
  <c r="D181" i="4" s="1"/>
  <c r="C182" i="4"/>
  <c r="D182" i="4" s="1"/>
  <c r="C183" i="4"/>
  <c r="D183" i="4" s="1"/>
  <c r="C184" i="4"/>
  <c r="D184" i="4" s="1"/>
  <c r="C185" i="4"/>
  <c r="D185" i="4" s="1"/>
  <c r="C186" i="4"/>
  <c r="D186" i="4" s="1"/>
  <c r="C187" i="4"/>
  <c r="D187" i="4" s="1"/>
  <c r="C188" i="4"/>
  <c r="D188" i="4" s="1"/>
  <c r="C189" i="4"/>
  <c r="D189" i="4" s="1"/>
  <c r="C190" i="4"/>
  <c r="D190" i="4" s="1"/>
  <c r="C191" i="4"/>
  <c r="D191" i="4" s="1"/>
  <c r="C192" i="4"/>
  <c r="D192" i="4" s="1"/>
  <c r="C193" i="4"/>
  <c r="D193" i="4" s="1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5" i="4"/>
  <c r="A84" i="4"/>
  <c r="A81" i="4"/>
  <c r="A80" i="4"/>
  <c r="A79" i="4"/>
  <c r="A78" i="4"/>
  <c r="A75" i="4"/>
  <c r="A74" i="4"/>
  <c r="A73" i="4"/>
  <c r="A72" i="4"/>
  <c r="A70" i="4"/>
  <c r="A69" i="4"/>
  <c r="A68" i="4"/>
  <c r="A67" i="4"/>
  <c r="A66" i="4"/>
  <c r="A65" i="4"/>
  <c r="A62" i="4"/>
  <c r="A61" i="4"/>
  <c r="A60" i="4"/>
  <c r="A59" i="4"/>
  <c r="A57" i="4"/>
  <c r="A56" i="4"/>
  <c r="A55" i="4"/>
  <c r="A54" i="4"/>
  <c r="A53" i="4"/>
  <c r="A49" i="4"/>
  <c r="A48" i="4"/>
  <c r="A47" i="4"/>
  <c r="A43" i="4"/>
  <c r="A42" i="4"/>
  <c r="A41" i="4"/>
  <c r="E40" i="4"/>
  <c r="A40" i="4" s="1"/>
  <c r="E39" i="4"/>
  <c r="A39" i="4" s="1"/>
  <c r="E38" i="4"/>
  <c r="A38" i="4" s="1"/>
  <c r="E37" i="4"/>
  <c r="A37" i="4" s="1"/>
  <c r="E36" i="4"/>
  <c r="A36" i="4" s="1"/>
  <c r="E35" i="4"/>
  <c r="A35" i="4" s="1"/>
  <c r="E34" i="4"/>
  <c r="A34" i="4" s="1"/>
  <c r="E33" i="4"/>
  <c r="A33" i="4" s="1"/>
  <c r="E32" i="4"/>
  <c r="A32" i="4" s="1"/>
  <c r="E31" i="4"/>
  <c r="A31" i="4" s="1"/>
  <c r="E30" i="4"/>
  <c r="A30" i="4" s="1"/>
  <c r="E29" i="4"/>
  <c r="A29" i="4" s="1"/>
  <c r="E28" i="4"/>
  <c r="A28" i="4" s="1"/>
  <c r="E27" i="4"/>
  <c r="A27" i="4" s="1"/>
  <c r="E26" i="4"/>
  <c r="A26" i="4" s="1"/>
  <c r="E25" i="4"/>
  <c r="A25" i="4" s="1"/>
  <c r="E24" i="4"/>
  <c r="A24" i="4"/>
  <c r="E23" i="4"/>
  <c r="A23" i="4" s="1"/>
  <c r="E22" i="4"/>
  <c r="A22" i="4" s="1"/>
  <c r="E21" i="4"/>
  <c r="A21" i="4" s="1"/>
  <c r="E20" i="4"/>
  <c r="A20" i="4" s="1"/>
  <c r="E19" i="4"/>
  <c r="A19" i="4" s="1"/>
  <c r="E18" i="4"/>
  <c r="A18" i="4" s="1"/>
  <c r="E17" i="4"/>
  <c r="A17" i="4" s="1"/>
  <c r="E16" i="4"/>
  <c r="A16" i="4" s="1"/>
  <c r="E15" i="4"/>
  <c r="A15" i="4" s="1"/>
  <c r="E13" i="4"/>
  <c r="A13" i="4" s="1"/>
  <c r="E11" i="4"/>
  <c r="A11" i="4" s="1"/>
  <c r="E10" i="4"/>
  <c r="A10" i="4" s="1"/>
  <c r="E9" i="4"/>
  <c r="A9" i="4" s="1"/>
  <c r="E8" i="4"/>
  <c r="A8" i="4" s="1"/>
  <c r="E7" i="4"/>
  <c r="A7" i="4" s="1"/>
  <c r="E5" i="4"/>
  <c r="A5" i="4" s="1"/>
  <c r="E4" i="4"/>
  <c r="A4" i="4" s="1"/>
  <c r="E3" i="4"/>
  <c r="A3" i="4" s="1"/>
  <c r="E2" i="4"/>
  <c r="A2" i="4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2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7" i="3"/>
  <c r="D118" i="3"/>
  <c r="D119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2" i="3"/>
  <c r="E194" i="3"/>
  <c r="A194" i="3" s="1"/>
  <c r="E193" i="3"/>
  <c r="A193" i="3" s="1"/>
  <c r="E192" i="3"/>
  <c r="A192" i="3" s="1"/>
  <c r="E191" i="3"/>
  <c r="A191" i="3" s="1"/>
  <c r="E190" i="3"/>
  <c r="A190" i="3" s="1"/>
  <c r="E189" i="3"/>
  <c r="A189" i="3" s="1"/>
  <c r="E188" i="3"/>
  <c r="A188" i="3" s="1"/>
  <c r="E187" i="3"/>
  <c r="A187" i="3" s="1"/>
  <c r="E186" i="3"/>
  <c r="A186" i="3" s="1"/>
  <c r="E185" i="3"/>
  <c r="A185" i="3" s="1"/>
  <c r="E184" i="3"/>
  <c r="A184" i="3" s="1"/>
  <c r="E183" i="3"/>
  <c r="A183" i="3" s="1"/>
  <c r="E182" i="3"/>
  <c r="A182" i="3" s="1"/>
  <c r="E181" i="3"/>
  <c r="A181" i="3" s="1"/>
  <c r="E180" i="3"/>
  <c r="A180" i="3" s="1"/>
  <c r="E179" i="3"/>
  <c r="A179" i="3" s="1"/>
  <c r="E178" i="3"/>
  <c r="A178" i="3" s="1"/>
  <c r="E177" i="3"/>
  <c r="A177" i="3" s="1"/>
  <c r="E176" i="3"/>
  <c r="A176" i="3" s="1"/>
  <c r="E175" i="3"/>
  <c r="A175" i="3" s="1"/>
  <c r="E174" i="3"/>
  <c r="A174" i="3" s="1"/>
  <c r="E173" i="3"/>
  <c r="A173" i="3" s="1"/>
  <c r="E172" i="3"/>
  <c r="A172" i="3" s="1"/>
  <c r="E171" i="3"/>
  <c r="A171" i="3" s="1"/>
  <c r="E170" i="3"/>
  <c r="A170" i="3" s="1"/>
  <c r="E169" i="3"/>
  <c r="A169" i="3" s="1"/>
  <c r="E168" i="3"/>
  <c r="A168" i="3" s="1"/>
  <c r="E167" i="3"/>
  <c r="A167" i="3" s="1"/>
  <c r="E166" i="3"/>
  <c r="A166" i="3" s="1"/>
  <c r="E165" i="3"/>
  <c r="A165" i="3" s="1"/>
  <c r="E164" i="3"/>
  <c r="A164" i="3" s="1"/>
  <c r="E163" i="3"/>
  <c r="A163" i="3" s="1"/>
  <c r="E162" i="3"/>
  <c r="A162" i="3" s="1"/>
  <c r="E161" i="3"/>
  <c r="A161" i="3" s="1"/>
  <c r="E160" i="3"/>
  <c r="A160" i="3" s="1"/>
  <c r="E159" i="3"/>
  <c r="A159" i="3" s="1"/>
  <c r="E158" i="3"/>
  <c r="A158" i="3" s="1"/>
  <c r="E157" i="3"/>
  <c r="A157" i="3" s="1"/>
  <c r="E156" i="3"/>
  <c r="A156" i="3" s="1"/>
  <c r="E155" i="3"/>
  <c r="A155" i="3" s="1"/>
  <c r="E154" i="3"/>
  <c r="A154" i="3" s="1"/>
  <c r="E153" i="3"/>
  <c r="A153" i="3" s="1"/>
  <c r="E152" i="3"/>
  <c r="A152" i="3" s="1"/>
  <c r="E151" i="3"/>
  <c r="A151" i="3" s="1"/>
  <c r="E150" i="3"/>
  <c r="A150" i="3" s="1"/>
  <c r="E149" i="3"/>
  <c r="A149" i="3" s="1"/>
  <c r="E148" i="3"/>
  <c r="A148" i="3" s="1"/>
  <c r="E147" i="3"/>
  <c r="A147" i="3" s="1"/>
  <c r="E146" i="3"/>
  <c r="A146" i="3" s="1"/>
  <c r="E145" i="3"/>
  <c r="A145" i="3" s="1"/>
  <c r="E144" i="3"/>
  <c r="A144" i="3" s="1"/>
  <c r="E143" i="3"/>
  <c r="A143" i="3" s="1"/>
  <c r="E142" i="3"/>
  <c r="A142" i="3" s="1"/>
  <c r="E141" i="3"/>
  <c r="A141" i="3" s="1"/>
  <c r="E140" i="3"/>
  <c r="A140" i="3" s="1"/>
  <c r="E139" i="3"/>
  <c r="A139" i="3" s="1"/>
  <c r="E138" i="3"/>
  <c r="A138" i="3" s="1"/>
  <c r="E137" i="3"/>
  <c r="A137" i="3" s="1"/>
  <c r="E136" i="3"/>
  <c r="A136" i="3" s="1"/>
  <c r="E135" i="3"/>
  <c r="A135" i="3" s="1"/>
  <c r="E134" i="3"/>
  <c r="A134" i="3" s="1"/>
  <c r="E133" i="3"/>
  <c r="A133" i="3" s="1"/>
  <c r="E132" i="3"/>
  <c r="A132" i="3" s="1"/>
  <c r="E131" i="3"/>
  <c r="A131" i="3" s="1"/>
  <c r="E130" i="3"/>
  <c r="A130" i="3" s="1"/>
  <c r="E129" i="3"/>
  <c r="A129" i="3" s="1"/>
  <c r="E128" i="3"/>
  <c r="A128" i="3" s="1"/>
  <c r="E127" i="3"/>
  <c r="A127" i="3" s="1"/>
  <c r="E126" i="3"/>
  <c r="A126" i="3" s="1"/>
  <c r="E125" i="3"/>
  <c r="A125" i="3" s="1"/>
  <c r="E124" i="3"/>
  <c r="A124" i="3" s="1"/>
  <c r="E123" i="3"/>
  <c r="A123" i="3" s="1"/>
  <c r="E122" i="3"/>
  <c r="A122" i="3" s="1"/>
  <c r="E121" i="3"/>
  <c r="A121" i="3" s="1"/>
  <c r="E120" i="3"/>
  <c r="A120" i="3" s="1"/>
  <c r="E119" i="3"/>
  <c r="A119" i="3" s="1"/>
  <c r="E118" i="3"/>
  <c r="A118" i="3" s="1"/>
  <c r="E117" i="3"/>
  <c r="A117" i="3" s="1"/>
  <c r="E116" i="3"/>
  <c r="A116" i="3" s="1"/>
  <c r="E115" i="3"/>
  <c r="A115" i="3" s="1"/>
  <c r="E114" i="3"/>
  <c r="A114" i="3" s="1"/>
  <c r="E113" i="3"/>
  <c r="A113" i="3" s="1"/>
  <c r="E112" i="3"/>
  <c r="A112" i="3" s="1"/>
  <c r="E111" i="3"/>
  <c r="A111" i="3" s="1"/>
  <c r="E110" i="3"/>
  <c r="A110" i="3" s="1"/>
  <c r="E109" i="3"/>
  <c r="A109" i="3" s="1"/>
  <c r="E108" i="3"/>
  <c r="A108" i="3" s="1"/>
  <c r="E107" i="3"/>
  <c r="A107" i="3" s="1"/>
  <c r="E106" i="3"/>
  <c r="A106" i="3" s="1"/>
  <c r="E105" i="3"/>
  <c r="A105" i="3" s="1"/>
  <c r="E104" i="3"/>
  <c r="A104" i="3" s="1"/>
  <c r="E103" i="3"/>
  <c r="A103" i="3" s="1"/>
  <c r="E102" i="3"/>
  <c r="A102" i="3" s="1"/>
  <c r="E101" i="3"/>
  <c r="A101" i="3" s="1"/>
  <c r="E100" i="3"/>
  <c r="A100" i="3" s="1"/>
  <c r="E99" i="3"/>
  <c r="A99" i="3" s="1"/>
  <c r="E98" i="3"/>
  <c r="A98" i="3" s="1"/>
  <c r="E97" i="3"/>
  <c r="A97" i="3" s="1"/>
  <c r="E96" i="3"/>
  <c r="A96" i="3" s="1"/>
  <c r="E95" i="3"/>
  <c r="A95" i="3" s="1"/>
  <c r="E94" i="3"/>
  <c r="A94" i="3" s="1"/>
  <c r="E93" i="3"/>
  <c r="A93" i="3" s="1"/>
  <c r="E92" i="3"/>
  <c r="A92" i="3" s="1"/>
  <c r="E91" i="3"/>
  <c r="A91" i="3" s="1"/>
  <c r="E90" i="3"/>
  <c r="A90" i="3" s="1"/>
  <c r="E89" i="3"/>
  <c r="A89" i="3" s="1"/>
  <c r="E88" i="3"/>
  <c r="A88" i="3" s="1"/>
  <c r="E87" i="3"/>
  <c r="A87" i="3" s="1"/>
  <c r="E86" i="3"/>
  <c r="A86" i="3" s="1"/>
  <c r="E85" i="3"/>
  <c r="A85" i="3" s="1"/>
  <c r="E84" i="3"/>
  <c r="A84" i="3" s="1"/>
  <c r="E83" i="3"/>
  <c r="A83" i="3" s="1"/>
  <c r="E82" i="3"/>
  <c r="A82" i="3" s="1"/>
  <c r="E81" i="3"/>
  <c r="A81" i="3" s="1"/>
  <c r="E80" i="3"/>
  <c r="A80" i="3" s="1"/>
  <c r="E79" i="3"/>
  <c r="A79" i="3" s="1"/>
  <c r="E78" i="3"/>
  <c r="A78" i="3" s="1"/>
  <c r="E77" i="3"/>
  <c r="A77" i="3" s="1"/>
  <c r="E76" i="3"/>
  <c r="A76" i="3" s="1"/>
  <c r="E75" i="3"/>
  <c r="A75" i="3" s="1"/>
  <c r="E74" i="3"/>
  <c r="A74" i="3" s="1"/>
  <c r="E73" i="3"/>
  <c r="A73" i="3" s="1"/>
  <c r="E72" i="3"/>
  <c r="A72" i="3" s="1"/>
  <c r="E71" i="3"/>
  <c r="A71" i="3" s="1"/>
  <c r="E70" i="3"/>
  <c r="A70" i="3" s="1"/>
  <c r="E69" i="3"/>
  <c r="A69" i="3" s="1"/>
  <c r="E68" i="3"/>
  <c r="A68" i="3" s="1"/>
  <c r="E67" i="3"/>
  <c r="A67" i="3" s="1"/>
  <c r="E66" i="3"/>
  <c r="A66" i="3" s="1"/>
  <c r="E65" i="3"/>
  <c r="A65" i="3" s="1"/>
  <c r="E64" i="3"/>
  <c r="A64" i="3" s="1"/>
  <c r="E63" i="3"/>
  <c r="A63" i="3" s="1"/>
  <c r="E62" i="3"/>
  <c r="A62" i="3" s="1"/>
  <c r="E61" i="3"/>
  <c r="A61" i="3" s="1"/>
  <c r="E60" i="3"/>
  <c r="A60" i="3" s="1"/>
  <c r="E59" i="3"/>
  <c r="A59" i="3" s="1"/>
  <c r="E58" i="3"/>
  <c r="A58" i="3" s="1"/>
  <c r="E57" i="3"/>
  <c r="A57" i="3" s="1"/>
  <c r="E56" i="3"/>
  <c r="A56" i="3" s="1"/>
  <c r="E55" i="3"/>
  <c r="A55" i="3" s="1"/>
  <c r="E54" i="3"/>
  <c r="A54" i="3" s="1"/>
  <c r="E53" i="3"/>
  <c r="A53" i="3" s="1"/>
  <c r="E52" i="3"/>
  <c r="A52" i="3" s="1"/>
  <c r="E51" i="3"/>
  <c r="A51" i="3" s="1"/>
  <c r="E50" i="3"/>
  <c r="A50" i="3" s="1"/>
  <c r="E49" i="3"/>
  <c r="A49" i="3" s="1"/>
  <c r="E48" i="3"/>
  <c r="A48" i="3" s="1"/>
  <c r="E47" i="3"/>
  <c r="A47" i="3" s="1"/>
  <c r="E46" i="3"/>
  <c r="A46" i="3" s="1"/>
  <c r="E45" i="3"/>
  <c r="A45" i="3" s="1"/>
  <c r="E44" i="3"/>
  <c r="A44" i="3" s="1"/>
  <c r="E43" i="3"/>
  <c r="A43" i="3" s="1"/>
  <c r="E42" i="3"/>
  <c r="A42" i="3" s="1"/>
  <c r="E41" i="3"/>
  <c r="A41" i="3" s="1"/>
  <c r="E40" i="3"/>
  <c r="A40" i="3" s="1"/>
  <c r="E39" i="3"/>
  <c r="A39" i="3" s="1"/>
  <c r="E38" i="3"/>
  <c r="A38" i="3" s="1"/>
  <c r="E37" i="3"/>
  <c r="A37" i="3" s="1"/>
  <c r="E36" i="3"/>
  <c r="A36" i="3" s="1"/>
  <c r="E35" i="3"/>
  <c r="A35" i="3" s="1"/>
  <c r="E34" i="3"/>
  <c r="A34" i="3" s="1"/>
  <c r="E33" i="3"/>
  <c r="A33" i="3" s="1"/>
  <c r="E32" i="3"/>
  <c r="A32" i="3" s="1"/>
  <c r="E31" i="3"/>
  <c r="A31" i="3" s="1"/>
  <c r="E30" i="3"/>
  <c r="A30" i="3" s="1"/>
  <c r="E29" i="3"/>
  <c r="A29" i="3" s="1"/>
  <c r="E28" i="3"/>
  <c r="A28" i="3" s="1"/>
  <c r="E27" i="3"/>
  <c r="A27" i="3" s="1"/>
  <c r="E26" i="3"/>
  <c r="A26" i="3" s="1"/>
  <c r="E25" i="3"/>
  <c r="A25" i="3" s="1"/>
  <c r="E24" i="3"/>
  <c r="A24" i="3" s="1"/>
  <c r="E23" i="3"/>
  <c r="A23" i="3" s="1"/>
  <c r="E22" i="3"/>
  <c r="A22" i="3" s="1"/>
  <c r="E21" i="3"/>
  <c r="A21" i="3" s="1"/>
  <c r="E20" i="3"/>
  <c r="A20" i="3" s="1"/>
  <c r="E19" i="3"/>
  <c r="A19" i="3" s="1"/>
  <c r="E18" i="3"/>
  <c r="A18" i="3" s="1"/>
  <c r="E17" i="3"/>
  <c r="A17" i="3" s="1"/>
  <c r="E16" i="3"/>
  <c r="A16" i="3" s="1"/>
  <c r="E15" i="3"/>
  <c r="A15" i="3" s="1"/>
  <c r="E14" i="3"/>
  <c r="A14" i="3" s="1"/>
  <c r="E13" i="3"/>
  <c r="A13" i="3" s="1"/>
  <c r="E12" i="3"/>
  <c r="A12" i="3" s="1"/>
  <c r="E11" i="3"/>
  <c r="A11" i="3" s="1"/>
  <c r="E10" i="3"/>
  <c r="A10" i="3" s="1"/>
  <c r="E9" i="3"/>
  <c r="A9" i="3" s="1"/>
  <c r="E8" i="3"/>
  <c r="A8" i="3" s="1"/>
  <c r="E7" i="3"/>
  <c r="A7" i="3" s="1"/>
  <c r="E6" i="3"/>
  <c r="A6" i="3" s="1"/>
  <c r="E5" i="3"/>
  <c r="A5" i="3" s="1"/>
  <c r="E4" i="3"/>
  <c r="A4" i="3" s="1"/>
  <c r="E3" i="3"/>
  <c r="A3" i="3" s="1"/>
  <c r="E2" i="3"/>
  <c r="A2" i="3" s="1"/>
  <c r="G6" i="2"/>
  <c r="F27" i="2"/>
  <c r="E27" i="2"/>
  <c r="A27" i="2" s="1"/>
  <c r="D27" i="2"/>
  <c r="F26" i="2"/>
  <c r="E26" i="2"/>
  <c r="D26" i="2"/>
  <c r="A26" i="2"/>
  <c r="F25" i="2"/>
  <c r="E25" i="2"/>
  <c r="A25" i="2" s="1"/>
  <c r="D25" i="2"/>
  <c r="F24" i="2"/>
  <c r="E24" i="2"/>
  <c r="D24" i="2"/>
  <c r="A24" i="2"/>
  <c r="F23" i="2"/>
  <c r="E23" i="2"/>
  <c r="A23" i="2" s="1"/>
  <c r="D23" i="2"/>
  <c r="F22" i="2"/>
  <c r="E22" i="2"/>
  <c r="D22" i="2"/>
  <c r="A22" i="2"/>
  <c r="F21" i="2"/>
  <c r="E21" i="2"/>
  <c r="A21" i="2" s="1"/>
  <c r="D21" i="2"/>
  <c r="F20" i="2"/>
  <c r="E20" i="2"/>
  <c r="D20" i="2"/>
  <c r="A20" i="2"/>
  <c r="F19" i="2"/>
  <c r="E19" i="2"/>
  <c r="A19" i="2" s="1"/>
  <c r="D19" i="2"/>
  <c r="F18" i="2"/>
  <c r="E18" i="2"/>
  <c r="D18" i="2"/>
  <c r="A18" i="2"/>
  <c r="F17" i="2"/>
  <c r="E17" i="2"/>
  <c r="A17" i="2" s="1"/>
  <c r="D17" i="2"/>
  <c r="F16" i="2"/>
  <c r="E16" i="2"/>
  <c r="D16" i="2"/>
  <c r="A16" i="2"/>
  <c r="F15" i="2"/>
  <c r="E15" i="2"/>
  <c r="A15" i="2" s="1"/>
  <c r="D15" i="2"/>
  <c r="F14" i="2"/>
  <c r="E14" i="2"/>
  <c r="D14" i="2"/>
  <c r="A14" i="2"/>
  <c r="F13" i="2"/>
  <c r="E13" i="2"/>
  <c r="A13" i="2" s="1"/>
  <c r="D13" i="2"/>
  <c r="F12" i="2"/>
  <c r="E12" i="2"/>
  <c r="D12" i="2"/>
  <c r="A12" i="2"/>
  <c r="F11" i="2"/>
  <c r="E11" i="2"/>
  <c r="A11" i="2" s="1"/>
  <c r="D11" i="2"/>
  <c r="F10" i="2"/>
  <c r="E10" i="2"/>
  <c r="D10" i="2"/>
  <c r="A10" i="2"/>
  <c r="F9" i="2"/>
  <c r="E9" i="2"/>
  <c r="A9" i="2" s="1"/>
  <c r="D9" i="2"/>
  <c r="F8" i="2"/>
  <c r="E8" i="2"/>
  <c r="D8" i="2"/>
  <c r="A8" i="2"/>
  <c r="F7" i="2"/>
  <c r="E7" i="2"/>
  <c r="A7" i="2" s="1"/>
  <c r="D7" i="2"/>
  <c r="F6" i="2"/>
  <c r="E6" i="2"/>
  <c r="D6" i="2"/>
  <c r="F5" i="2"/>
  <c r="E5" i="2"/>
  <c r="A5" i="2" s="1"/>
  <c r="D5" i="2"/>
  <c r="F4" i="2"/>
  <c r="E4" i="2"/>
  <c r="D4" i="2"/>
  <c r="A4" i="2"/>
  <c r="F3" i="2"/>
  <c r="E3" i="2"/>
  <c r="A3" i="2" s="1"/>
  <c r="D3" i="2"/>
  <c r="F2" i="2"/>
  <c r="E2" i="2"/>
  <c r="D2" i="2"/>
  <c r="A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2" i="1"/>
  <c r="D194" i="1" l="1"/>
  <c r="E194" i="1"/>
  <c r="A194" i="1" s="1"/>
  <c r="D193" i="1"/>
  <c r="E193" i="1"/>
  <c r="A193" i="1" s="1"/>
  <c r="E9" i="1"/>
  <c r="A9" i="1" s="1"/>
  <c r="E192" i="1"/>
  <c r="A192" i="1" s="1"/>
  <c r="E191" i="1"/>
  <c r="A191" i="1" s="1"/>
  <c r="D191" i="1"/>
  <c r="E190" i="1"/>
  <c r="A190" i="1" s="1"/>
  <c r="D190" i="1"/>
  <c r="E189" i="1"/>
  <c r="A189" i="1" s="1"/>
  <c r="D189" i="1"/>
  <c r="E188" i="1"/>
  <c r="A188" i="1" s="1"/>
  <c r="D188" i="1"/>
  <c r="E187" i="1"/>
  <c r="A187" i="1" s="1"/>
  <c r="D187" i="1"/>
  <c r="E186" i="1"/>
  <c r="A186" i="1" s="1"/>
  <c r="D186" i="1"/>
  <c r="E185" i="1"/>
  <c r="A185" i="1" s="1"/>
  <c r="D185" i="1"/>
  <c r="E184" i="1"/>
  <c r="A184" i="1" s="1"/>
  <c r="D184" i="1"/>
  <c r="E183" i="1"/>
  <c r="A183" i="1" s="1"/>
  <c r="D183" i="1"/>
  <c r="E182" i="1"/>
  <c r="A182" i="1" s="1"/>
  <c r="D182" i="1"/>
  <c r="E181" i="1"/>
  <c r="A181" i="1" s="1"/>
  <c r="D181" i="1"/>
  <c r="E180" i="1"/>
  <c r="A180" i="1" s="1"/>
  <c r="D180" i="1"/>
  <c r="E179" i="1"/>
  <c r="A179" i="1" s="1"/>
  <c r="D179" i="1"/>
  <c r="E178" i="1"/>
  <c r="A178" i="1" s="1"/>
  <c r="D178" i="1"/>
  <c r="E177" i="1"/>
  <c r="A177" i="1" s="1"/>
  <c r="D177" i="1"/>
  <c r="E176" i="1"/>
  <c r="A176" i="1" s="1"/>
  <c r="D176" i="1"/>
  <c r="E175" i="1"/>
  <c r="A175" i="1" s="1"/>
  <c r="D175" i="1"/>
  <c r="E174" i="1"/>
  <c r="A174" i="1" s="1"/>
  <c r="D174" i="1"/>
  <c r="E173" i="1"/>
  <c r="A173" i="1" s="1"/>
  <c r="D173" i="1"/>
  <c r="E172" i="1"/>
  <c r="A172" i="1" s="1"/>
  <c r="D172" i="1"/>
  <c r="E171" i="1"/>
  <c r="A171" i="1" s="1"/>
  <c r="D171" i="1"/>
  <c r="E170" i="1"/>
  <c r="A170" i="1" s="1"/>
  <c r="D170" i="1"/>
  <c r="E169" i="1"/>
  <c r="A169" i="1" s="1"/>
  <c r="D169" i="1"/>
  <c r="E168" i="1"/>
  <c r="A168" i="1" s="1"/>
  <c r="D168" i="1"/>
  <c r="E167" i="1"/>
  <c r="A167" i="1" s="1"/>
  <c r="D167" i="1"/>
  <c r="E166" i="1"/>
  <c r="A166" i="1" s="1"/>
  <c r="D166" i="1"/>
  <c r="E165" i="1"/>
  <c r="A165" i="1" s="1"/>
  <c r="D165" i="1"/>
  <c r="E164" i="1"/>
  <c r="A164" i="1" s="1"/>
  <c r="D164" i="1"/>
  <c r="E163" i="1"/>
  <c r="A163" i="1" s="1"/>
  <c r="D163" i="1"/>
  <c r="E162" i="1"/>
  <c r="A162" i="1" s="1"/>
  <c r="D162" i="1"/>
  <c r="E161" i="1"/>
  <c r="A161" i="1" s="1"/>
  <c r="D161" i="1"/>
  <c r="E160" i="1"/>
  <c r="A160" i="1" s="1"/>
  <c r="D160" i="1"/>
  <c r="E159" i="1"/>
  <c r="A159" i="1" s="1"/>
  <c r="D159" i="1"/>
  <c r="E158" i="1"/>
  <c r="A158" i="1" s="1"/>
  <c r="D158" i="1"/>
  <c r="E157" i="1"/>
  <c r="A157" i="1" s="1"/>
  <c r="D157" i="1"/>
  <c r="E156" i="1"/>
  <c r="A156" i="1" s="1"/>
  <c r="D156" i="1"/>
  <c r="E155" i="1"/>
  <c r="A155" i="1" s="1"/>
  <c r="D155" i="1"/>
  <c r="E154" i="1"/>
  <c r="A154" i="1" s="1"/>
  <c r="D154" i="1"/>
  <c r="E153" i="1"/>
  <c r="A153" i="1" s="1"/>
  <c r="D153" i="1"/>
  <c r="E152" i="1"/>
  <c r="A152" i="1" s="1"/>
  <c r="E151" i="1"/>
  <c r="A151" i="1" s="1"/>
  <c r="D151" i="1"/>
  <c r="E150" i="1"/>
  <c r="A150" i="1" s="1"/>
  <c r="D150" i="1"/>
  <c r="E149" i="1"/>
  <c r="A149" i="1" s="1"/>
  <c r="D149" i="1"/>
  <c r="E148" i="1"/>
  <c r="A148" i="1" s="1"/>
  <c r="D148" i="1"/>
  <c r="E147" i="1"/>
  <c r="A147" i="1" s="1"/>
  <c r="D147" i="1"/>
  <c r="E146" i="1"/>
  <c r="A146" i="1" s="1"/>
  <c r="D146" i="1"/>
  <c r="E145" i="1"/>
  <c r="A145" i="1" s="1"/>
  <c r="D145" i="1"/>
  <c r="E144" i="1"/>
  <c r="A144" i="1" s="1"/>
  <c r="D144" i="1"/>
  <c r="E143" i="1"/>
  <c r="A143" i="1" s="1"/>
  <c r="D143" i="1"/>
  <c r="E142" i="1"/>
  <c r="A142" i="1" s="1"/>
  <c r="D142" i="1"/>
  <c r="E141" i="1"/>
  <c r="A141" i="1" s="1"/>
  <c r="D141" i="1"/>
  <c r="E140" i="1"/>
  <c r="A140" i="1" s="1"/>
  <c r="D140" i="1"/>
  <c r="E139" i="1"/>
  <c r="A139" i="1" s="1"/>
  <c r="D139" i="1"/>
  <c r="E138" i="1"/>
  <c r="A138" i="1" s="1"/>
  <c r="D138" i="1"/>
  <c r="E137" i="1"/>
  <c r="A137" i="1" s="1"/>
  <c r="D137" i="1"/>
  <c r="E136" i="1"/>
  <c r="A136" i="1" s="1"/>
  <c r="D136" i="1"/>
  <c r="E135" i="1"/>
  <c r="A135" i="1" s="1"/>
  <c r="D135" i="1"/>
  <c r="E134" i="1"/>
  <c r="A134" i="1" s="1"/>
  <c r="D134" i="1"/>
  <c r="E133" i="1"/>
  <c r="A133" i="1" s="1"/>
  <c r="D133" i="1"/>
  <c r="E132" i="1"/>
  <c r="A132" i="1" s="1"/>
  <c r="D132" i="1"/>
  <c r="E131" i="1"/>
  <c r="A131" i="1" s="1"/>
  <c r="D131" i="1"/>
  <c r="E130" i="1"/>
  <c r="A130" i="1" s="1"/>
  <c r="D130" i="1"/>
  <c r="E129" i="1"/>
  <c r="A129" i="1" s="1"/>
  <c r="D129" i="1"/>
  <c r="E128" i="1"/>
  <c r="A128" i="1" s="1"/>
  <c r="D128" i="1"/>
  <c r="E127" i="1"/>
  <c r="A127" i="1" s="1"/>
  <c r="D127" i="1"/>
  <c r="E126" i="1"/>
  <c r="A126" i="1" s="1"/>
  <c r="D126" i="1"/>
  <c r="E125" i="1"/>
  <c r="A125" i="1" s="1"/>
  <c r="D125" i="1"/>
  <c r="E124" i="1"/>
  <c r="A124" i="1" s="1"/>
  <c r="D124" i="1"/>
  <c r="E123" i="1"/>
  <c r="A123" i="1" s="1"/>
  <c r="D123" i="1"/>
  <c r="E122" i="1"/>
  <c r="A122" i="1" s="1"/>
  <c r="D122" i="1"/>
  <c r="E121" i="1"/>
  <c r="A121" i="1" s="1"/>
  <c r="D121" i="1"/>
  <c r="E120" i="1"/>
  <c r="A120" i="1" s="1"/>
  <c r="D120" i="1"/>
  <c r="E119" i="1"/>
  <c r="A119" i="1" s="1"/>
  <c r="D119" i="1"/>
  <c r="E118" i="1"/>
  <c r="A118" i="1" s="1"/>
  <c r="D118" i="1"/>
  <c r="E117" i="1"/>
  <c r="A117" i="1" s="1"/>
  <c r="D117" i="1"/>
  <c r="E116" i="1"/>
  <c r="A116" i="1" s="1"/>
  <c r="D116" i="1"/>
  <c r="E115" i="1"/>
  <c r="A115" i="1" s="1"/>
  <c r="D115" i="1"/>
  <c r="E114" i="1"/>
  <c r="A114" i="1" s="1"/>
  <c r="D114" i="1"/>
  <c r="E113" i="1"/>
  <c r="A113" i="1" s="1"/>
  <c r="D113" i="1"/>
  <c r="E112" i="1"/>
  <c r="A112" i="1" s="1"/>
  <c r="D112" i="1"/>
  <c r="E111" i="1"/>
  <c r="A111" i="1" s="1"/>
  <c r="D111" i="1"/>
  <c r="E110" i="1"/>
  <c r="A110" i="1" s="1"/>
  <c r="D110" i="1"/>
  <c r="E109" i="1"/>
  <c r="A109" i="1" s="1"/>
  <c r="D109" i="1"/>
  <c r="E108" i="1"/>
  <c r="A108" i="1" s="1"/>
  <c r="D108" i="1"/>
  <c r="E107" i="1"/>
  <c r="A107" i="1" s="1"/>
  <c r="D107" i="1"/>
  <c r="E106" i="1"/>
  <c r="A106" i="1" s="1"/>
  <c r="D106" i="1"/>
  <c r="E105" i="1"/>
  <c r="A105" i="1" s="1"/>
  <c r="D105" i="1"/>
  <c r="E104" i="1"/>
  <c r="A104" i="1" s="1"/>
  <c r="D104" i="1"/>
  <c r="E103" i="1"/>
  <c r="A103" i="1" s="1"/>
  <c r="E102" i="1"/>
  <c r="A102" i="1" s="1"/>
  <c r="D102" i="1"/>
  <c r="E101" i="1"/>
  <c r="A101" i="1" s="1"/>
  <c r="D101" i="1"/>
  <c r="E100" i="1"/>
  <c r="A100" i="1" s="1"/>
  <c r="D100" i="1"/>
  <c r="E99" i="1"/>
  <c r="A99" i="1" s="1"/>
  <c r="D99" i="1"/>
  <c r="E98" i="1"/>
  <c r="A98" i="1" s="1"/>
  <c r="D98" i="1"/>
  <c r="E97" i="1"/>
  <c r="A97" i="1" s="1"/>
  <c r="D97" i="1"/>
  <c r="E96" i="1"/>
  <c r="A96" i="1" s="1"/>
  <c r="D96" i="1"/>
  <c r="E95" i="1"/>
  <c r="A95" i="1" s="1"/>
  <c r="D95" i="1"/>
  <c r="E94" i="1"/>
  <c r="A94" i="1" s="1"/>
  <c r="D94" i="1"/>
  <c r="E93" i="1"/>
  <c r="A93" i="1" s="1"/>
  <c r="D93" i="1"/>
  <c r="E92" i="1"/>
  <c r="A92" i="1" s="1"/>
  <c r="D92" i="1"/>
  <c r="E91" i="1"/>
  <c r="A91" i="1" s="1"/>
  <c r="D91" i="1"/>
  <c r="E90" i="1"/>
  <c r="A90" i="1" s="1"/>
  <c r="D90" i="1"/>
  <c r="E89" i="1"/>
  <c r="A89" i="1" s="1"/>
  <c r="E88" i="1"/>
  <c r="A88" i="1" s="1"/>
  <c r="D88" i="1"/>
  <c r="E87" i="1"/>
  <c r="A87" i="1" s="1"/>
  <c r="D87" i="1"/>
  <c r="E86" i="1"/>
  <c r="A86" i="1" s="1"/>
  <c r="D86" i="1"/>
  <c r="E85" i="1"/>
  <c r="A85" i="1" s="1"/>
  <c r="D85" i="1"/>
  <c r="E84" i="1"/>
  <c r="A84" i="1" s="1"/>
  <c r="D84" i="1"/>
  <c r="E83" i="1"/>
  <c r="A83" i="1" s="1"/>
  <c r="E82" i="1"/>
  <c r="A82" i="1" s="1"/>
  <c r="D82" i="1"/>
  <c r="E81" i="1"/>
  <c r="A81" i="1" s="1"/>
  <c r="D81" i="1"/>
  <c r="E80" i="1"/>
  <c r="A80" i="1" s="1"/>
  <c r="D80" i="1"/>
  <c r="E79" i="1"/>
  <c r="A79" i="1" s="1"/>
  <c r="D79" i="1"/>
  <c r="E78" i="1"/>
  <c r="A78" i="1" s="1"/>
  <c r="D78" i="1"/>
  <c r="E77" i="1"/>
  <c r="A77" i="1" s="1"/>
  <c r="D77" i="1"/>
  <c r="E76" i="1"/>
  <c r="A76" i="1" s="1"/>
  <c r="D76" i="1"/>
  <c r="E75" i="1"/>
  <c r="A75" i="1" s="1"/>
  <c r="D75" i="1"/>
  <c r="E74" i="1"/>
  <c r="A74" i="1" s="1"/>
  <c r="D74" i="1"/>
  <c r="E73" i="1"/>
  <c r="A73" i="1" s="1"/>
  <c r="D73" i="1"/>
  <c r="E72" i="1"/>
  <c r="A72" i="1" s="1"/>
  <c r="D72" i="1"/>
  <c r="E71" i="1"/>
  <c r="A71" i="1" s="1"/>
  <c r="D71" i="1"/>
  <c r="E70" i="1"/>
  <c r="A70" i="1" s="1"/>
  <c r="D70" i="1"/>
  <c r="E69" i="1"/>
  <c r="A69" i="1" s="1"/>
  <c r="D69" i="1"/>
  <c r="E68" i="1"/>
  <c r="A68" i="1" s="1"/>
  <c r="D68" i="1"/>
  <c r="E67" i="1"/>
  <c r="A67" i="1" s="1"/>
  <c r="D67" i="1"/>
  <c r="E66" i="1"/>
  <c r="A66" i="1" s="1"/>
  <c r="D66" i="1"/>
  <c r="E65" i="1"/>
  <c r="A65" i="1" s="1"/>
  <c r="D65" i="1"/>
  <c r="E64" i="1"/>
  <c r="A64" i="1" s="1"/>
  <c r="D64" i="1"/>
  <c r="E63" i="1"/>
  <c r="A63" i="1" s="1"/>
  <c r="D63" i="1"/>
  <c r="E62" i="1"/>
  <c r="A62" i="1" s="1"/>
  <c r="D62" i="1"/>
  <c r="E61" i="1"/>
  <c r="A61" i="1" s="1"/>
  <c r="D61" i="1"/>
  <c r="E60" i="1"/>
  <c r="A60" i="1" s="1"/>
  <c r="D60" i="1"/>
  <c r="E59" i="1"/>
  <c r="A59" i="1" s="1"/>
  <c r="D59" i="1"/>
  <c r="E58" i="1"/>
  <c r="A58" i="1" s="1"/>
  <c r="D58" i="1"/>
  <c r="E57" i="1"/>
  <c r="A57" i="1" s="1"/>
  <c r="D57" i="1"/>
  <c r="E56" i="1"/>
  <c r="A56" i="1" s="1"/>
  <c r="D56" i="1"/>
  <c r="E55" i="1"/>
  <c r="A55" i="1" s="1"/>
  <c r="D55" i="1"/>
  <c r="E54" i="1"/>
  <c r="A54" i="1" s="1"/>
  <c r="D54" i="1"/>
  <c r="E53" i="1"/>
  <c r="A53" i="1" s="1"/>
  <c r="D53" i="1"/>
  <c r="E52" i="1"/>
  <c r="A52" i="1" s="1"/>
  <c r="D52" i="1"/>
  <c r="E51" i="1"/>
  <c r="A51" i="1" s="1"/>
  <c r="D51" i="1"/>
  <c r="E50" i="1"/>
  <c r="A50" i="1" s="1"/>
  <c r="D50" i="1"/>
  <c r="E49" i="1"/>
  <c r="A49" i="1" s="1"/>
  <c r="D49" i="1"/>
  <c r="E48" i="1"/>
  <c r="A48" i="1" s="1"/>
  <c r="D48" i="1"/>
  <c r="E47" i="1"/>
  <c r="A47" i="1" s="1"/>
  <c r="D47" i="1"/>
  <c r="E46" i="1"/>
  <c r="A46" i="1" s="1"/>
  <c r="D46" i="1"/>
  <c r="E45" i="1"/>
  <c r="A45" i="1" s="1"/>
  <c r="E44" i="1"/>
  <c r="A44" i="1" s="1"/>
  <c r="D44" i="1"/>
  <c r="E43" i="1"/>
  <c r="A43" i="1" s="1"/>
  <c r="D43" i="1"/>
  <c r="E42" i="1"/>
  <c r="A42" i="1" s="1"/>
  <c r="D42" i="1"/>
  <c r="E41" i="1"/>
  <c r="A41" i="1" s="1"/>
  <c r="D41" i="1"/>
  <c r="E40" i="1"/>
  <c r="A40" i="1" s="1"/>
  <c r="D40" i="1"/>
  <c r="E39" i="1"/>
  <c r="A39" i="1" s="1"/>
  <c r="D39" i="1"/>
  <c r="E38" i="1"/>
  <c r="A38" i="1" s="1"/>
  <c r="D38" i="1"/>
  <c r="E37" i="1"/>
  <c r="A37" i="1" s="1"/>
  <c r="D37" i="1"/>
  <c r="E36" i="1"/>
  <c r="A36" i="1" s="1"/>
  <c r="D36" i="1"/>
  <c r="E35" i="1"/>
  <c r="A35" i="1" s="1"/>
  <c r="D35" i="1"/>
  <c r="E34" i="1"/>
  <c r="A34" i="1" s="1"/>
  <c r="D34" i="1"/>
  <c r="E33" i="1"/>
  <c r="A33" i="1" s="1"/>
  <c r="D33" i="1"/>
  <c r="E32" i="1"/>
  <c r="A32" i="1" s="1"/>
  <c r="D32" i="1"/>
  <c r="E31" i="1"/>
  <c r="A31" i="1" s="1"/>
  <c r="D31" i="1"/>
  <c r="E30" i="1"/>
  <c r="A30" i="1" s="1"/>
  <c r="D30" i="1"/>
  <c r="E29" i="1"/>
  <c r="A29" i="1" s="1"/>
  <c r="D29" i="1"/>
  <c r="E28" i="1"/>
  <c r="A28" i="1" s="1"/>
  <c r="D28" i="1"/>
  <c r="E27" i="1"/>
  <c r="A27" i="1" s="1"/>
  <c r="D27" i="1"/>
  <c r="E26" i="1"/>
  <c r="A26" i="1" s="1"/>
  <c r="D26" i="1"/>
  <c r="E25" i="1"/>
  <c r="A25" i="1" s="1"/>
  <c r="D25" i="1"/>
  <c r="E24" i="1"/>
  <c r="A24" i="1" s="1"/>
  <c r="D24" i="1"/>
  <c r="E23" i="1"/>
  <c r="A23" i="1" s="1"/>
  <c r="D23" i="1"/>
  <c r="E22" i="1"/>
  <c r="A22" i="1" s="1"/>
  <c r="D22" i="1"/>
  <c r="E21" i="1"/>
  <c r="A21" i="1" s="1"/>
  <c r="D21" i="1"/>
  <c r="E20" i="1"/>
  <c r="A20" i="1" s="1"/>
  <c r="D20" i="1"/>
  <c r="E19" i="1"/>
  <c r="A19" i="1" s="1"/>
  <c r="D19" i="1"/>
  <c r="E18" i="1"/>
  <c r="A18" i="1" s="1"/>
  <c r="D18" i="1"/>
  <c r="E17" i="1"/>
  <c r="A17" i="1" s="1"/>
  <c r="D17" i="1"/>
  <c r="E16" i="1"/>
  <c r="A16" i="1" s="1"/>
  <c r="D16" i="1"/>
  <c r="E15" i="1"/>
  <c r="A15" i="1" s="1"/>
  <c r="D15" i="1"/>
  <c r="E14" i="1"/>
  <c r="A14" i="1" s="1"/>
  <c r="D14" i="1"/>
  <c r="E13" i="1"/>
  <c r="A13" i="1" s="1"/>
  <c r="D13" i="1"/>
  <c r="E12" i="1"/>
  <c r="A12" i="1" s="1"/>
  <c r="D12" i="1"/>
  <c r="E11" i="1"/>
  <c r="A11" i="1" s="1"/>
  <c r="D11" i="1"/>
  <c r="E10" i="1"/>
  <c r="A10" i="1" s="1"/>
  <c r="D10" i="1"/>
  <c r="D9" i="1"/>
  <c r="E8" i="1"/>
  <c r="A8" i="1" s="1"/>
  <c r="D8" i="1"/>
  <c r="E7" i="1"/>
  <c r="A7" i="1" s="1"/>
  <c r="D7" i="1"/>
  <c r="E6" i="1"/>
  <c r="A6" i="1" s="1"/>
  <c r="D6" i="1"/>
  <c r="E5" i="1"/>
  <c r="A5" i="1" s="1"/>
  <c r="D5" i="1"/>
  <c r="E4" i="1"/>
  <c r="A4" i="1" s="1"/>
  <c r="D4" i="1"/>
  <c r="E3" i="1"/>
  <c r="A3" i="1" s="1"/>
  <c r="D3" i="1"/>
  <c r="D2" i="1"/>
  <c r="E2" i="1"/>
  <c r="A2" i="1" s="1"/>
</calcChain>
</file>

<file path=xl/sharedStrings.xml><?xml version="1.0" encoding="utf-8"?>
<sst xmlns="http://schemas.openxmlformats.org/spreadsheetml/2006/main" count="6970" uniqueCount="383">
  <si>
    <t>Country Name</t>
  </si>
  <si>
    <t>E-Government Index</t>
  </si>
  <si>
    <t>GNI</t>
  </si>
  <si>
    <t>Population</t>
  </si>
  <si>
    <t>TII</t>
  </si>
  <si>
    <t>E-Participation Index</t>
  </si>
  <si>
    <t>Online Service Index</t>
  </si>
  <si>
    <t>Human Capital Index</t>
  </si>
  <si>
    <t>Telecommunication Infrastructure Index</t>
  </si>
  <si>
    <t>Country</t>
  </si>
  <si>
    <t>GNI per capita (PPP) (Int$)</t>
  </si>
  <si>
    <t>Population (millions)</t>
  </si>
  <si>
    <t>Denmark</t>
  </si>
  <si>
    <t>Ukraine</t>
  </si>
  <si>
    <t xml:space="preserve">South Korea </t>
  </si>
  <si>
    <t xml:space="preserve">Australia </t>
  </si>
  <si>
    <t>U.A.E.</t>
  </si>
  <si>
    <t>Estonia</t>
  </si>
  <si>
    <t xml:space="preserve">Japan </t>
  </si>
  <si>
    <t xml:space="preserve">Denmark </t>
  </si>
  <si>
    <t xml:space="preserve">Iceland </t>
  </si>
  <si>
    <t xml:space="preserve">Kuwait </t>
  </si>
  <si>
    <t>Singapore</t>
  </si>
  <si>
    <t xml:space="preserve">Estonia </t>
  </si>
  <si>
    <t xml:space="preserve">Finland </t>
  </si>
  <si>
    <t>South Korea</t>
  </si>
  <si>
    <t xml:space="preserve">Saudi Arabia </t>
  </si>
  <si>
    <t xml:space="preserve">Netherlands </t>
  </si>
  <si>
    <t>Iceland</t>
  </si>
  <si>
    <t xml:space="preserve">Germany </t>
  </si>
  <si>
    <t xml:space="preserve">Qatar </t>
  </si>
  <si>
    <t>Saudi Arabia</t>
  </si>
  <si>
    <t>U.K.</t>
  </si>
  <si>
    <t xml:space="preserve">Singapore </t>
  </si>
  <si>
    <t xml:space="preserve">New Zealand </t>
  </si>
  <si>
    <t>Liechtenstein</t>
  </si>
  <si>
    <t>Australia</t>
  </si>
  <si>
    <t>Luxembourg</t>
  </si>
  <si>
    <t>Finland</t>
  </si>
  <si>
    <t>Netherlands</t>
  </si>
  <si>
    <t xml:space="preserve">Kazakhstan </t>
  </si>
  <si>
    <t xml:space="preserve">U.A.E. </t>
  </si>
  <si>
    <t xml:space="preserve">Bahrain </t>
  </si>
  <si>
    <t xml:space="preserve">U.S.A. </t>
  </si>
  <si>
    <t xml:space="preserve">China </t>
  </si>
  <si>
    <t xml:space="preserve">Brunei Darussalam </t>
  </si>
  <si>
    <t>Germany</t>
  </si>
  <si>
    <t xml:space="preserve">Argentina </t>
  </si>
  <si>
    <t xml:space="preserve">Sweden </t>
  </si>
  <si>
    <t>Japan</t>
  </si>
  <si>
    <t>Turkiye</t>
  </si>
  <si>
    <t>Malaysia</t>
  </si>
  <si>
    <t>Sweden</t>
  </si>
  <si>
    <t xml:space="preserve">Greece </t>
  </si>
  <si>
    <t>Norway</t>
  </si>
  <si>
    <t xml:space="preserve">Ireland </t>
  </si>
  <si>
    <t>Austria</t>
  </si>
  <si>
    <t>New Zealand</t>
  </si>
  <si>
    <t xml:space="preserve">Canada </t>
  </si>
  <si>
    <t xml:space="preserve">Norway </t>
  </si>
  <si>
    <t>Spain</t>
  </si>
  <si>
    <t xml:space="preserve">Croatia </t>
  </si>
  <si>
    <t xml:space="preserve">Israel </t>
  </si>
  <si>
    <t>Bahrain</t>
  </si>
  <si>
    <t>U.S.A.</t>
  </si>
  <si>
    <t xml:space="preserve">Malta </t>
  </si>
  <si>
    <t>Ireland</t>
  </si>
  <si>
    <t>Serbia</t>
  </si>
  <si>
    <t>Lithuania</t>
  </si>
  <si>
    <t xml:space="preserve">Ecuador </t>
  </si>
  <si>
    <t xml:space="preserve">Brazil </t>
  </si>
  <si>
    <t xml:space="preserve">Switzerland </t>
  </si>
  <si>
    <t xml:space="preserve">Spain </t>
  </si>
  <si>
    <t xml:space="preserve">Oman </t>
  </si>
  <si>
    <t>Israel</t>
  </si>
  <si>
    <t xml:space="preserve">Latvia </t>
  </si>
  <si>
    <t>Kazakhstan</t>
  </si>
  <si>
    <t xml:space="preserve">South Africa </t>
  </si>
  <si>
    <t xml:space="preserve">Lithuania </t>
  </si>
  <si>
    <t>Uruguay</t>
  </si>
  <si>
    <t>Libya</t>
  </si>
  <si>
    <t>Switzerland</t>
  </si>
  <si>
    <t xml:space="preserve">Uruguay </t>
  </si>
  <si>
    <t>Malta</t>
  </si>
  <si>
    <t xml:space="preserve">Armenia </t>
  </si>
  <si>
    <t xml:space="preserve">Poland </t>
  </si>
  <si>
    <t>Latvia</t>
  </si>
  <si>
    <t xml:space="preserve">Chile </t>
  </si>
  <si>
    <t xml:space="preserve">Hungary </t>
  </si>
  <si>
    <t>Chile</t>
  </si>
  <si>
    <t xml:space="preserve">Cyprus </t>
  </si>
  <si>
    <t>Croatia</t>
  </si>
  <si>
    <t xml:space="preserve">Slovenia </t>
  </si>
  <si>
    <t>Russia</t>
  </si>
  <si>
    <t>Slovenia</t>
  </si>
  <si>
    <t>Georgia</t>
  </si>
  <si>
    <t>France</t>
  </si>
  <si>
    <t>China</t>
  </si>
  <si>
    <t xml:space="preserve">Indonesia </t>
  </si>
  <si>
    <t xml:space="preserve">San Marino </t>
  </si>
  <si>
    <t>Greece</t>
  </si>
  <si>
    <t>Poland</t>
  </si>
  <si>
    <t>Cyprus</t>
  </si>
  <si>
    <t xml:space="preserve">Mongolia </t>
  </si>
  <si>
    <t xml:space="preserve">Czechia </t>
  </si>
  <si>
    <t xml:space="preserve">Thailand </t>
  </si>
  <si>
    <t xml:space="preserve">Belgium </t>
  </si>
  <si>
    <t>South Africa</t>
  </si>
  <si>
    <t xml:space="preserve">Peru </t>
  </si>
  <si>
    <t xml:space="preserve">Italy </t>
  </si>
  <si>
    <t>Oman</t>
  </si>
  <si>
    <t>Argentina</t>
  </si>
  <si>
    <t xml:space="preserve">Andorra </t>
  </si>
  <si>
    <t xml:space="preserve">Rwanda </t>
  </si>
  <si>
    <t xml:space="preserve">Portugal </t>
  </si>
  <si>
    <t>Montenegro</t>
  </si>
  <si>
    <t xml:space="preserve">India </t>
  </si>
  <si>
    <t xml:space="preserve">Russia </t>
  </si>
  <si>
    <t>Data not available</t>
  </si>
  <si>
    <t>Mongolia</t>
  </si>
  <si>
    <t xml:space="preserve">Albania </t>
  </si>
  <si>
    <t>Czechia</t>
  </si>
  <si>
    <t>Canada</t>
  </si>
  <si>
    <t xml:space="preserve">Mexico </t>
  </si>
  <si>
    <t>Armenia</t>
  </si>
  <si>
    <t xml:space="preserve">Colombia </t>
  </si>
  <si>
    <t xml:space="preserve">Monaco </t>
  </si>
  <si>
    <t>Portugal</t>
  </si>
  <si>
    <t xml:space="preserve">Philippines </t>
  </si>
  <si>
    <t xml:space="preserve">Bulgaria </t>
  </si>
  <si>
    <t>Brazil</t>
  </si>
  <si>
    <t xml:space="preserve">Mauritius </t>
  </si>
  <si>
    <t>Italy</t>
  </si>
  <si>
    <t xml:space="preserve">Moldova </t>
  </si>
  <si>
    <t xml:space="preserve">Belarus </t>
  </si>
  <si>
    <t>Thailand</t>
  </si>
  <si>
    <t xml:space="preserve">Costa Rica </t>
  </si>
  <si>
    <t>Qatar</t>
  </si>
  <si>
    <t xml:space="preserve">Slovakia </t>
  </si>
  <si>
    <t>Bulgaria</t>
  </si>
  <si>
    <t xml:space="preserve">Kenya </t>
  </si>
  <si>
    <t>Belgium</t>
  </si>
  <si>
    <t xml:space="preserve">Uzbekistan </t>
  </si>
  <si>
    <t>Iran</t>
  </si>
  <si>
    <t>Peru</t>
  </si>
  <si>
    <t xml:space="preserve">Romania </t>
  </si>
  <si>
    <t>Hungary</t>
  </si>
  <si>
    <t xml:space="preserve">Barbados </t>
  </si>
  <si>
    <t>Slovakia</t>
  </si>
  <si>
    <t xml:space="preserve">Marshall Islands </t>
  </si>
  <si>
    <t>Costa Rica</t>
  </si>
  <si>
    <t>Albania</t>
  </si>
  <si>
    <t>Uzbekistan</t>
  </si>
  <si>
    <t xml:space="preserve">Dominican Republic </t>
  </si>
  <si>
    <t xml:space="preserve">Jordan </t>
  </si>
  <si>
    <t xml:space="preserve">Seychelles </t>
  </si>
  <si>
    <t>Indonesia</t>
  </si>
  <si>
    <t xml:space="preserve">Morocco </t>
  </si>
  <si>
    <t>Mexico</t>
  </si>
  <si>
    <t xml:space="preserve">Kyrgyzstan </t>
  </si>
  <si>
    <t>Kuwait</t>
  </si>
  <si>
    <t>Ecuador</t>
  </si>
  <si>
    <t xml:space="preserve">Azerbaijan </t>
  </si>
  <si>
    <t xml:space="preserve">Grenada </t>
  </si>
  <si>
    <t xml:space="preserve">Viet Nam </t>
  </si>
  <si>
    <t>Colombia</t>
  </si>
  <si>
    <t xml:space="preserve">Bangladesh </t>
  </si>
  <si>
    <t xml:space="preserve">Palau </t>
  </si>
  <si>
    <t>Moldova</t>
  </si>
  <si>
    <t xml:space="preserve">Suriname </t>
  </si>
  <si>
    <t>Vietnam</t>
  </si>
  <si>
    <t xml:space="preserve">Tonga </t>
  </si>
  <si>
    <t>Romania</t>
  </si>
  <si>
    <t xml:space="preserve">Paraguay </t>
  </si>
  <si>
    <t xml:space="preserve">St Kitts and Nevis </t>
  </si>
  <si>
    <t>Philippines</t>
  </si>
  <si>
    <t>Azerbaijan</t>
  </si>
  <si>
    <t xml:space="preserve">Egypt </t>
  </si>
  <si>
    <t xml:space="preserve">Bahamas </t>
  </si>
  <si>
    <t>Brunei Darussalam</t>
  </si>
  <si>
    <t xml:space="preserve">Botswana </t>
  </si>
  <si>
    <t>Mauritius</t>
  </si>
  <si>
    <t>North Macedonia</t>
  </si>
  <si>
    <t xml:space="preserve">Pakistan </t>
  </si>
  <si>
    <t xml:space="preserve">Fiji </t>
  </si>
  <si>
    <t>Belarus</t>
  </si>
  <si>
    <t xml:space="preserve">Panama </t>
  </si>
  <si>
    <t>Kyrgyzstan</t>
  </si>
  <si>
    <t>Panama</t>
  </si>
  <si>
    <t xml:space="preserve">Bosnia and Herzegovina </t>
  </si>
  <si>
    <t xml:space="preserve">Cabo Verde </t>
  </si>
  <si>
    <t>Paraguay</t>
  </si>
  <si>
    <t xml:space="preserve">Tunisia </t>
  </si>
  <si>
    <t>Monaco</t>
  </si>
  <si>
    <t xml:space="preserve">Ghana </t>
  </si>
  <si>
    <t>Bahamas</t>
  </si>
  <si>
    <t xml:space="preserve">Guatemala </t>
  </si>
  <si>
    <t>Dominican Republic</t>
  </si>
  <si>
    <t xml:space="preserve">Gabon </t>
  </si>
  <si>
    <t>Trinidad and Tobago</t>
  </si>
  <si>
    <t xml:space="preserve">Antigua and Barbuda </t>
  </si>
  <si>
    <t>Tunisia</t>
  </si>
  <si>
    <t xml:space="preserve">Guinea </t>
  </si>
  <si>
    <t>Maldives</t>
  </si>
  <si>
    <t xml:space="preserve">Trinidad and Tobago </t>
  </si>
  <si>
    <t xml:space="preserve">Bhutan </t>
  </si>
  <si>
    <t>Andorra</t>
  </si>
  <si>
    <t xml:space="preserve">Cuba </t>
  </si>
  <si>
    <t xml:space="preserve">Algeria </t>
  </si>
  <si>
    <t>Jordan</t>
  </si>
  <si>
    <t xml:space="preserve">Venezuela </t>
  </si>
  <si>
    <t>Morocco</t>
  </si>
  <si>
    <t xml:space="preserve">Uganda </t>
  </si>
  <si>
    <t>Barbados</t>
  </si>
  <si>
    <t>Seychelles</t>
  </si>
  <si>
    <t xml:space="preserve">Bolivia </t>
  </si>
  <si>
    <t>Fiji</t>
  </si>
  <si>
    <t xml:space="preserve">Jamaica </t>
  </si>
  <si>
    <t>Egypt</t>
  </si>
  <si>
    <t xml:space="preserve">Lebanon </t>
  </si>
  <si>
    <t xml:space="preserve">Sri Lanka </t>
  </si>
  <si>
    <t>Jamaica</t>
  </si>
  <si>
    <t>India</t>
  </si>
  <si>
    <t xml:space="preserve">St Vincent and the Grenadines </t>
  </si>
  <si>
    <t>Eswatini</t>
  </si>
  <si>
    <t>Sri Lanka</t>
  </si>
  <si>
    <t xml:space="preserve">Vanuatu </t>
  </si>
  <si>
    <t xml:space="preserve">Iran </t>
  </si>
  <si>
    <t>Bolivia</t>
  </si>
  <si>
    <t xml:space="preserve">Malawi </t>
  </si>
  <si>
    <t>Bangladesh</t>
  </si>
  <si>
    <t xml:space="preserve">Togo </t>
  </si>
  <si>
    <t xml:space="preserve">Nepal </t>
  </si>
  <si>
    <t>San Marino</t>
  </si>
  <si>
    <t>Bhutan</t>
  </si>
  <si>
    <t xml:space="preserve">Nigeria </t>
  </si>
  <si>
    <t xml:space="preserve">Turkmenistan </t>
  </si>
  <si>
    <t xml:space="preserve">Cambodia </t>
  </si>
  <si>
    <t>Grenada</t>
  </si>
  <si>
    <t>Antigua and Barbuda</t>
  </si>
  <si>
    <t>Côte d'Ivoire</t>
  </si>
  <si>
    <t>Suriname</t>
  </si>
  <si>
    <t xml:space="preserve">Cameroon </t>
  </si>
  <si>
    <t xml:space="preserve">Tajikistan </t>
  </si>
  <si>
    <t xml:space="preserve">El Salvador </t>
  </si>
  <si>
    <t>Bosnia and Herzegovina</t>
  </si>
  <si>
    <t xml:space="preserve">Senegal </t>
  </si>
  <si>
    <t xml:space="preserve">Benin </t>
  </si>
  <si>
    <t>Ghana</t>
  </si>
  <si>
    <t>Kenya</t>
  </si>
  <si>
    <t xml:space="preserve">Samoa </t>
  </si>
  <si>
    <t>St Kitts and Nevis</t>
  </si>
  <si>
    <t>Cabo Verde</t>
  </si>
  <si>
    <t xml:space="preserve">Zambia </t>
  </si>
  <si>
    <t xml:space="preserve">Namibia </t>
  </si>
  <si>
    <t xml:space="preserve">Kiribati </t>
  </si>
  <si>
    <t>Botswana</t>
  </si>
  <si>
    <t xml:space="preserve">Solomon Islands </t>
  </si>
  <si>
    <t>Namibia</t>
  </si>
  <si>
    <t>El Salvador</t>
  </si>
  <si>
    <t xml:space="preserve">Guyana </t>
  </si>
  <si>
    <t>Algeria</t>
  </si>
  <si>
    <t xml:space="preserve">Iraq </t>
  </si>
  <si>
    <t>St Vincent and the Grenadines</t>
  </si>
  <si>
    <t>Rwanda</t>
  </si>
  <si>
    <t xml:space="preserve">Tanzania </t>
  </si>
  <si>
    <t xml:space="preserve">St Lucia </t>
  </si>
  <si>
    <t>Nepal</t>
  </si>
  <si>
    <t>Cambodia</t>
  </si>
  <si>
    <t xml:space="preserve">Dominica </t>
  </si>
  <si>
    <t>Gabon</t>
  </si>
  <si>
    <t xml:space="preserve">Sao Tome and Principe </t>
  </si>
  <si>
    <t>Guatemala</t>
  </si>
  <si>
    <t xml:space="preserve">Myanmar </t>
  </si>
  <si>
    <t>Tajikistan</t>
  </si>
  <si>
    <t xml:space="preserve">Sierra Leone </t>
  </si>
  <si>
    <t>Timor-Leste</t>
  </si>
  <si>
    <t xml:space="preserve">Honduras </t>
  </si>
  <si>
    <t>Lebanon</t>
  </si>
  <si>
    <t>Dominica</t>
  </si>
  <si>
    <t xml:space="preserve">Nicaragua </t>
  </si>
  <si>
    <t xml:space="preserve">Micronesia </t>
  </si>
  <si>
    <t>Guyana</t>
  </si>
  <si>
    <t xml:space="preserve">Chad </t>
  </si>
  <si>
    <t>Vanuatu</t>
  </si>
  <si>
    <t>Zambia</t>
  </si>
  <si>
    <t xml:space="preserve">Nauru </t>
  </si>
  <si>
    <t>Venezuela</t>
  </si>
  <si>
    <t xml:space="preserve">Madagascar </t>
  </si>
  <si>
    <t>Nicaragua</t>
  </si>
  <si>
    <t>St Lucia</t>
  </si>
  <si>
    <t xml:space="preserve">Zimbabwe </t>
  </si>
  <si>
    <t xml:space="preserve">Mauritania </t>
  </si>
  <si>
    <t>Tonga</t>
  </si>
  <si>
    <t xml:space="preserve">Belize </t>
  </si>
  <si>
    <t>Senegal</t>
  </si>
  <si>
    <t xml:space="preserve">Tuvalu </t>
  </si>
  <si>
    <t>Pakistan</t>
  </si>
  <si>
    <t>Palau</t>
  </si>
  <si>
    <t>Laos</t>
  </si>
  <si>
    <t>Myanmar</t>
  </si>
  <si>
    <t xml:space="preserve">Somalia </t>
  </si>
  <si>
    <t xml:space="preserve">Angola </t>
  </si>
  <si>
    <t>Cuba</t>
  </si>
  <si>
    <t xml:space="preserve">Mozambique </t>
  </si>
  <si>
    <t>Samoa</t>
  </si>
  <si>
    <t>Belize</t>
  </si>
  <si>
    <t xml:space="preserve">Mali </t>
  </si>
  <si>
    <t>Honduras</t>
  </si>
  <si>
    <t>Marshall Islands</t>
  </si>
  <si>
    <t xml:space="preserve">Guinea-Bissau </t>
  </si>
  <si>
    <t>Nigeria</t>
  </si>
  <si>
    <t>Turkmenistan</t>
  </si>
  <si>
    <t>Benin</t>
  </si>
  <si>
    <t xml:space="preserve">Democratic Republic of the Congo </t>
  </si>
  <si>
    <t>Kiribati</t>
  </si>
  <si>
    <t>Iraq</t>
  </si>
  <si>
    <t>Zimbabwe</t>
  </si>
  <si>
    <t xml:space="preserve">Equatorial Guinea </t>
  </si>
  <si>
    <t>Uganda</t>
  </si>
  <si>
    <t xml:space="preserve">Ethiopia </t>
  </si>
  <si>
    <t>Nauru</t>
  </si>
  <si>
    <t xml:space="preserve">North Korea </t>
  </si>
  <si>
    <t xml:space="preserve">Lesotho </t>
  </si>
  <si>
    <t xml:space="preserve">P.N.G. </t>
  </si>
  <si>
    <t>Tanzania</t>
  </si>
  <si>
    <t xml:space="preserve">Burkina Faso </t>
  </si>
  <si>
    <t>Sao Tome and Principe</t>
  </si>
  <si>
    <t>Syria</t>
  </si>
  <si>
    <t>Cameroon</t>
  </si>
  <si>
    <t xml:space="preserve">Burundi </t>
  </si>
  <si>
    <t xml:space="preserve">Sudan </t>
  </si>
  <si>
    <t>Angola</t>
  </si>
  <si>
    <t>Lesotho</t>
  </si>
  <si>
    <t>Tuvalu</t>
  </si>
  <si>
    <t xml:space="preserve">Congo </t>
  </si>
  <si>
    <t xml:space="preserve">Gambia </t>
  </si>
  <si>
    <t xml:space="preserve">Djibouti </t>
  </si>
  <si>
    <t>Guinea</t>
  </si>
  <si>
    <t>Togo</t>
  </si>
  <si>
    <t xml:space="preserve">Niger </t>
  </si>
  <si>
    <t>Malawi</t>
  </si>
  <si>
    <t xml:space="preserve">Syria </t>
  </si>
  <si>
    <t>Solomon Islands</t>
  </si>
  <si>
    <t>Mauritania</t>
  </si>
  <si>
    <t>Congo</t>
  </si>
  <si>
    <t xml:space="preserve">Liberia </t>
  </si>
  <si>
    <t>Micronesia</t>
  </si>
  <si>
    <t xml:space="preserve">Comoros </t>
  </si>
  <si>
    <t>Madagascar</t>
  </si>
  <si>
    <t>Ethiopia</t>
  </si>
  <si>
    <t xml:space="preserve">Yemen </t>
  </si>
  <si>
    <t>Guinea-Bissau</t>
  </si>
  <si>
    <t>P.N.G.</t>
  </si>
  <si>
    <t>Sierra Leone</t>
  </si>
  <si>
    <t>Mali</t>
  </si>
  <si>
    <t>Djibouti</t>
  </si>
  <si>
    <t>Burkina Faso</t>
  </si>
  <si>
    <t xml:space="preserve">Eritrea </t>
  </si>
  <si>
    <t>Equatorial Guinea</t>
  </si>
  <si>
    <t>Afghanistan</t>
  </si>
  <si>
    <t>Mozambique</t>
  </si>
  <si>
    <t xml:space="preserve">Haiti </t>
  </si>
  <si>
    <t>Sudan</t>
  </si>
  <si>
    <t>South Sudan</t>
  </si>
  <si>
    <t>Democratic Republic of the Congo</t>
  </si>
  <si>
    <t>Comoros</t>
  </si>
  <si>
    <t>Gambia</t>
  </si>
  <si>
    <t>North Korea</t>
  </si>
  <si>
    <t>Liberia</t>
  </si>
  <si>
    <t xml:space="preserve">C.A.R. </t>
  </si>
  <si>
    <t>Burundi</t>
  </si>
  <si>
    <t>Yemen</t>
  </si>
  <si>
    <t>Haiti</t>
  </si>
  <si>
    <t>Niger</t>
  </si>
  <si>
    <t>Chad</t>
  </si>
  <si>
    <t>Eritrea</t>
  </si>
  <si>
    <t>Somalia</t>
  </si>
  <si>
    <t>C.A.R.</t>
  </si>
  <si>
    <t>OSI</t>
  </si>
  <si>
    <t>VH</t>
  </si>
  <si>
    <t/>
  </si>
  <si>
    <t>hci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</si>
</sst>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2" fontId="2" fillId="4" borderId="0" xfId="0" applyNumberFormat="1" applyFont="1" applyFill="1"/>
    <xf numFmtId="2" fontId="0" fillId="0" borderId="0" xfId="0" applyNumberFormat="1"/>
    <xf numFmtId="0" fontId="0" fillId="0" borderId="1" xfId="0" applyBorder="1"/>
    <xf numFmtId="4" fontId="0" fillId="0" borderId="0" xfId="0" applyNumberFormat="1"/>
    <xf numFmtId="2" fontId="1" fillId="0" borderId="0" xfId="0" applyNumberFormat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FEFF"/>
      <color rgb="FFFF7E79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07676833254392E-2"/>
          <c:y val="9.6618886632550888E-2"/>
          <c:w val="0.91356821570458457"/>
          <c:h val="0.79725871561955797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19050"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2F8EA">
                  <a:alpha val="35000"/>
                </a:srgbClr>
              </a:solidFill>
              <a:ln w="19050" cap="flat" cmpd="sng" algn="ctr">
                <a:solidFill>
                  <a:srgbClr val="02F8E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69-5E4F-B522-B57E7094EDF6}"/>
              </c:ext>
            </c:extLst>
          </c:dPt>
          <c:dPt>
            <c:idx val="1"/>
            <c:invertIfNegative val="0"/>
            <c:bubble3D val="0"/>
            <c:spPr>
              <a:solidFill>
                <a:srgbClr val="10C9D6">
                  <a:alpha val="35000"/>
                </a:srgbClr>
              </a:solidFill>
              <a:ln w="19050" cap="flat" cmpd="sng" algn="ctr">
                <a:solidFill>
                  <a:srgbClr val="10C9D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69-5E4F-B522-B57E7094EDF6}"/>
              </c:ext>
            </c:extLst>
          </c:dPt>
          <c:dPt>
            <c:idx val="2"/>
            <c:invertIfNegative val="0"/>
            <c:bubble3D val="0"/>
            <c:spPr>
              <a:solidFill>
                <a:srgbClr val="07E7E3">
                  <a:alpha val="35000"/>
                </a:srgbClr>
              </a:solidFill>
              <a:ln w="19050" cap="flat" cmpd="sng" algn="ctr">
                <a:solidFill>
                  <a:srgbClr val="07E7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69-5E4F-B522-B57E7094EDF6}"/>
              </c:ext>
            </c:extLst>
          </c:dPt>
          <c:dPt>
            <c:idx val="3"/>
            <c:invertIfNegative val="0"/>
            <c:bubble3D val="0"/>
            <c:spPr>
              <a:solidFill>
                <a:srgbClr val="05EEE6">
                  <a:alpha val="35000"/>
                </a:srgbClr>
              </a:solidFill>
              <a:ln w="19050" cap="flat" cmpd="sng" algn="ctr">
                <a:solidFill>
                  <a:srgbClr val="05EEE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69-5E4F-B522-B57E7094EDF6}"/>
              </c:ext>
            </c:extLst>
          </c:dPt>
          <c:dPt>
            <c:idx val="4"/>
            <c:invertIfNegative val="0"/>
            <c:bubble3D val="0"/>
            <c:spPr>
              <a:solidFill>
                <a:srgbClr val="01FCEC">
                  <a:alpha val="35000"/>
                </a:srgbClr>
              </a:solidFill>
              <a:ln w="19050" cap="flat" cmpd="sng" algn="ctr">
                <a:solidFill>
                  <a:srgbClr val="01FCE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69-5E4F-B522-B57E7094EDF6}"/>
              </c:ext>
            </c:extLst>
          </c:dPt>
          <c:dPt>
            <c:idx val="5"/>
            <c:invertIfNegative val="0"/>
            <c:bubble3D val="0"/>
            <c:spPr>
              <a:solidFill>
                <a:srgbClr val="09DFE0">
                  <a:alpha val="35000"/>
                </a:srgbClr>
              </a:solidFill>
              <a:ln w="19050" cap="flat" cmpd="sng" algn="ctr">
                <a:solidFill>
                  <a:srgbClr val="09DFE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69-5E4F-B522-B57E7094EDF6}"/>
              </c:ext>
            </c:extLst>
          </c:dPt>
          <c:dPt>
            <c:idx val="6"/>
            <c:invertIfNegative val="0"/>
            <c:bubble3D val="0"/>
            <c:spPr>
              <a:solidFill>
                <a:srgbClr val="0FCCD8">
                  <a:alpha val="35000"/>
                </a:srgbClr>
              </a:solidFill>
              <a:ln w="19050" cap="flat" cmpd="sng" algn="ctr">
                <a:solidFill>
                  <a:srgbClr val="0FCCD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69-5E4F-B522-B57E7094EDF6}"/>
              </c:ext>
            </c:extLst>
          </c:dPt>
          <c:dPt>
            <c:idx val="7"/>
            <c:invertIfNegative val="0"/>
            <c:bubble3D val="0"/>
            <c:spPr>
              <a:solidFill>
                <a:srgbClr val="1D9DC4">
                  <a:alpha val="35000"/>
                </a:srgbClr>
              </a:solidFill>
              <a:ln w="19050" cap="flat" cmpd="sng" algn="ctr">
                <a:solidFill>
                  <a:srgbClr val="1D9DC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69-5E4F-B522-B57E7094EDF6}"/>
              </c:ext>
            </c:extLst>
          </c:dPt>
          <c:dPt>
            <c:idx val="8"/>
            <c:invertIfNegative val="0"/>
            <c:bubble3D val="0"/>
            <c:spPr>
              <a:solidFill>
                <a:srgbClr val="0CD5DB">
                  <a:alpha val="35000"/>
                </a:srgbClr>
              </a:solidFill>
              <a:ln w="19050" cap="flat" cmpd="sng" algn="ctr">
                <a:solidFill>
                  <a:srgbClr val="0CD5D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069-5E4F-B522-B57E7094EDF6}"/>
              </c:ext>
            </c:extLst>
          </c:dPt>
          <c:dPt>
            <c:idx val="9"/>
            <c:invertIfNegative val="0"/>
            <c:bubble3D val="0"/>
            <c:spPr>
              <a:solidFill>
                <a:srgbClr val="11C6D5">
                  <a:alpha val="35000"/>
                </a:srgbClr>
              </a:solidFill>
              <a:ln w="19050" cap="flat" cmpd="sng" algn="ctr">
                <a:solidFill>
                  <a:srgbClr val="11C6D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069-5E4F-B522-B57E7094EDF6}"/>
              </c:ext>
            </c:extLst>
          </c:dPt>
          <c:dPt>
            <c:idx val="10"/>
            <c:invertIfNegative val="0"/>
            <c:bubble3D val="0"/>
            <c:spPr>
              <a:solidFill>
                <a:srgbClr val="00FFED">
                  <a:alpha val="35000"/>
                </a:srgbClr>
              </a:solidFill>
              <a:ln w="19050" cap="flat" cmpd="sng" algn="ctr">
                <a:solidFill>
                  <a:srgbClr val="00FF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069-5E4F-B522-B57E7094EDF6}"/>
              </c:ext>
            </c:extLst>
          </c:dPt>
          <c:dPt>
            <c:idx val="11"/>
            <c:invertIfNegative val="0"/>
            <c:bubble3D val="0"/>
            <c:spPr>
              <a:solidFill>
                <a:srgbClr val="2D66AD">
                  <a:alpha val="35000"/>
                </a:srgbClr>
              </a:solidFill>
              <a:ln w="19050" cap="flat" cmpd="sng" algn="ctr">
                <a:solidFill>
                  <a:srgbClr val="2D66A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069-5E4F-B522-B57E7094EDF6}"/>
              </c:ext>
            </c:extLst>
          </c:dPt>
          <c:dPt>
            <c:idx val="12"/>
            <c:invertIfNegative val="0"/>
            <c:bubble3D val="0"/>
            <c:spPr>
              <a:solidFill>
                <a:srgbClr val="1D9DC4">
                  <a:alpha val="35000"/>
                </a:srgbClr>
              </a:solidFill>
              <a:ln w="19050" cap="flat" cmpd="sng" algn="ctr">
                <a:solidFill>
                  <a:srgbClr val="1D9DC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9-4069-5E4F-B522-B57E7094EDF6}"/>
              </c:ext>
            </c:extLst>
          </c:dPt>
          <c:dPt>
            <c:idx val="13"/>
            <c:invertIfNegative val="0"/>
            <c:bubble3D val="0"/>
            <c:spPr>
              <a:solidFill>
                <a:srgbClr val="08E5E2">
                  <a:alpha val="35000"/>
                </a:srgbClr>
              </a:solidFill>
              <a:ln w="19050" cap="flat" cmpd="sng" algn="ctr">
                <a:solidFill>
                  <a:srgbClr val="08E5E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B-4069-5E4F-B522-B57E7094EDF6}"/>
              </c:ext>
            </c:extLst>
          </c:dPt>
          <c:dPt>
            <c:idx val="14"/>
            <c:invertIfNegative val="0"/>
            <c:bubble3D val="0"/>
            <c:spPr>
              <a:solidFill>
                <a:srgbClr val="14BAD0">
                  <a:alpha val="35000"/>
                </a:srgbClr>
              </a:solidFill>
              <a:ln w="19050" cap="flat" cmpd="sng" algn="ctr">
                <a:solidFill>
                  <a:srgbClr val="14BAD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D-4069-5E4F-B522-B57E7094EDF6}"/>
              </c:ext>
            </c:extLst>
          </c:dPt>
          <c:dPt>
            <c:idx val="15"/>
            <c:invertIfNegative val="0"/>
            <c:bubble3D val="0"/>
            <c:spPr>
              <a:solidFill>
                <a:srgbClr val="4B0082">
                  <a:alpha val="35000"/>
                </a:srgbClr>
              </a:solidFill>
              <a:ln w="19050" cap="flat" cmpd="sng" algn="ctr">
                <a:solidFill>
                  <a:srgbClr val="4B008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F-4069-5E4F-B522-B57E7094EDF6}"/>
              </c:ext>
            </c:extLst>
          </c:dPt>
          <c:dPt>
            <c:idx val="16"/>
            <c:invertIfNegative val="0"/>
            <c:bubble3D val="0"/>
            <c:spPr>
              <a:solidFill>
                <a:srgbClr val="17AFCC">
                  <a:alpha val="35000"/>
                </a:srgbClr>
              </a:solidFill>
              <a:ln w="19050" cap="flat" cmpd="sng" algn="ctr">
                <a:solidFill>
                  <a:srgbClr val="17AFC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1-4069-5E4F-B522-B57E7094EDF6}"/>
              </c:ext>
            </c:extLst>
          </c:dPt>
          <c:dPt>
            <c:idx val="17"/>
            <c:invertIfNegative val="0"/>
            <c:bubble3D val="0"/>
            <c:spPr>
              <a:solidFill>
                <a:srgbClr val="07E6E3">
                  <a:alpha val="35000"/>
                </a:srgbClr>
              </a:solidFill>
              <a:ln w="19050" cap="flat" cmpd="sng" algn="ctr">
                <a:solidFill>
                  <a:srgbClr val="07E6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3-4069-5E4F-B522-B57E7094EDF6}"/>
              </c:ext>
            </c:extLst>
          </c:dPt>
          <c:dPt>
            <c:idx val="18"/>
            <c:invertIfNegative val="0"/>
            <c:bubble3D val="0"/>
            <c:spPr>
              <a:solidFill>
                <a:srgbClr val="17B0CC">
                  <a:alpha val="35000"/>
                </a:srgbClr>
              </a:solidFill>
              <a:ln w="19050" cap="flat" cmpd="sng" algn="ctr">
                <a:solidFill>
                  <a:srgbClr val="17B0C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5-4069-5E4F-B522-B57E7094EDF6}"/>
              </c:ext>
            </c:extLst>
          </c:dPt>
          <c:dPt>
            <c:idx val="19"/>
            <c:invertIfNegative val="0"/>
            <c:bubble3D val="0"/>
            <c:spPr>
              <a:solidFill>
                <a:srgbClr val="18AFCB">
                  <a:alpha val="35000"/>
                </a:srgbClr>
              </a:solidFill>
              <a:ln w="19050" cap="flat" cmpd="sng" algn="ctr">
                <a:solidFill>
                  <a:srgbClr val="18AFC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7-4069-5E4F-B522-B57E7094EDF6}"/>
              </c:ext>
            </c:extLst>
          </c:dPt>
          <c:dPt>
            <c:idx val="20"/>
            <c:invertIfNegative val="0"/>
            <c:bubble3D val="0"/>
            <c:spPr>
              <a:solidFill>
                <a:srgbClr val="16B5CE">
                  <a:alpha val="35000"/>
                </a:srgbClr>
              </a:solidFill>
              <a:ln w="19050" cap="flat" cmpd="sng" algn="ctr">
                <a:solidFill>
                  <a:srgbClr val="16B5C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9-4069-5E4F-B522-B57E7094EDF6}"/>
              </c:ext>
            </c:extLst>
          </c:dPt>
          <c:dPt>
            <c:idx val="21"/>
            <c:invertIfNegative val="0"/>
            <c:bubble3D val="0"/>
            <c:spPr>
              <a:solidFill>
                <a:srgbClr val="0BD9DD">
                  <a:alpha val="35000"/>
                </a:srgbClr>
              </a:solidFill>
              <a:ln w="19050" cap="flat" cmpd="sng" algn="ctr">
                <a:solidFill>
                  <a:srgbClr val="0BD9D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B-4069-5E4F-B522-B57E7094EDF6}"/>
              </c:ext>
            </c:extLst>
          </c:dPt>
          <c:dPt>
            <c:idx val="22"/>
            <c:invertIfNegative val="0"/>
            <c:bubble3D val="0"/>
            <c:spPr>
              <a:solidFill>
                <a:srgbClr val="0ED0D9">
                  <a:alpha val="35000"/>
                </a:srgbClr>
              </a:solidFill>
              <a:ln w="19050" cap="flat" cmpd="sng" algn="ctr">
                <a:solidFill>
                  <a:srgbClr val="0ED0D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D-4069-5E4F-B522-B57E7094EDF6}"/>
              </c:ext>
            </c:extLst>
          </c:dPt>
          <c:dPt>
            <c:idx val="23"/>
            <c:invertIfNegative val="0"/>
            <c:bubble3D val="0"/>
            <c:spPr>
              <a:solidFill>
                <a:srgbClr val="2D66AD">
                  <a:alpha val="35000"/>
                </a:srgbClr>
              </a:solidFill>
              <a:ln w="19050" cap="flat" cmpd="sng" algn="ctr">
                <a:solidFill>
                  <a:srgbClr val="2D66A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F-4069-5E4F-B522-B57E7094EDF6}"/>
              </c:ext>
            </c:extLst>
          </c:dPt>
          <c:dPt>
            <c:idx val="24"/>
            <c:invertIfNegative val="0"/>
            <c:bubble3D val="0"/>
            <c:spPr>
              <a:solidFill>
                <a:srgbClr val="218EBE">
                  <a:alpha val="35000"/>
                </a:srgbClr>
              </a:solidFill>
              <a:ln w="19050" cap="flat" cmpd="sng" algn="ctr">
                <a:solidFill>
                  <a:srgbClr val="218EB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1-4069-5E4F-B522-B57E7094EDF6}"/>
              </c:ext>
            </c:extLst>
          </c:dPt>
          <c:dPt>
            <c:idx val="25"/>
            <c:invertIfNegative val="0"/>
            <c:bubble3D val="0"/>
            <c:spPr>
              <a:solidFill>
                <a:srgbClr val="19AAC9">
                  <a:alpha val="35000"/>
                </a:srgbClr>
              </a:solidFill>
              <a:ln w="19050" cap="flat" cmpd="sng" algn="ctr">
                <a:solidFill>
                  <a:srgbClr val="19AAC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3-4069-5E4F-B522-B57E7094EDF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75AB72A-27AC-A74E-90F0-16234A77C675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69-5E4F-B522-B57E7094EDF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D67D470-326A-174B-ACC5-08D9424E6DF8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69-5E4F-B522-B57E7094EDF6}"/>
                </c:ext>
              </c:extLst>
            </c:dLbl>
            <c:dLbl>
              <c:idx val="2"/>
              <c:layout>
                <c:manualLayout>
                  <c:x val="-5.5110003809210051E-2"/>
                  <c:y val="3.9241964718486318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8B05866-AC2C-8F40-8D73-74D83578DD75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069-5E4F-B522-B57E7094EDF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4159430-0253-EA4F-AD23-38A89000CB90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69-5E4F-B522-B57E7094EDF6}"/>
                </c:ext>
              </c:extLst>
            </c:dLbl>
            <c:dLbl>
              <c:idx val="4"/>
              <c:layout>
                <c:manualLayout>
                  <c:x val="-7.1150566348873595E-3"/>
                  <c:y val="-2.6161309812324533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112A2F-70C8-5F48-94F0-F7422445D6D7}" type="CELLRANGE">
                      <a:rPr lang="en-US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069-5E4F-B522-B57E7094EDF6}"/>
                </c:ext>
              </c:extLst>
            </c:dLbl>
            <c:dLbl>
              <c:idx val="5"/>
              <c:layout>
                <c:manualLayout>
                  <c:x val="-0.13969855564870071"/>
                  <c:y val="-6.5403274530811328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0E014B2-E1A1-5141-8277-84657A57551B}" type="CELLRANGE">
                      <a:rPr lang="en-US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4069-5E4F-B522-B57E7094EDF6}"/>
                </c:ext>
              </c:extLst>
            </c:dLbl>
            <c:dLbl>
              <c:idx val="6"/>
              <c:layout>
                <c:manualLayout>
                  <c:x val="-7.2977707775116474E-2"/>
                  <c:y val="-2.4853192823066989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A93330D-38A8-4140-A837-FE2E68743867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5.3244580371683344E-2"/>
                      <c:h val="3.804091340462255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4069-5E4F-B522-B57E7094EDF6}"/>
                </c:ext>
              </c:extLst>
            </c:dLbl>
            <c:dLbl>
              <c:idx val="7"/>
              <c:layout>
                <c:manualLayout>
                  <c:x val="-3.4075687834286668E-2"/>
                  <c:y val="-2.6161309812324533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E2E8841-E6E1-D84C-B712-DF59B7979A0D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4069-5E4F-B522-B57E7094EDF6}"/>
                </c:ext>
              </c:extLst>
            </c:dLbl>
            <c:dLbl>
              <c:idx val="8"/>
              <c:layout>
                <c:manualLayout>
                  <c:x val="-9.7959418869073472E-2"/>
                  <c:y val="1.635076713406137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938F02E-71C4-C544-90B5-F4FA175B8F7C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8.8718611124632529E-2"/>
                      <c:h val="3.405388859031120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069-5E4F-B522-B57E7094EDF6}"/>
                </c:ext>
              </c:extLst>
            </c:dLbl>
            <c:dLbl>
              <c:idx val="9"/>
              <c:layout>
                <c:manualLayout>
                  <c:x val="-7.6585112655563156E-2"/>
                  <c:y val="1.4388720396778493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C84E5E7-F8BD-844C-BC27-981E98FF97DD}" type="CELLRANGE">
                      <a:rPr lang="en-US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4069-5E4F-B522-B57E7094EDF6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290A775-F520-D24B-B5D2-A41A0A2077B7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69-5E4F-B522-B57E7094EDF6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D4CB108-86C5-0147-9C56-8E0E1F5806B5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69-5E4F-B522-B57E7094EDF6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9A52AC8-3487-B04A-A35E-6F3584251D25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69-5E4F-B522-B57E7094EDF6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6D0045C-8B53-214C-9840-4B00316CB49B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69-5E4F-B522-B57E7094EDF6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FD85E28-0D2D-0D44-AB27-C2C808A5AE5C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69-5E4F-B522-B57E7094EDF6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B824D75-0E47-7A49-AD17-2A894BF5F4E6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69-5E4F-B522-B57E7094EDF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80C4AD7-5998-964E-9E77-C308A8DD48B0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69-5E4F-B522-B57E7094EDF6}"/>
                </c:ext>
              </c:extLst>
            </c:dLbl>
            <c:dLbl>
              <c:idx val="17"/>
              <c:layout>
                <c:manualLayout>
                  <c:x val="-2.7801236199110037E-2"/>
                  <c:y val="1.0464523924929716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00D9254-24EB-494E-AB93-64B43ADD4C01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4069-5E4F-B522-B57E7094EDF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05A47C-4166-C94E-923B-55F50894E890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69-5E4F-B522-B57E7094EDF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B51486B-F6B7-B04F-8756-B50530B8366A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69-5E4F-B522-B57E7094EDF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81EC939-8F8F-1345-8EE0-39790FFB4F87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69-5E4F-B522-B57E7094EDF6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5CA954E-DEE8-7247-9ACA-332755B8747C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69-5E4F-B522-B57E7094EDF6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1859A7B-526C-2D4A-A632-B0D28F07F4CD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69-5E4F-B522-B57E7094EDF6}"/>
                </c:ext>
              </c:extLst>
            </c:dLbl>
            <c:dLbl>
              <c:idx val="23"/>
              <c:layout>
                <c:manualLayout>
                  <c:x val="-8.2608282368115224E-2"/>
                  <c:y val="2.4853244321708306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4A81B6C-6524-3F48-BD80-B5D1CB79162B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4069-5E4F-B522-B57E7094EDF6}"/>
                </c:ext>
              </c:extLst>
            </c:dLbl>
            <c:dLbl>
              <c:idx val="24"/>
              <c:layout>
                <c:manualLayout>
                  <c:x val="-5.6171205150699684E-2"/>
                  <c:y val="-1.1772589415546136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059CFA4-8AB4-AA44-9F53-4E7A181103FF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4069-5E4F-B522-B57E7094EDF6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B02430F-C710-6F43-A4CD-31A29999DEC5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69-5E4F-B522-B57E7094ED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VH!$D$2:$D$27</c:f>
              <c:numCache>
                <c:formatCode>General</c:formatCode>
                <c:ptCount val="26"/>
                <c:pt idx="0">
                  <c:v>68300</c:v>
                </c:pt>
                <c:pt idx="1">
                  <c:v>38110</c:v>
                </c:pt>
                <c:pt idx="2">
                  <c:v>116500</c:v>
                </c:pt>
                <c:pt idx="3">
                  <c:v>44740</c:v>
                </c:pt>
                <c:pt idx="4">
                  <c:v>55220</c:v>
                </c:pt>
                <c:pt idx="5">
                  <c:v>46120</c:v>
                </c:pt>
                <c:pt idx="6">
                  <c:v>53070</c:v>
                </c:pt>
                <c:pt idx="7">
                  <c:v>55100</c:v>
                </c:pt>
                <c:pt idx="8">
                  <c:v>53040</c:v>
                </c:pt>
                <c:pt idx="9">
                  <c:v>61000</c:v>
                </c:pt>
                <c:pt idx="10">
                  <c:v>74410</c:v>
                </c:pt>
                <c:pt idx="11">
                  <c:v>58370</c:v>
                </c:pt>
                <c:pt idx="12">
                  <c:v>44600</c:v>
                </c:pt>
                <c:pt idx="13">
                  <c:v>58780</c:v>
                </c:pt>
                <c:pt idx="14">
                  <c:v>74940</c:v>
                </c:pt>
                <c:pt idx="15">
                  <c:v>48830</c:v>
                </c:pt>
                <c:pt idx="16">
                  <c:v>42520</c:v>
                </c:pt>
                <c:pt idx="17">
                  <c:v>47850</c:v>
                </c:pt>
                <c:pt idx="18">
                  <c:v>70480</c:v>
                </c:pt>
                <c:pt idx="19">
                  <c:v>99240</c:v>
                </c:pt>
                <c:pt idx="20">
                  <c:v>42510</c:v>
                </c:pt>
                <c:pt idx="21">
                  <c:v>60840</c:v>
                </c:pt>
                <c:pt idx="22">
                  <c:v>44740</c:v>
                </c:pt>
                <c:pt idx="23">
                  <c:v>26940</c:v>
                </c:pt>
                <c:pt idx="24">
                  <c:v>25660</c:v>
                </c:pt>
                <c:pt idx="25">
                  <c:v>74250</c:v>
                </c:pt>
              </c:numCache>
            </c:numRef>
          </c:xVal>
          <c:yVal>
            <c:numRef>
              <c:f>VH!$C$2:$C$27</c:f>
              <c:numCache>
                <c:formatCode>General</c:formatCode>
                <c:ptCount val="26"/>
                <c:pt idx="0">
                  <c:v>0.98473999999999995</c:v>
                </c:pt>
                <c:pt idx="1">
                  <c:v>0.97274000000000005</c:v>
                </c:pt>
                <c:pt idx="2">
                  <c:v>0.96911999999999998</c:v>
                </c:pt>
                <c:pt idx="3">
                  <c:v>0.96789000000000003</c:v>
                </c:pt>
                <c:pt idx="4">
                  <c:v>0.96706999999999999</c:v>
                </c:pt>
                <c:pt idx="5">
                  <c:v>0.96021999999999996</c:v>
                </c:pt>
                <c:pt idx="6">
                  <c:v>0.95772999999999997</c:v>
                </c:pt>
                <c:pt idx="7">
                  <c:v>0.9577</c:v>
                </c:pt>
                <c:pt idx="8">
                  <c:v>0.95745999999999998</c:v>
                </c:pt>
                <c:pt idx="9">
                  <c:v>0.95384000000000002</c:v>
                </c:pt>
                <c:pt idx="10">
                  <c:v>0.95328000000000002</c:v>
                </c:pt>
                <c:pt idx="11">
                  <c:v>0.93820999999999999</c:v>
                </c:pt>
                <c:pt idx="12">
                  <c:v>0.93510000000000004</c:v>
                </c:pt>
                <c:pt idx="13">
                  <c:v>0.93262</c:v>
                </c:pt>
                <c:pt idx="14">
                  <c:v>0.93152999999999997</c:v>
                </c:pt>
                <c:pt idx="15">
                  <c:v>0.92654000000000003</c:v>
                </c:pt>
                <c:pt idx="16">
                  <c:v>0.92059999999999997</c:v>
                </c:pt>
                <c:pt idx="17">
                  <c:v>0.91957999999999995</c:v>
                </c:pt>
                <c:pt idx="18">
                  <c:v>0.91944999999999999</c:v>
                </c:pt>
                <c:pt idx="19">
                  <c:v>0.91376999999999997</c:v>
                </c:pt>
                <c:pt idx="20">
                  <c:v>0.91103999999999996</c:v>
                </c:pt>
                <c:pt idx="21">
                  <c:v>0.90652999999999995</c:v>
                </c:pt>
                <c:pt idx="22">
                  <c:v>0.90142999999999995</c:v>
                </c:pt>
                <c:pt idx="23">
                  <c:v>0.90093000000000001</c:v>
                </c:pt>
                <c:pt idx="24">
                  <c:v>0.90059</c:v>
                </c:pt>
                <c:pt idx="25">
                  <c:v>0.90034999999999998</c:v>
                </c:pt>
              </c:numCache>
            </c:numRef>
          </c:yVal>
          <c:bubbleSize>
            <c:numRef>
              <c:f>VH!$E$2:$E$27</c:f>
              <c:numCache>
                <c:formatCode>General</c:formatCode>
                <c:ptCount val="26"/>
                <c:pt idx="0">
                  <c:v>5.9</c:v>
                </c:pt>
                <c:pt idx="1">
                  <c:v>1.3</c:v>
                </c:pt>
                <c:pt idx="2">
                  <c:v>5.6</c:v>
                </c:pt>
                <c:pt idx="3">
                  <c:v>51.8</c:v>
                </c:pt>
                <c:pt idx="4">
                  <c:v>0.4</c:v>
                </c:pt>
                <c:pt idx="5">
                  <c:v>35.799999999999997</c:v>
                </c:pt>
                <c:pt idx="6">
                  <c:v>67.3</c:v>
                </c:pt>
                <c:pt idx="7">
                  <c:v>25.7</c:v>
                </c:pt>
                <c:pt idx="8">
                  <c:v>5.5</c:v>
                </c:pt>
                <c:pt idx="9">
                  <c:v>17.5</c:v>
                </c:pt>
                <c:pt idx="10">
                  <c:v>9.3000000000000007</c:v>
                </c:pt>
                <c:pt idx="11">
                  <c:v>83.2</c:v>
                </c:pt>
                <c:pt idx="12">
                  <c:v>125.1</c:v>
                </c:pt>
                <c:pt idx="13">
                  <c:v>10.4</c:v>
                </c:pt>
                <c:pt idx="14">
                  <c:v>5.4</c:v>
                </c:pt>
                <c:pt idx="15">
                  <c:v>5.0999999999999996</c:v>
                </c:pt>
                <c:pt idx="16">
                  <c:v>47.4</c:v>
                </c:pt>
                <c:pt idx="17">
                  <c:v>1.5</c:v>
                </c:pt>
                <c:pt idx="18">
                  <c:v>333.3</c:v>
                </c:pt>
                <c:pt idx="19">
                  <c:v>5</c:v>
                </c:pt>
                <c:pt idx="20">
                  <c:v>2.8</c:v>
                </c:pt>
                <c:pt idx="21">
                  <c:v>9</c:v>
                </c:pt>
                <c:pt idx="22">
                  <c:v>9.3000000000000007</c:v>
                </c:pt>
                <c:pt idx="23">
                  <c:v>19.399999999999999</c:v>
                </c:pt>
                <c:pt idx="24">
                  <c:v>3.5</c:v>
                </c:pt>
                <c:pt idx="25">
                  <c:v>8.6999999999999993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VH!$A$2:$A$194</c15:f>
                <c15:dlblRangeCache>
                  <c:ptCount val="193"/>
                  <c:pt idx="0">
                    <c:v>Denmark</c:v>
                  </c:pt>
                  <c:pt idx="1">
                    <c:v>Estonia</c:v>
                  </c:pt>
                  <c:pt idx="2">
                    <c:v>Singapore</c:v>
                  </c:pt>
                  <c:pt idx="3">
                    <c:v>South Korea</c:v>
                  </c:pt>
                  <c:pt idx="4">
                    <c:v>Iceland</c:v>
                  </c:pt>
                  <c:pt idx="5">
                    <c:v>Saudi Arabia</c:v>
                  </c:pt>
                  <c:pt idx="6">
                    <c:v>U.K.</c:v>
                  </c:pt>
                  <c:pt idx="7">
                    <c:v>Australia</c:v>
                  </c:pt>
                  <c:pt idx="8">
                    <c:v>Finland</c:v>
                  </c:pt>
                  <c:pt idx="9">
                    <c:v>Netherlands</c:v>
                  </c:pt>
                  <c:pt idx="10">
                    <c:v>U.A.E.</c:v>
                  </c:pt>
                  <c:pt idx="11">
                    <c:v>Germany</c:v>
                  </c:pt>
                  <c:pt idx="12">
                    <c:v>Japan</c:v>
                  </c:pt>
                  <c:pt idx="13">
                    <c:v>Sweden</c:v>
                  </c:pt>
                  <c:pt idx="14">
                    <c:v>Norway</c:v>
                  </c:pt>
                  <c:pt idx="15">
                    <c:v>New Zealand</c:v>
                  </c:pt>
                  <c:pt idx="16">
                    <c:v>Spain</c:v>
                  </c:pt>
                  <c:pt idx="17">
                    <c:v>Bahrain</c:v>
                  </c:pt>
                  <c:pt idx="18">
                    <c:v>U.S.A.</c:v>
                  </c:pt>
                  <c:pt idx="19">
                    <c:v>Ireland</c:v>
                  </c:pt>
                  <c:pt idx="20">
                    <c:v>Lithuania</c:v>
                  </c:pt>
                  <c:pt idx="21">
                    <c:v>Austria</c:v>
                  </c:pt>
                  <c:pt idx="22">
                    <c:v>Israel</c:v>
                  </c:pt>
                  <c:pt idx="23">
                    <c:v>Kazakhstan</c:v>
                  </c:pt>
                  <c:pt idx="24">
                    <c:v>Uruguay</c:v>
                  </c:pt>
                  <c:pt idx="25">
                    <c:v>Switzerland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DC-4069-5E4F-B522-B57E7094E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23347552"/>
        <c:axId val="323349264"/>
      </c:bubbleChart>
      <c:valAx>
        <c:axId val="323347552"/>
        <c:scaling>
          <c:orientation val="minMax"/>
          <c:max val="120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90000"/>
                  <a:alpha val="99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9264"/>
        <c:crosses val="autoZero"/>
        <c:crossBetween val="midCat"/>
        <c:majorUnit val="20000"/>
        <c:minorUnit val="10000"/>
      </c:valAx>
      <c:valAx>
        <c:axId val="323349264"/>
        <c:scaling>
          <c:orientation val="minMax"/>
          <c:max val="1"/>
          <c:min val="0.88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7552"/>
        <c:crossesAt val="300"/>
        <c:crossBetween val="midCat"/>
        <c:majorUnit val="0.02"/>
      </c:valAx>
      <c:spPr>
        <a:noFill/>
        <a:ln w="15875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0"/>
            </a:pPr>
            <a:r>
              <a:rPr lang="en-US" b="0"/>
              <a:t>TII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0.87280999999999997</c:v>
              </c:pt>
            </c:numLit>
          </c:val>
          <c:extLst>
            <c:ext xmlns:c16="http://schemas.microsoft.com/office/drawing/2014/chart" uri="{C3380CC4-5D6E-409C-BE32-E72D297353CC}">
              <c16:uniqueId val="{00000001-923D-3045-8352-6D0DD4287C81}"/>
            </c:ext>
          </c:extLst>
        </c:ser>
        <c:ser>
          <c:idx val="1"/>
          <c:order val="1"/>
          <c:spPr>
            <a:solidFill>
              <a:srgbClr val="4B018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2-923D-3045-8352-6D0DD4287C81}"/>
            </c:ext>
          </c:extLst>
        </c:ser>
        <c:ser>
          <c:idx val="2"/>
          <c:order val="2"/>
          <c:spPr>
            <a:solidFill>
              <a:srgbClr val="4A048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3-923D-3045-8352-6D0DD4287C81}"/>
            </c:ext>
          </c:extLst>
        </c:ser>
        <c:ser>
          <c:idx val="3"/>
          <c:order val="3"/>
          <c:spPr>
            <a:solidFill>
              <a:srgbClr val="49068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4-923D-3045-8352-6D0DD4287C81}"/>
            </c:ext>
          </c:extLst>
        </c:ser>
        <c:ser>
          <c:idx val="4"/>
          <c:order val="4"/>
          <c:spPr>
            <a:solidFill>
              <a:srgbClr val="48098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5-923D-3045-8352-6D0DD4287C81}"/>
            </c:ext>
          </c:extLst>
        </c:ser>
        <c:ser>
          <c:idx val="5"/>
          <c:order val="5"/>
          <c:spPr>
            <a:solidFill>
              <a:srgbClr val="480B8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6-923D-3045-8352-6D0DD4287C81}"/>
            </c:ext>
          </c:extLst>
        </c:ser>
        <c:ser>
          <c:idx val="6"/>
          <c:order val="6"/>
          <c:spPr>
            <a:solidFill>
              <a:srgbClr val="470E8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7-923D-3045-8352-6D0DD4287C81}"/>
            </c:ext>
          </c:extLst>
        </c:ser>
        <c:ser>
          <c:idx val="7"/>
          <c:order val="7"/>
          <c:spPr>
            <a:solidFill>
              <a:srgbClr val="46118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8-923D-3045-8352-6D0DD4287C81}"/>
            </c:ext>
          </c:extLst>
        </c:ser>
        <c:ser>
          <c:idx val="8"/>
          <c:order val="8"/>
          <c:spPr>
            <a:solidFill>
              <a:srgbClr val="45138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9-923D-3045-8352-6D0DD4287C81}"/>
            </c:ext>
          </c:extLst>
        </c:ser>
        <c:ser>
          <c:idx val="9"/>
          <c:order val="9"/>
          <c:spPr>
            <a:solidFill>
              <a:srgbClr val="4516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A-923D-3045-8352-6D0DD4287C81}"/>
            </c:ext>
          </c:extLst>
        </c:ser>
        <c:ser>
          <c:idx val="10"/>
          <c:order val="10"/>
          <c:spPr>
            <a:solidFill>
              <a:srgbClr val="44188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B-923D-3045-8352-6D0DD4287C81}"/>
            </c:ext>
          </c:extLst>
        </c:ser>
        <c:ser>
          <c:idx val="11"/>
          <c:order val="11"/>
          <c:spPr>
            <a:solidFill>
              <a:srgbClr val="431B8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C-923D-3045-8352-6D0DD4287C81}"/>
            </c:ext>
          </c:extLst>
        </c:ser>
        <c:ser>
          <c:idx val="12"/>
          <c:order val="12"/>
          <c:spPr>
            <a:solidFill>
              <a:srgbClr val="421D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D-923D-3045-8352-6D0DD4287C81}"/>
            </c:ext>
          </c:extLst>
        </c:ser>
        <c:ser>
          <c:idx val="13"/>
          <c:order val="13"/>
          <c:spPr>
            <a:solidFill>
              <a:srgbClr val="42208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E-923D-3045-8352-6D0DD4287C81}"/>
            </c:ext>
          </c:extLst>
        </c:ser>
        <c:ser>
          <c:idx val="14"/>
          <c:order val="14"/>
          <c:spPr>
            <a:solidFill>
              <a:srgbClr val="4122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0F-923D-3045-8352-6D0DD4287C81}"/>
            </c:ext>
          </c:extLst>
        </c:ser>
        <c:ser>
          <c:idx val="15"/>
          <c:order val="15"/>
          <c:spPr>
            <a:solidFill>
              <a:srgbClr val="40259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0-923D-3045-8352-6D0DD4287C81}"/>
            </c:ext>
          </c:extLst>
        </c:ser>
        <c:ser>
          <c:idx val="16"/>
          <c:order val="16"/>
          <c:spPr>
            <a:solidFill>
              <a:srgbClr val="3F289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1-923D-3045-8352-6D0DD4287C81}"/>
            </c:ext>
          </c:extLst>
        </c:ser>
        <c:ser>
          <c:idx val="17"/>
          <c:order val="17"/>
          <c:spPr>
            <a:solidFill>
              <a:srgbClr val="3F2A9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2-923D-3045-8352-6D0DD4287C81}"/>
            </c:ext>
          </c:extLst>
        </c:ser>
        <c:ser>
          <c:idx val="18"/>
          <c:order val="18"/>
          <c:spPr>
            <a:solidFill>
              <a:srgbClr val="3E2D9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3-923D-3045-8352-6D0DD4287C81}"/>
            </c:ext>
          </c:extLst>
        </c:ser>
        <c:ser>
          <c:idx val="19"/>
          <c:order val="19"/>
          <c:spPr>
            <a:solidFill>
              <a:srgbClr val="3D2F9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4-923D-3045-8352-6D0DD4287C81}"/>
            </c:ext>
          </c:extLst>
        </c:ser>
        <c:ser>
          <c:idx val="20"/>
          <c:order val="20"/>
          <c:spPr>
            <a:solidFill>
              <a:srgbClr val="3C329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5-923D-3045-8352-6D0DD4287C81}"/>
            </c:ext>
          </c:extLst>
        </c:ser>
        <c:ser>
          <c:idx val="21"/>
          <c:order val="21"/>
          <c:spPr>
            <a:solidFill>
              <a:srgbClr val="3C349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6-923D-3045-8352-6D0DD4287C81}"/>
            </c:ext>
          </c:extLst>
        </c:ser>
        <c:ser>
          <c:idx val="22"/>
          <c:order val="22"/>
          <c:spPr>
            <a:solidFill>
              <a:srgbClr val="3B37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7-923D-3045-8352-6D0DD4287C81}"/>
            </c:ext>
          </c:extLst>
        </c:ser>
        <c:ser>
          <c:idx val="23"/>
          <c:order val="23"/>
          <c:spPr>
            <a:solidFill>
              <a:srgbClr val="3A399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8-923D-3045-8352-6D0DD4287C81}"/>
            </c:ext>
          </c:extLst>
        </c:ser>
        <c:ser>
          <c:idx val="24"/>
          <c:order val="24"/>
          <c:spPr>
            <a:solidFill>
              <a:srgbClr val="393C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9-923D-3045-8352-6D0DD4287C81}"/>
            </c:ext>
          </c:extLst>
        </c:ser>
        <c:ser>
          <c:idx val="25"/>
          <c:order val="25"/>
          <c:spPr>
            <a:solidFill>
              <a:srgbClr val="393E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A-923D-3045-8352-6D0DD4287C81}"/>
            </c:ext>
          </c:extLst>
        </c:ser>
        <c:ser>
          <c:idx val="26"/>
          <c:order val="26"/>
          <c:spPr>
            <a:solidFill>
              <a:srgbClr val="38419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B-923D-3045-8352-6D0DD4287C81}"/>
            </c:ext>
          </c:extLst>
        </c:ser>
        <c:ser>
          <c:idx val="27"/>
          <c:order val="27"/>
          <c:spPr>
            <a:solidFill>
              <a:srgbClr val="37449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C-923D-3045-8352-6D0DD4287C81}"/>
            </c:ext>
          </c:extLst>
        </c:ser>
        <c:ser>
          <c:idx val="28"/>
          <c:order val="28"/>
          <c:spPr>
            <a:solidFill>
              <a:srgbClr val="36469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D-923D-3045-8352-6D0DD4287C81}"/>
            </c:ext>
          </c:extLst>
        </c:ser>
        <c:ser>
          <c:idx val="29"/>
          <c:order val="29"/>
          <c:spPr>
            <a:solidFill>
              <a:srgbClr val="3649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E-923D-3045-8352-6D0DD4287C81}"/>
            </c:ext>
          </c:extLst>
        </c:ser>
        <c:ser>
          <c:idx val="30"/>
          <c:order val="30"/>
          <c:spPr>
            <a:solidFill>
              <a:srgbClr val="354B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1F-923D-3045-8352-6D0DD4287C81}"/>
            </c:ext>
          </c:extLst>
        </c:ser>
        <c:ser>
          <c:idx val="31"/>
          <c:order val="31"/>
          <c:spPr>
            <a:solidFill>
              <a:srgbClr val="344EA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0-923D-3045-8352-6D0DD4287C81}"/>
            </c:ext>
          </c:extLst>
        </c:ser>
        <c:ser>
          <c:idx val="32"/>
          <c:order val="32"/>
          <c:spPr>
            <a:solidFill>
              <a:srgbClr val="3350A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1-923D-3045-8352-6D0DD4287C81}"/>
            </c:ext>
          </c:extLst>
        </c:ser>
        <c:ser>
          <c:idx val="33"/>
          <c:order val="33"/>
          <c:spPr>
            <a:solidFill>
              <a:srgbClr val="3353A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2-923D-3045-8352-6D0DD4287C81}"/>
            </c:ext>
          </c:extLst>
        </c:ser>
        <c:ser>
          <c:idx val="34"/>
          <c:order val="34"/>
          <c:spPr>
            <a:solidFill>
              <a:srgbClr val="3255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3-923D-3045-8352-6D0DD4287C81}"/>
            </c:ext>
          </c:extLst>
        </c:ser>
        <c:ser>
          <c:idx val="35"/>
          <c:order val="35"/>
          <c:spPr>
            <a:solidFill>
              <a:srgbClr val="3158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4-923D-3045-8352-6D0DD4287C81}"/>
            </c:ext>
          </c:extLst>
        </c:ser>
        <c:ser>
          <c:idx val="36"/>
          <c:order val="36"/>
          <c:spPr>
            <a:solidFill>
              <a:srgbClr val="305BA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5-923D-3045-8352-6D0DD4287C81}"/>
            </c:ext>
          </c:extLst>
        </c:ser>
        <c:ser>
          <c:idx val="37"/>
          <c:order val="37"/>
          <c:spPr>
            <a:solidFill>
              <a:srgbClr val="305DA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6-923D-3045-8352-6D0DD4287C81}"/>
            </c:ext>
          </c:extLst>
        </c:ser>
        <c:ser>
          <c:idx val="38"/>
          <c:order val="38"/>
          <c:spPr>
            <a:solidFill>
              <a:srgbClr val="2F60A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7-923D-3045-8352-6D0DD4287C81}"/>
            </c:ext>
          </c:extLst>
        </c:ser>
        <c:ser>
          <c:idx val="39"/>
          <c:order val="39"/>
          <c:spPr>
            <a:solidFill>
              <a:srgbClr val="2E62A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8-923D-3045-8352-6D0DD4287C81}"/>
            </c:ext>
          </c:extLst>
        </c:ser>
        <c:ser>
          <c:idx val="40"/>
          <c:order val="40"/>
          <c:spPr>
            <a:solidFill>
              <a:srgbClr val="2D65A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9-923D-3045-8352-6D0DD4287C81}"/>
            </c:ext>
          </c:extLst>
        </c:ser>
        <c:ser>
          <c:idx val="41"/>
          <c:order val="41"/>
          <c:spPr>
            <a:solidFill>
              <a:srgbClr val="2D67A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A-923D-3045-8352-6D0DD4287C81}"/>
            </c:ext>
          </c:extLst>
        </c:ser>
        <c:ser>
          <c:idx val="42"/>
          <c:order val="42"/>
          <c:spPr>
            <a:solidFill>
              <a:srgbClr val="2C6AA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B-923D-3045-8352-6D0DD4287C81}"/>
            </c:ext>
          </c:extLst>
        </c:ser>
        <c:ser>
          <c:idx val="43"/>
          <c:order val="43"/>
          <c:spPr>
            <a:solidFill>
              <a:srgbClr val="2B6CA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C-923D-3045-8352-6D0DD4287C81}"/>
            </c:ext>
          </c:extLst>
        </c:ser>
        <c:ser>
          <c:idx val="44"/>
          <c:order val="44"/>
          <c:spPr>
            <a:solidFill>
              <a:srgbClr val="2A6FB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D-923D-3045-8352-6D0DD4287C81}"/>
            </c:ext>
          </c:extLst>
        </c:ser>
        <c:ser>
          <c:idx val="45"/>
          <c:order val="45"/>
          <c:spPr>
            <a:solidFill>
              <a:srgbClr val="2A71B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E-923D-3045-8352-6D0DD4287C81}"/>
            </c:ext>
          </c:extLst>
        </c:ser>
        <c:ser>
          <c:idx val="46"/>
          <c:order val="46"/>
          <c:spPr>
            <a:solidFill>
              <a:srgbClr val="2974B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2F-923D-3045-8352-6D0DD4287C81}"/>
            </c:ext>
          </c:extLst>
        </c:ser>
        <c:ser>
          <c:idx val="47"/>
          <c:order val="47"/>
          <c:spPr>
            <a:solidFill>
              <a:srgbClr val="2877B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0-923D-3045-8352-6D0DD4287C81}"/>
            </c:ext>
          </c:extLst>
        </c:ser>
        <c:ser>
          <c:idx val="48"/>
          <c:order val="48"/>
          <c:spPr>
            <a:solidFill>
              <a:srgbClr val="2779B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1-923D-3045-8352-6D0DD4287C81}"/>
            </c:ext>
          </c:extLst>
        </c:ser>
        <c:ser>
          <c:idx val="49"/>
          <c:order val="49"/>
          <c:spPr>
            <a:solidFill>
              <a:srgbClr val="277CB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2-923D-3045-8352-6D0DD4287C81}"/>
            </c:ext>
          </c:extLst>
        </c:ser>
        <c:ser>
          <c:idx val="50"/>
          <c:order val="50"/>
          <c:spPr>
            <a:solidFill>
              <a:srgbClr val="267EB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3-923D-3045-8352-6D0DD4287C81}"/>
            </c:ext>
          </c:extLst>
        </c:ser>
        <c:ser>
          <c:idx val="51"/>
          <c:order val="51"/>
          <c:spPr>
            <a:solidFill>
              <a:srgbClr val="2581B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4-923D-3045-8352-6D0DD4287C81}"/>
            </c:ext>
          </c:extLst>
        </c:ser>
        <c:ser>
          <c:idx val="52"/>
          <c:order val="52"/>
          <c:spPr>
            <a:solidFill>
              <a:srgbClr val="2483B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5-923D-3045-8352-6D0DD4287C81}"/>
            </c:ext>
          </c:extLst>
        </c:ser>
        <c:ser>
          <c:idx val="53"/>
          <c:order val="53"/>
          <c:spPr>
            <a:solidFill>
              <a:srgbClr val="2486B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6-923D-3045-8352-6D0DD4287C81}"/>
            </c:ext>
          </c:extLst>
        </c:ser>
        <c:ser>
          <c:idx val="54"/>
          <c:order val="54"/>
          <c:spPr>
            <a:solidFill>
              <a:srgbClr val="2388B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7-923D-3045-8352-6D0DD4287C81}"/>
            </c:ext>
          </c:extLst>
        </c:ser>
        <c:ser>
          <c:idx val="55"/>
          <c:order val="55"/>
          <c:spPr>
            <a:solidFill>
              <a:srgbClr val="228BB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8-923D-3045-8352-6D0DD4287C81}"/>
            </c:ext>
          </c:extLst>
        </c:ser>
        <c:ser>
          <c:idx val="56"/>
          <c:order val="56"/>
          <c:spPr>
            <a:solidFill>
              <a:srgbClr val="218E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9-923D-3045-8352-6D0DD4287C81}"/>
            </c:ext>
          </c:extLst>
        </c:ser>
        <c:ser>
          <c:idx val="57"/>
          <c:order val="57"/>
          <c:spPr>
            <a:solidFill>
              <a:srgbClr val="2190B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A-923D-3045-8352-6D0DD4287C81}"/>
            </c:ext>
          </c:extLst>
        </c:ser>
        <c:ser>
          <c:idx val="58"/>
          <c:order val="58"/>
          <c:spPr>
            <a:solidFill>
              <a:srgbClr val="2093C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B-923D-3045-8352-6D0DD4287C81}"/>
            </c:ext>
          </c:extLst>
        </c:ser>
        <c:ser>
          <c:idx val="59"/>
          <c:order val="59"/>
          <c:spPr>
            <a:solidFill>
              <a:srgbClr val="1F95C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C-923D-3045-8352-6D0DD4287C81}"/>
            </c:ext>
          </c:extLst>
        </c:ser>
        <c:ser>
          <c:idx val="60"/>
          <c:order val="60"/>
          <c:spPr>
            <a:solidFill>
              <a:srgbClr val="1E98C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D-923D-3045-8352-6D0DD4287C81}"/>
            </c:ext>
          </c:extLst>
        </c:ser>
        <c:ser>
          <c:idx val="61"/>
          <c:order val="61"/>
          <c:spPr>
            <a:solidFill>
              <a:srgbClr val="1E9AC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E-923D-3045-8352-6D0DD4287C81}"/>
            </c:ext>
          </c:extLst>
        </c:ser>
        <c:ser>
          <c:idx val="62"/>
          <c:order val="62"/>
          <c:spPr>
            <a:solidFill>
              <a:srgbClr val="1D9D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3F-923D-3045-8352-6D0DD4287C81}"/>
            </c:ext>
          </c:extLst>
        </c:ser>
        <c:ser>
          <c:idx val="63"/>
          <c:order val="63"/>
          <c:spPr>
            <a:solidFill>
              <a:srgbClr val="1C9FC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0-923D-3045-8352-6D0DD4287C81}"/>
            </c:ext>
          </c:extLst>
        </c:ser>
        <c:ser>
          <c:idx val="64"/>
          <c:order val="64"/>
          <c:spPr>
            <a:solidFill>
              <a:srgbClr val="1BA2C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1-923D-3045-8352-6D0DD4287C81}"/>
            </c:ext>
          </c:extLst>
        </c:ser>
        <c:ser>
          <c:idx val="65"/>
          <c:order val="65"/>
          <c:spPr>
            <a:solidFill>
              <a:srgbClr val="1BA4C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2-923D-3045-8352-6D0DD4287C81}"/>
            </c:ext>
          </c:extLst>
        </c:ser>
        <c:ser>
          <c:idx val="66"/>
          <c:order val="66"/>
          <c:spPr>
            <a:solidFill>
              <a:srgbClr val="1AA7C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3-923D-3045-8352-6D0DD4287C81}"/>
            </c:ext>
          </c:extLst>
        </c:ser>
        <c:ser>
          <c:idx val="67"/>
          <c:order val="67"/>
          <c:spPr>
            <a:solidFill>
              <a:srgbClr val="19AA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4-923D-3045-8352-6D0DD4287C81}"/>
            </c:ext>
          </c:extLst>
        </c:ser>
        <c:ser>
          <c:idx val="68"/>
          <c:order val="68"/>
          <c:spPr>
            <a:solidFill>
              <a:srgbClr val="18AC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5-923D-3045-8352-6D0DD4287C81}"/>
            </c:ext>
          </c:extLst>
        </c:ser>
        <c:ser>
          <c:idx val="69"/>
          <c:order val="69"/>
          <c:spPr>
            <a:solidFill>
              <a:srgbClr val="18AFC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6-923D-3045-8352-6D0DD4287C81}"/>
            </c:ext>
          </c:extLst>
        </c:ser>
        <c:ser>
          <c:idx val="70"/>
          <c:order val="70"/>
          <c:spPr>
            <a:solidFill>
              <a:srgbClr val="17B1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7-923D-3045-8352-6D0DD4287C81}"/>
            </c:ext>
          </c:extLst>
        </c:ser>
        <c:ser>
          <c:idx val="71"/>
          <c:order val="71"/>
          <c:spPr>
            <a:solidFill>
              <a:srgbClr val="16B4C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8-923D-3045-8352-6D0DD4287C81}"/>
            </c:ext>
          </c:extLst>
        </c:ser>
        <c:ser>
          <c:idx val="72"/>
          <c:order val="72"/>
          <c:spPr>
            <a:solidFill>
              <a:srgbClr val="15B6C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9-923D-3045-8352-6D0DD4287C81}"/>
            </c:ext>
          </c:extLst>
        </c:ser>
        <c:ser>
          <c:idx val="73"/>
          <c:order val="73"/>
          <c:spPr>
            <a:solidFill>
              <a:srgbClr val="15B9D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A-923D-3045-8352-6D0DD4287C81}"/>
            </c:ext>
          </c:extLst>
        </c:ser>
        <c:ser>
          <c:idx val="74"/>
          <c:order val="74"/>
          <c:spPr>
            <a:solidFill>
              <a:srgbClr val="14BBD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B-923D-3045-8352-6D0DD4287C81}"/>
            </c:ext>
          </c:extLst>
        </c:ser>
        <c:ser>
          <c:idx val="75"/>
          <c:order val="75"/>
          <c:spPr>
            <a:solidFill>
              <a:srgbClr val="13BED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C-923D-3045-8352-6D0DD4287C81}"/>
            </c:ext>
          </c:extLst>
        </c:ser>
        <c:ser>
          <c:idx val="76"/>
          <c:order val="76"/>
          <c:spPr>
            <a:solidFill>
              <a:srgbClr val="12C1D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D-923D-3045-8352-6D0DD4287C81}"/>
            </c:ext>
          </c:extLst>
        </c:ser>
        <c:ser>
          <c:idx val="77"/>
          <c:order val="77"/>
          <c:spPr>
            <a:solidFill>
              <a:srgbClr val="12C3D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E-923D-3045-8352-6D0DD4287C81}"/>
            </c:ext>
          </c:extLst>
        </c:ser>
        <c:ser>
          <c:idx val="78"/>
          <c:order val="78"/>
          <c:spPr>
            <a:solidFill>
              <a:srgbClr val="11C6D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4F-923D-3045-8352-6D0DD4287C81}"/>
            </c:ext>
          </c:extLst>
        </c:ser>
        <c:ser>
          <c:idx val="79"/>
          <c:order val="79"/>
          <c:spPr>
            <a:solidFill>
              <a:srgbClr val="10C8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0-923D-3045-8352-6D0DD4287C81}"/>
            </c:ext>
          </c:extLst>
        </c:ser>
        <c:ser>
          <c:idx val="80"/>
          <c:order val="80"/>
          <c:spPr>
            <a:solidFill>
              <a:srgbClr val="0FCBD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1-923D-3045-8352-6D0DD4287C81}"/>
            </c:ext>
          </c:extLst>
        </c:ser>
        <c:ser>
          <c:idx val="81"/>
          <c:order val="81"/>
          <c:spPr>
            <a:solidFill>
              <a:srgbClr val="0FCDD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2-923D-3045-8352-6D0DD4287C81}"/>
            </c:ext>
          </c:extLst>
        </c:ser>
        <c:ser>
          <c:idx val="82"/>
          <c:order val="82"/>
          <c:spPr>
            <a:solidFill>
              <a:srgbClr val="0ED0D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3-923D-3045-8352-6D0DD4287C81}"/>
            </c:ext>
          </c:extLst>
        </c:ser>
        <c:ser>
          <c:idx val="83"/>
          <c:order val="83"/>
          <c:spPr>
            <a:solidFill>
              <a:srgbClr val="0DD2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4-923D-3045-8352-6D0DD4287C81}"/>
            </c:ext>
          </c:extLst>
        </c:ser>
        <c:ser>
          <c:idx val="84"/>
          <c:order val="84"/>
          <c:spPr>
            <a:solidFill>
              <a:srgbClr val="0CD5D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5-923D-3045-8352-6D0DD4287C81}"/>
            </c:ext>
          </c:extLst>
        </c:ser>
        <c:ser>
          <c:idx val="85"/>
          <c:order val="85"/>
          <c:spPr>
            <a:solidFill>
              <a:srgbClr val="0CD7D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6-923D-3045-8352-6D0DD4287C81}"/>
            </c:ext>
          </c:extLst>
        </c:ser>
        <c:ser>
          <c:idx val="86"/>
          <c:order val="86"/>
          <c:spPr>
            <a:solidFill>
              <a:srgbClr val="0BDAD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7-923D-3045-8352-6D0DD4287C81}"/>
            </c:ext>
          </c:extLst>
        </c:ser>
        <c:ser>
          <c:idx val="87"/>
          <c:order val="87"/>
          <c:spPr>
            <a:solidFill>
              <a:srgbClr val="0ADDD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8-923D-3045-8352-6D0DD4287C81}"/>
            </c:ext>
          </c:extLst>
        </c:ser>
        <c:ser>
          <c:idx val="88"/>
          <c:order val="88"/>
          <c:spPr>
            <a:solidFill>
              <a:srgbClr val="09DF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9-923D-3045-8352-6D0DD4287C81}"/>
            </c:ext>
          </c:extLst>
        </c:ser>
        <c:ser>
          <c:idx val="89"/>
          <c:order val="89"/>
          <c:spPr>
            <a:solidFill>
              <a:srgbClr val="09E2E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A-923D-3045-8352-6D0DD4287C81}"/>
            </c:ext>
          </c:extLst>
        </c:ser>
        <c:ser>
          <c:idx val="90"/>
          <c:order val="90"/>
          <c:spPr>
            <a:solidFill>
              <a:srgbClr val="08E4E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B-923D-3045-8352-6D0DD4287C81}"/>
            </c:ext>
          </c:extLst>
        </c:ser>
        <c:ser>
          <c:idx val="91"/>
          <c:order val="91"/>
          <c:spPr>
            <a:solidFill>
              <a:srgbClr val="07E7E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C-923D-3045-8352-6D0DD4287C81}"/>
            </c:ext>
          </c:extLst>
        </c:ser>
        <c:ser>
          <c:idx val="92"/>
          <c:order val="92"/>
          <c:spPr>
            <a:solidFill>
              <a:srgbClr val="06E9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D-923D-3045-8352-6D0DD4287C81}"/>
            </c:ext>
          </c:extLst>
        </c:ser>
        <c:ser>
          <c:idx val="93"/>
          <c:order val="93"/>
          <c:spPr>
            <a:solidFill>
              <a:srgbClr val="06ECE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E-923D-3045-8352-6D0DD4287C81}"/>
            </c:ext>
          </c:extLst>
        </c:ser>
        <c:ser>
          <c:idx val="94"/>
          <c:order val="94"/>
          <c:spPr>
            <a:solidFill>
              <a:srgbClr val="05EE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5F-923D-3045-8352-6D0DD4287C81}"/>
            </c:ext>
          </c:extLst>
        </c:ser>
        <c:ser>
          <c:idx val="95"/>
          <c:order val="95"/>
          <c:spPr>
            <a:solidFill>
              <a:srgbClr val="04F1E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60-923D-3045-8352-6D0DD4287C81}"/>
            </c:ext>
          </c:extLst>
        </c:ser>
        <c:ser>
          <c:idx val="96"/>
          <c:order val="96"/>
          <c:spPr>
            <a:solidFill>
              <a:srgbClr val="03F4E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61-923D-3045-8352-6D0DD4287C81}"/>
            </c:ext>
          </c:extLst>
        </c:ser>
        <c:ser>
          <c:idx val="97"/>
          <c:order val="97"/>
          <c:spPr>
            <a:solidFill>
              <a:srgbClr val="03F6E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62-923D-3045-8352-6D0DD4287C81}"/>
            </c:ext>
          </c:extLst>
        </c:ser>
        <c:ser>
          <c:idx val="98"/>
          <c:order val="98"/>
          <c:spPr>
            <a:solidFill>
              <a:srgbClr val="02F9E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63-923D-3045-8352-6D0DD4287C81}"/>
            </c:ext>
          </c:extLst>
        </c:ser>
        <c:ser>
          <c:idx val="99"/>
          <c:order val="99"/>
          <c:spPr>
            <a:solidFill>
              <a:srgbClr val="01FB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64-923D-3045-8352-6D0DD4287C81}"/>
            </c:ext>
          </c:extLst>
        </c:ser>
        <c:ser>
          <c:idx val="100"/>
          <c:order val="100"/>
          <c:spPr>
            <a:solidFill>
              <a:srgbClr val="00FEE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1.2719000000000003E-3</c:v>
              </c:pt>
            </c:numLit>
          </c:val>
          <c:extLst>
            <c:ext xmlns:c16="http://schemas.microsoft.com/office/drawing/2014/chart" uri="{C3380CC4-5D6E-409C-BE32-E72D297353CC}">
              <c16:uniqueId val="{00000065-923D-3045-8352-6D0DD4287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91317647"/>
        <c:axId val="250355776"/>
      </c:barChart>
      <c:catAx>
        <c:axId val="11913176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0355776"/>
        <c:crosses val="autoZero"/>
        <c:auto val="1"/>
        <c:lblAlgn val="ctr"/>
        <c:lblOffset val="100"/>
        <c:noMultiLvlLbl val="0"/>
      </c:catAx>
      <c:valAx>
        <c:axId val="250355776"/>
        <c:scaling>
          <c:orientation val="minMax"/>
          <c:max val="1"/>
          <c:min val="0.87280999999999997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91317647"/>
        <c:crosses val="autoZero"/>
        <c:crossBetween val="between"/>
        <c:majorUnit val="3.1797500000000006E-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07676833254392E-2"/>
          <c:y val="9.6618886632550888E-2"/>
          <c:w val="0.91356821570458457"/>
          <c:h val="0.79725871561955797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19050">
              <a:solidFill>
                <a:schemeClr val="bg1">
                  <a:lumMod val="95000"/>
                  <a:alpha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3FDED">
                  <a:alpha val="50000"/>
                </a:srgbClr>
              </a:solidFill>
              <a:ln w="19050" cap="flat" cmpd="sng" algn="ctr">
                <a:solidFill>
                  <a:srgbClr val="03FD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E1-244A-9314-406E074ADCCA}"/>
              </c:ext>
            </c:extLst>
          </c:dPt>
          <c:dPt>
            <c:idx val="1"/>
            <c:invertIfNegative val="0"/>
            <c:bubble3D val="0"/>
            <c:spPr>
              <a:solidFill>
                <a:srgbClr val="1CF2EF">
                  <a:alpha val="50000"/>
                </a:srgbClr>
              </a:solidFill>
              <a:ln w="19050" cap="flat" cmpd="sng" algn="ctr">
                <a:solidFill>
                  <a:srgbClr val="1CF2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E7E1-244A-9314-406E074ADCCA}"/>
              </c:ext>
            </c:extLst>
          </c:dPt>
          <c:dPt>
            <c:idx val="2"/>
            <c:invertIfNegative val="0"/>
            <c:bubble3D val="0"/>
            <c:spPr>
              <a:solidFill>
                <a:srgbClr val="0CF9EE">
                  <a:alpha val="50000"/>
                </a:srgbClr>
              </a:solidFill>
              <a:ln w="19050" cap="flat" cmpd="sng" algn="ctr">
                <a:solidFill>
                  <a:srgbClr val="0CF9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E1-244A-9314-406E074ADCCA}"/>
              </c:ext>
            </c:extLst>
          </c:dPt>
          <c:dPt>
            <c:idx val="3"/>
            <c:invertIfNegative val="0"/>
            <c:bubble3D val="0"/>
            <c:spPr>
              <a:solidFill>
                <a:srgbClr val="09FBEE">
                  <a:alpha val="50000"/>
                </a:srgbClr>
              </a:solidFill>
              <a:ln w="19050" cap="flat" cmpd="sng" algn="ctr">
                <a:solidFill>
                  <a:srgbClr val="09FB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4-E7E1-244A-9314-406E074ADCCA}"/>
              </c:ext>
            </c:extLst>
          </c:dPt>
          <c:dPt>
            <c:idx val="4"/>
            <c:invertIfNegative val="0"/>
            <c:bubble3D val="0"/>
            <c:spPr>
              <a:solidFill>
                <a:srgbClr val="02FEED">
                  <a:alpha val="50000"/>
                </a:srgbClr>
              </a:solidFill>
              <a:ln w="19050" cap="flat" cmpd="sng" algn="ctr">
                <a:solidFill>
                  <a:srgbClr val="02FE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7E1-244A-9314-406E074ADCCA}"/>
              </c:ext>
            </c:extLst>
          </c:dPt>
          <c:dPt>
            <c:idx val="5"/>
            <c:invertIfNegative val="0"/>
            <c:bubble3D val="0"/>
            <c:spPr>
              <a:solidFill>
                <a:srgbClr val="10F7EE">
                  <a:alpha val="50000"/>
                </a:srgbClr>
              </a:solidFill>
              <a:ln w="19050" cap="flat" cmpd="sng" algn="ctr">
                <a:solidFill>
                  <a:srgbClr val="10F7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6-E7E1-244A-9314-406E074ADCCA}"/>
              </c:ext>
            </c:extLst>
          </c:dPt>
          <c:dPt>
            <c:idx val="6"/>
            <c:invertIfNegative val="0"/>
            <c:bubble3D val="0"/>
            <c:spPr>
              <a:solidFill>
                <a:srgbClr val="1AF3EF">
                  <a:alpha val="50000"/>
                </a:srgbClr>
              </a:solidFill>
              <a:ln w="19050" cap="flat" cmpd="sng" algn="ctr">
                <a:solidFill>
                  <a:srgbClr val="1AF3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7E1-244A-9314-406E074ADCCA}"/>
              </c:ext>
            </c:extLst>
          </c:dPt>
          <c:dPt>
            <c:idx val="7"/>
            <c:invertIfNegative val="0"/>
            <c:bubble3D val="0"/>
            <c:spPr>
              <a:solidFill>
                <a:srgbClr val="33E7F1">
                  <a:alpha val="50000"/>
                </a:srgbClr>
              </a:solidFill>
              <a:ln w="19050" cap="flat" cmpd="sng" algn="ctr">
                <a:solidFill>
                  <a:srgbClr val="33E7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E7E1-244A-9314-406E074ADCCA}"/>
              </c:ext>
            </c:extLst>
          </c:dPt>
          <c:dPt>
            <c:idx val="8"/>
            <c:invertIfNegative val="0"/>
            <c:bubble3D val="0"/>
            <c:spPr>
              <a:solidFill>
                <a:srgbClr val="16F5EF">
                  <a:alpha val="50000"/>
                </a:srgbClr>
              </a:solidFill>
              <a:ln w="19050" cap="flat" cmpd="sng" algn="ctr">
                <a:solidFill>
                  <a:srgbClr val="16F5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7E1-244A-9314-406E074ADCCA}"/>
              </c:ext>
            </c:extLst>
          </c:dPt>
          <c:dPt>
            <c:idx val="9"/>
            <c:invertIfNegative val="0"/>
            <c:bubble3D val="0"/>
            <c:spPr>
              <a:solidFill>
                <a:srgbClr val="1DF1EF">
                  <a:alpha val="50000"/>
                </a:srgbClr>
              </a:solidFill>
              <a:ln w="19050" cap="flat" cmpd="sng" algn="ctr">
                <a:solidFill>
                  <a:srgbClr val="1DF1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A-E7E1-244A-9314-406E074ADCCA}"/>
              </c:ext>
            </c:extLst>
          </c:dPt>
          <c:dPt>
            <c:idx val="10"/>
            <c:invertIfNegative val="0"/>
            <c:bubble3D val="0"/>
            <c:spPr>
              <a:solidFill>
                <a:srgbClr val="00FFED">
                  <a:alpha val="50000"/>
                </a:srgbClr>
              </a:solidFill>
              <a:ln w="19050" cap="flat" cmpd="sng" algn="ctr">
                <a:solidFill>
                  <a:srgbClr val="00FF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7E1-244A-9314-406E074ADCCA}"/>
              </c:ext>
            </c:extLst>
          </c:dPt>
          <c:dPt>
            <c:idx val="11"/>
            <c:invertIfNegative val="0"/>
            <c:bubble3D val="0"/>
            <c:spPr>
              <a:solidFill>
                <a:srgbClr val="4FD9F3">
                  <a:alpha val="50000"/>
                </a:srgbClr>
              </a:solidFill>
              <a:ln w="19050" cap="flat" cmpd="sng" algn="ctr">
                <a:solidFill>
                  <a:srgbClr val="4FD9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C-E7E1-244A-9314-406E074ADCCA}"/>
              </c:ext>
            </c:extLst>
          </c:dPt>
          <c:dPt>
            <c:idx val="12"/>
            <c:invertIfNegative val="0"/>
            <c:bubble3D val="0"/>
            <c:spPr>
              <a:solidFill>
                <a:srgbClr val="33E7F1">
                  <a:alpha val="50000"/>
                </a:srgbClr>
              </a:solidFill>
              <a:ln w="19050" cap="flat" cmpd="sng" algn="ctr">
                <a:solidFill>
                  <a:srgbClr val="33E7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7E1-244A-9314-406E074ADCCA}"/>
              </c:ext>
            </c:extLst>
          </c:dPt>
          <c:dPt>
            <c:idx val="13"/>
            <c:invertIfNegative val="0"/>
            <c:bubble3D val="0"/>
            <c:spPr>
              <a:solidFill>
                <a:srgbClr val="0EF8EE">
                  <a:alpha val="50000"/>
                </a:srgbClr>
              </a:solidFill>
              <a:ln w="19050" cap="flat" cmpd="sng" algn="ctr">
                <a:solidFill>
                  <a:srgbClr val="0EF8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E-E7E1-244A-9314-406E074ADCCA}"/>
              </c:ext>
            </c:extLst>
          </c:dPt>
          <c:dPt>
            <c:idx val="14"/>
            <c:invertIfNegative val="0"/>
            <c:bubble3D val="0"/>
            <c:spPr>
              <a:solidFill>
                <a:srgbClr val="24EEF0">
                  <a:alpha val="50000"/>
                </a:srgbClr>
              </a:solidFill>
              <a:ln w="19050" cap="flat" cmpd="sng" algn="ctr">
                <a:solidFill>
                  <a:srgbClr val="24EE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7E1-244A-9314-406E074ADCCA}"/>
              </c:ext>
            </c:extLst>
          </c:dPt>
          <c:dPt>
            <c:idx val="15"/>
            <c:invertIfNegative val="0"/>
            <c:bubble3D val="0"/>
            <c:spPr>
              <a:solidFill>
                <a:srgbClr val="83C0F6">
                  <a:alpha val="50000"/>
                </a:srgbClr>
              </a:solidFill>
              <a:ln w="19050" cap="flat" cmpd="sng" algn="ctr">
                <a:solidFill>
                  <a:srgbClr val="83C0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0-E7E1-244A-9314-406E074ADCCA}"/>
              </c:ext>
            </c:extLst>
          </c:dPt>
          <c:dPt>
            <c:idx val="16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7E1-244A-9314-406E074ADCCA}"/>
              </c:ext>
            </c:extLst>
          </c:dPt>
          <c:dPt>
            <c:idx val="17"/>
            <c:invertIfNegative val="0"/>
            <c:bubble3D val="0"/>
            <c:spPr>
              <a:solidFill>
                <a:srgbClr val="0DF9EE">
                  <a:alpha val="50000"/>
                </a:srgbClr>
              </a:solidFill>
              <a:ln w="19050" cap="flat" cmpd="sng" algn="ctr">
                <a:solidFill>
                  <a:srgbClr val="0DF9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2-E7E1-244A-9314-406E074ADCCA}"/>
              </c:ext>
            </c:extLst>
          </c:dPt>
          <c:dPt>
            <c:idx val="18"/>
            <c:invertIfNegative val="0"/>
            <c:bubble3D val="0"/>
            <c:spPr>
              <a:solidFill>
                <a:srgbClr val="29ECF0">
                  <a:alpha val="50000"/>
                </a:srgbClr>
              </a:solidFill>
              <a:ln w="19050" cap="flat" cmpd="sng" algn="ctr">
                <a:solidFill>
                  <a:srgbClr val="29EC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7E1-244A-9314-406E074ADCCA}"/>
              </c:ext>
            </c:extLst>
          </c:dPt>
          <c:dPt>
            <c:idx val="19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4-E7E1-244A-9314-406E074ADCCA}"/>
              </c:ext>
            </c:extLst>
          </c:dPt>
          <c:dPt>
            <c:idx val="20"/>
            <c:invertIfNegative val="0"/>
            <c:bubble3D val="0"/>
            <c:spPr>
              <a:solidFill>
                <a:srgbClr val="26EDF0">
                  <a:alpha val="50000"/>
                </a:srgbClr>
              </a:solidFill>
              <a:ln w="19050" cap="flat" cmpd="sng" algn="ctr">
                <a:solidFill>
                  <a:srgbClr val="26ED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7E1-244A-9314-406E074ADCCA}"/>
              </c:ext>
            </c:extLst>
          </c:dPt>
          <c:dPt>
            <c:idx val="21"/>
            <c:invertIfNegative val="0"/>
            <c:bubble3D val="0"/>
            <c:spPr>
              <a:solidFill>
                <a:srgbClr val="14F6EE">
                  <a:alpha val="50000"/>
                </a:srgbClr>
              </a:solidFill>
              <a:ln w="19050" cap="flat" cmpd="sng" algn="ctr">
                <a:solidFill>
                  <a:srgbClr val="14F6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6-E7E1-244A-9314-406E074ADCCA}"/>
              </c:ext>
            </c:extLst>
          </c:dPt>
          <c:dPt>
            <c:idx val="22"/>
            <c:invertIfNegative val="0"/>
            <c:bubble3D val="0"/>
            <c:spPr>
              <a:solidFill>
                <a:srgbClr val="18F3EF">
                  <a:alpha val="50000"/>
                </a:srgbClr>
              </a:solidFill>
              <a:ln w="19050" cap="flat" cmpd="sng" algn="ctr">
                <a:solidFill>
                  <a:srgbClr val="18F3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7E1-244A-9314-406E074ADCCA}"/>
              </c:ext>
            </c:extLst>
          </c:dPt>
          <c:dPt>
            <c:idx val="23"/>
            <c:invertIfNegative val="0"/>
            <c:bubble3D val="0"/>
            <c:spPr>
              <a:solidFill>
                <a:srgbClr val="4FD9F3">
                  <a:alpha val="50000"/>
                </a:srgbClr>
              </a:solidFill>
              <a:ln w="19050" cap="flat" cmpd="sng" algn="ctr">
                <a:solidFill>
                  <a:srgbClr val="4FD9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8-E7E1-244A-9314-406E074ADCCA}"/>
              </c:ext>
            </c:extLst>
          </c:dPt>
          <c:dPt>
            <c:idx val="24"/>
            <c:invertIfNegative val="0"/>
            <c:bubble3D val="0"/>
            <c:spPr>
              <a:solidFill>
                <a:srgbClr val="3AE3F1">
                  <a:alpha val="50000"/>
                </a:srgbClr>
              </a:solidFill>
              <a:ln w="19050" cap="flat" cmpd="sng" algn="ctr">
                <a:solidFill>
                  <a:srgbClr val="3AE3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9-E7E1-244A-9314-406E074ADCCA}"/>
              </c:ext>
            </c:extLst>
          </c:dPt>
          <c:dPt>
            <c:idx val="25"/>
            <c:invertIfNegative val="0"/>
            <c:bubble3D val="0"/>
            <c:spPr>
              <a:solidFill>
                <a:srgbClr val="2CEAF0">
                  <a:alpha val="50000"/>
                </a:srgbClr>
              </a:solidFill>
              <a:ln w="19050" cap="flat" cmpd="sng" algn="ctr">
                <a:solidFill>
                  <a:srgbClr val="2CEA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A-E7E1-244A-9314-406E074ADCCA}"/>
              </c:ext>
            </c:extLst>
          </c:dPt>
          <c:dPt>
            <c:idx val="26"/>
            <c:invertIfNegative val="0"/>
            <c:bubble3D val="0"/>
            <c:spPr>
              <a:solidFill>
                <a:srgbClr val="ADACF9">
                  <a:alpha val="50000"/>
                </a:srgbClr>
              </a:solidFill>
              <a:ln w="19050" cap="flat" cmpd="sng" algn="ctr">
                <a:solidFill>
                  <a:srgbClr val="ADAC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B-E7E1-244A-9314-406E074ADCCA}"/>
              </c:ext>
            </c:extLst>
          </c:dPt>
          <c:dPt>
            <c:idx val="27"/>
            <c:invertIfNegative val="0"/>
            <c:bubble3D val="0"/>
            <c:spPr>
              <a:solidFill>
                <a:srgbClr val="1AF3EF">
                  <a:alpha val="50000"/>
                </a:srgbClr>
              </a:solidFill>
              <a:ln w="19050" cap="flat" cmpd="sng" algn="ctr">
                <a:solidFill>
                  <a:srgbClr val="1AF3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C-E7E1-244A-9314-406E074ADCCA}"/>
              </c:ext>
            </c:extLst>
          </c:dPt>
          <c:dPt>
            <c:idx val="28"/>
            <c:invertIfNegative val="0"/>
            <c:bubble3D val="0"/>
            <c:spPr>
              <a:solidFill>
                <a:srgbClr val="23EEEF">
                  <a:alpha val="50000"/>
                </a:srgbClr>
              </a:solidFill>
              <a:ln w="19050" cap="flat" cmpd="sng" algn="ctr">
                <a:solidFill>
                  <a:srgbClr val="23EE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D-E7E1-244A-9314-406E074ADCCA}"/>
              </c:ext>
            </c:extLst>
          </c:dPt>
          <c:dPt>
            <c:idx val="29"/>
            <c:invertIfNegative val="0"/>
            <c:bubble3D val="0"/>
            <c:spPr>
              <a:solidFill>
                <a:srgbClr val="A2B2F8">
                  <a:alpha val="50000"/>
                </a:srgbClr>
              </a:solidFill>
              <a:ln w="19050" cap="flat" cmpd="sng" algn="ctr">
                <a:solidFill>
                  <a:srgbClr val="A2B2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E-E7E1-244A-9314-406E074ADCCA}"/>
              </c:ext>
            </c:extLst>
          </c:dPt>
          <c:dPt>
            <c:idx val="30"/>
            <c:invertIfNegative val="0"/>
            <c:bubble3D val="0"/>
            <c:spPr>
              <a:solidFill>
                <a:srgbClr val="38E4F1">
                  <a:alpha val="50000"/>
                </a:srgbClr>
              </a:solidFill>
              <a:ln w="19050" cap="flat" cmpd="sng" algn="ctr">
                <a:solidFill>
                  <a:srgbClr val="38E4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F-E7E1-244A-9314-406E074ADCCA}"/>
              </c:ext>
            </c:extLst>
          </c:dPt>
          <c:dPt>
            <c:idx val="31"/>
            <c:invertIfNegative val="0"/>
            <c:bubble3D val="0"/>
            <c:spPr>
              <a:solidFill>
                <a:srgbClr val="54D7F3">
                  <a:alpha val="50000"/>
                </a:srgbClr>
              </a:solidFill>
              <a:ln w="19050" cap="flat" cmpd="sng" algn="ctr">
                <a:solidFill>
                  <a:srgbClr val="54D7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0-E7E1-244A-9314-406E074ADCCA}"/>
              </c:ext>
            </c:extLst>
          </c:dPt>
          <c:dPt>
            <c:idx val="32"/>
            <c:invertIfNegative val="0"/>
            <c:bubble3D val="0"/>
            <c:spPr>
              <a:solidFill>
                <a:srgbClr val="5CD3F3">
                  <a:alpha val="50000"/>
                </a:srgbClr>
              </a:solidFill>
              <a:ln w="19050" cap="flat" cmpd="sng" algn="ctr">
                <a:solidFill>
                  <a:srgbClr val="5CD3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1-E7E1-244A-9314-406E074ADCCA}"/>
              </c:ext>
            </c:extLst>
          </c:dPt>
          <c:dPt>
            <c:idx val="33"/>
            <c:invertIfNegative val="0"/>
            <c:bubble3D val="0"/>
            <c:spPr>
              <a:solidFill>
                <a:srgbClr val="50D9F3">
                  <a:alpha val="50000"/>
                </a:srgbClr>
              </a:solidFill>
              <a:ln w="19050" cap="flat" cmpd="sng" algn="ctr">
                <a:solidFill>
                  <a:srgbClr val="50D9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2-E7E1-244A-9314-406E074ADCCA}"/>
              </c:ext>
            </c:extLst>
          </c:dPt>
          <c:dPt>
            <c:idx val="34"/>
            <c:invertIfNegative val="0"/>
            <c:bubble3D val="0"/>
            <c:spPr>
              <a:solidFill>
                <a:srgbClr val="67CDF4">
                  <a:alpha val="50000"/>
                </a:srgbClr>
              </a:solidFill>
              <a:ln w="19050" cap="flat" cmpd="sng" algn="ctr">
                <a:solidFill>
                  <a:srgbClr val="67CD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3-E7E1-244A-9314-406E074ADCCA}"/>
              </c:ext>
            </c:extLst>
          </c:dPt>
          <c:dPt>
            <c:idx val="35"/>
            <c:invertIfNegative val="0"/>
            <c:bubble3D val="0"/>
            <c:spPr>
              <a:solidFill>
                <a:srgbClr val="8ABDF7">
                  <a:alpha val="50000"/>
                </a:srgbClr>
              </a:solidFill>
              <a:ln w="19050" cap="flat" cmpd="sng" algn="ctr">
                <a:solidFill>
                  <a:srgbClr val="8ABD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4-E7E1-244A-9314-406E074ADCCA}"/>
              </c:ext>
            </c:extLst>
          </c:dPt>
          <c:dPt>
            <c:idx val="36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5-E7E1-244A-9314-406E074ADCCA}"/>
              </c:ext>
            </c:extLst>
          </c:dPt>
          <c:dPt>
            <c:idx val="37"/>
            <c:invertIfNegative val="0"/>
            <c:bubble3D val="0"/>
            <c:spPr>
              <a:solidFill>
                <a:srgbClr val="6DCBF5">
                  <a:alpha val="50000"/>
                </a:srgbClr>
              </a:solidFill>
              <a:ln w="19050" cap="flat" cmpd="sng" algn="ctr">
                <a:solidFill>
                  <a:srgbClr val="6DCB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6-E7E1-244A-9314-406E074ADCCA}"/>
              </c:ext>
            </c:extLst>
          </c:dPt>
          <c:dPt>
            <c:idx val="38"/>
            <c:invertIfNegative val="0"/>
            <c:bubble3D val="0"/>
            <c:spPr>
              <a:solidFill>
                <a:srgbClr val="50D9F3">
                  <a:alpha val="50000"/>
                </a:srgbClr>
              </a:solidFill>
              <a:ln w="19050" cap="flat" cmpd="sng" algn="ctr">
                <a:solidFill>
                  <a:srgbClr val="50D9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7-E7E1-244A-9314-406E074ADCCA}"/>
              </c:ext>
            </c:extLst>
          </c:dPt>
          <c:dPt>
            <c:idx val="39"/>
            <c:invertIfNegative val="0"/>
            <c:bubble3D val="0"/>
            <c:spPr>
              <a:solidFill>
                <a:srgbClr val="6CCBF5">
                  <a:alpha val="50000"/>
                </a:srgbClr>
              </a:solidFill>
              <a:ln w="19050" cap="flat" cmpd="sng" algn="ctr">
                <a:solidFill>
                  <a:srgbClr val="6CCB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8-E7E1-244A-9314-406E074ADCCA}"/>
              </c:ext>
            </c:extLst>
          </c:dPt>
          <c:dPt>
            <c:idx val="40"/>
            <c:invertIfNegative val="0"/>
            <c:bubble3D val="0"/>
            <c:spPr>
              <a:solidFill>
                <a:srgbClr val="22EFEF">
                  <a:alpha val="50000"/>
                </a:srgbClr>
              </a:solidFill>
              <a:ln w="19050" cap="flat" cmpd="sng" algn="ctr">
                <a:solidFill>
                  <a:srgbClr val="22EF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9-E7E1-244A-9314-406E074ADCCA}"/>
              </c:ext>
            </c:extLst>
          </c:dPt>
          <c:dPt>
            <c:idx val="41"/>
            <c:invertIfNegative val="0"/>
            <c:bubble3D val="0"/>
            <c:spPr>
              <a:solidFill>
                <a:srgbClr val="A2B1F8">
                  <a:alpha val="50000"/>
                </a:srgbClr>
              </a:solidFill>
              <a:ln w="19050" cap="flat" cmpd="sng" algn="ctr">
                <a:solidFill>
                  <a:srgbClr val="A2B1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A-E7E1-244A-9314-406E074ADCCA}"/>
              </c:ext>
            </c:extLst>
          </c:dPt>
          <c:dPt>
            <c:idx val="42"/>
            <c:invertIfNegative val="0"/>
            <c:bubble3D val="0"/>
            <c:spPr>
              <a:solidFill>
                <a:srgbClr val="32E7F1">
                  <a:alpha val="50000"/>
                </a:srgbClr>
              </a:solidFill>
              <a:ln w="19050" cap="flat" cmpd="sng" algn="ctr">
                <a:solidFill>
                  <a:srgbClr val="32E7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B-E7E1-244A-9314-406E074ADCCA}"/>
              </c:ext>
            </c:extLst>
          </c:dPt>
          <c:dPt>
            <c:idx val="43"/>
            <c:invertIfNegative val="0"/>
            <c:bubble3D val="0"/>
            <c:spPr>
              <a:solidFill>
                <a:srgbClr val="0AFAEE">
                  <a:alpha val="50000"/>
                </a:srgbClr>
              </a:solidFill>
              <a:ln w="19050" cap="flat" cmpd="sng" algn="ctr">
                <a:solidFill>
                  <a:srgbClr val="0AFA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C-E7E1-244A-9314-406E074ADCCA}"/>
              </c:ext>
            </c:extLst>
          </c:dPt>
          <c:dPt>
            <c:idx val="44"/>
            <c:invertIfNegative val="0"/>
            <c:bubble3D val="0"/>
            <c:spPr>
              <a:solidFill>
                <a:srgbClr val="0CF9EE">
                  <a:alpha val="50000"/>
                </a:srgbClr>
              </a:solidFill>
              <a:ln w="19050" cap="flat" cmpd="sng" algn="ctr">
                <a:solidFill>
                  <a:srgbClr val="0CF9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D-E7E1-244A-9314-406E074ADCCA}"/>
              </c:ext>
            </c:extLst>
          </c:dPt>
          <c:dPt>
            <c:idx val="45"/>
            <c:invertIfNegative val="0"/>
            <c:bubble3D val="0"/>
            <c:spPr>
              <a:solidFill>
                <a:srgbClr val="40E0F2">
                  <a:alpha val="50000"/>
                </a:srgbClr>
              </a:solidFill>
              <a:ln w="19050" cap="flat" cmpd="sng" algn="ctr">
                <a:solidFill>
                  <a:srgbClr val="40E0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E-E7E1-244A-9314-406E074ADCCA}"/>
              </c:ext>
            </c:extLst>
          </c:dPt>
          <c:dPt>
            <c:idx val="46"/>
            <c:invertIfNegative val="0"/>
            <c:bubble3D val="0"/>
            <c:spPr>
              <a:solidFill>
                <a:srgbClr val="C6A0FB">
                  <a:alpha val="50000"/>
                </a:srgbClr>
              </a:solidFill>
              <a:ln w="19050" cap="flat" cmpd="sng" algn="ctr">
                <a:solidFill>
                  <a:srgbClr val="C6A0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F-E7E1-244A-9314-406E074ADCCA}"/>
              </c:ext>
            </c:extLst>
          </c:dPt>
          <c:dPt>
            <c:idx val="47"/>
            <c:invertIfNegative val="0"/>
            <c:bubble3D val="0"/>
            <c:spPr>
              <a:solidFill>
                <a:srgbClr val="7DC3F6">
                  <a:alpha val="50000"/>
                </a:srgbClr>
              </a:solidFill>
              <a:ln w="19050" cap="flat" cmpd="sng" algn="ctr">
                <a:solidFill>
                  <a:srgbClr val="7DC3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0-E7E1-244A-9314-406E074ADCCA}"/>
              </c:ext>
            </c:extLst>
          </c:dPt>
          <c:dPt>
            <c:idx val="48"/>
            <c:invertIfNegative val="0"/>
            <c:bubble3D val="0"/>
            <c:spPr>
              <a:solidFill>
                <a:srgbClr val="69CDF4">
                  <a:alpha val="50000"/>
                </a:srgbClr>
              </a:solidFill>
              <a:ln w="19050" cap="flat" cmpd="sng" algn="ctr">
                <a:solidFill>
                  <a:srgbClr val="69CD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1-E7E1-244A-9314-406E074ADCCA}"/>
              </c:ext>
            </c:extLst>
          </c:dPt>
          <c:dPt>
            <c:idx val="49"/>
            <c:invertIfNegative val="0"/>
            <c:bubble3D val="0"/>
            <c:spPr>
              <a:solidFill>
                <a:srgbClr val="C7A0FB">
                  <a:alpha val="50000"/>
                </a:srgbClr>
              </a:solidFill>
              <a:ln w="19050" cap="flat" cmpd="sng" algn="ctr">
                <a:solidFill>
                  <a:srgbClr val="C7A0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2-E7E1-244A-9314-406E074ADCCA}"/>
              </c:ext>
            </c:extLst>
          </c:dPt>
          <c:dPt>
            <c:idx val="50"/>
            <c:invertIfNegative val="0"/>
            <c:bubble3D val="0"/>
            <c:spPr>
              <a:solidFill>
                <a:srgbClr val="65CFF4">
                  <a:alpha val="50000"/>
                </a:srgbClr>
              </a:solidFill>
              <a:ln w="19050" cap="flat" cmpd="sng" algn="ctr">
                <a:solidFill>
                  <a:srgbClr val="65CF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3-E7E1-244A-9314-406E074ADCCA}"/>
              </c:ext>
            </c:extLst>
          </c:dPt>
          <c:dPt>
            <c:idx val="51"/>
            <c:invertIfNegative val="0"/>
            <c:bubble3D val="0"/>
            <c:spPr>
              <a:solidFill>
                <a:srgbClr val="3DE2F1">
                  <a:alpha val="50000"/>
                </a:srgbClr>
              </a:solidFill>
              <a:ln w="19050" cap="flat" cmpd="sng" algn="ctr">
                <a:solidFill>
                  <a:srgbClr val="3DE2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4-E7E1-244A-9314-406E074ADCCA}"/>
              </c:ext>
            </c:extLst>
          </c:dPt>
          <c:dPt>
            <c:idx val="52"/>
            <c:invertIfNegative val="0"/>
            <c:bubble3D val="0"/>
            <c:spPr>
              <a:solidFill>
                <a:srgbClr val="04FDED">
                  <a:alpha val="50000"/>
                </a:srgbClr>
              </a:solidFill>
              <a:ln w="19050" cap="flat" cmpd="sng" algn="ctr">
                <a:solidFill>
                  <a:srgbClr val="04FD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5-E7E1-244A-9314-406E074ADCCA}"/>
              </c:ext>
            </c:extLst>
          </c:dPt>
          <c:dPt>
            <c:idx val="53"/>
            <c:invertIfNegative val="0"/>
            <c:bubble3D val="0"/>
            <c:spPr>
              <a:solidFill>
                <a:srgbClr val="52D8F3">
                  <a:alpha val="50000"/>
                </a:srgbClr>
              </a:solidFill>
              <a:ln w="19050" cap="flat" cmpd="sng" algn="ctr">
                <a:solidFill>
                  <a:srgbClr val="52D8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6-E7E1-244A-9314-406E074ADCCA}"/>
              </c:ext>
            </c:extLst>
          </c:dPt>
          <c:dPt>
            <c:idx val="54"/>
            <c:invertIfNegative val="0"/>
            <c:bubble3D val="0"/>
            <c:spPr>
              <a:solidFill>
                <a:srgbClr val="55D6F3">
                  <a:alpha val="50000"/>
                </a:srgbClr>
              </a:solidFill>
              <a:ln w="19050" cap="flat" cmpd="sng" algn="ctr">
                <a:solidFill>
                  <a:srgbClr val="55D6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7-E7E1-244A-9314-406E074ADCCA}"/>
              </c:ext>
            </c:extLst>
          </c:dPt>
          <c:dPt>
            <c:idx val="55"/>
            <c:invertIfNegative val="0"/>
            <c:bubble3D val="0"/>
            <c:spPr>
              <a:solidFill>
                <a:srgbClr val="86BFF6">
                  <a:alpha val="50000"/>
                </a:srgbClr>
              </a:solidFill>
              <a:ln w="19050" cap="flat" cmpd="sng" algn="ctr">
                <a:solidFill>
                  <a:srgbClr val="86BF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8-E7E1-244A-9314-406E074ADCCA}"/>
              </c:ext>
            </c:extLst>
          </c:dPt>
          <c:dPt>
            <c:idx val="56"/>
            <c:invertIfNegative val="0"/>
            <c:bubble3D val="0"/>
            <c:spPr>
              <a:solidFill>
                <a:srgbClr val="0EF8EE">
                  <a:alpha val="50000"/>
                </a:srgbClr>
              </a:solidFill>
              <a:ln w="19050" cap="flat" cmpd="sng" algn="ctr">
                <a:solidFill>
                  <a:srgbClr val="0EF8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9-E7E1-244A-9314-406E074ADCCA}"/>
              </c:ext>
            </c:extLst>
          </c:dPt>
          <c:dPt>
            <c:idx val="57"/>
            <c:invertIfNegative val="0"/>
            <c:bubble3D val="0"/>
            <c:spPr>
              <a:solidFill>
                <a:srgbClr val="A9AEF9">
                  <a:alpha val="50000"/>
                </a:srgbClr>
              </a:solidFill>
              <a:ln w="19050" cap="flat" cmpd="sng" algn="ctr">
                <a:solidFill>
                  <a:srgbClr val="A9AE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A-E7E1-244A-9314-406E074ADCCA}"/>
              </c:ext>
            </c:extLst>
          </c:dPt>
          <c:dPt>
            <c:idx val="58"/>
            <c:invertIfNegative val="0"/>
            <c:bubble3D val="0"/>
            <c:spPr>
              <a:solidFill>
                <a:srgbClr val="B1AAF9">
                  <a:alpha val="50000"/>
                </a:srgbClr>
              </a:solidFill>
              <a:ln w="19050" cap="flat" cmpd="sng" algn="ctr">
                <a:solidFill>
                  <a:srgbClr val="B1AA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B-E7E1-244A-9314-406E074ADCCA}"/>
              </c:ext>
            </c:extLst>
          </c:dPt>
          <c:dPt>
            <c:idx val="59"/>
            <c:invertIfNegative val="0"/>
            <c:bubble3D val="0"/>
            <c:spPr>
              <a:solidFill>
                <a:srgbClr val="69CDF4">
                  <a:alpha val="50000"/>
                </a:srgbClr>
              </a:solidFill>
              <a:ln w="19050" cap="flat" cmpd="sng" algn="ctr">
                <a:solidFill>
                  <a:srgbClr val="69CD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C-E7E1-244A-9314-406E074ADCCA}"/>
              </c:ext>
            </c:extLst>
          </c:dPt>
          <c:dPt>
            <c:idx val="60"/>
            <c:invertIfNegative val="0"/>
            <c:bubble3D val="0"/>
            <c:spPr>
              <a:solidFill>
                <a:srgbClr val="6ECAF5">
                  <a:alpha val="50000"/>
                </a:srgbClr>
              </a:solidFill>
              <a:ln w="19050" cap="flat" cmpd="sng" algn="ctr">
                <a:solidFill>
                  <a:srgbClr val="6E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D-E7E1-244A-9314-406E074ADCCA}"/>
              </c:ext>
            </c:extLst>
          </c:dPt>
          <c:dPt>
            <c:idx val="61"/>
            <c:invertIfNegative val="0"/>
            <c:bubble3D val="0"/>
            <c:spPr>
              <a:solidFill>
                <a:srgbClr val="E890FD">
                  <a:alpha val="50000"/>
                </a:srgbClr>
              </a:solidFill>
              <a:ln w="19050" cap="flat" cmpd="sng" algn="ctr">
                <a:solidFill>
                  <a:srgbClr val="E890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E-E7E1-244A-9314-406E074ADCCA}"/>
              </c:ext>
            </c:extLst>
          </c:dPt>
          <c:dPt>
            <c:idx val="62"/>
            <c:invertIfNegative val="0"/>
            <c:bubble3D val="0"/>
            <c:spPr>
              <a:solidFill>
                <a:srgbClr val="7FC2F6">
                  <a:alpha val="50000"/>
                </a:srgbClr>
              </a:solidFill>
              <a:ln w="19050" cap="flat" cmpd="sng" algn="ctr">
                <a:solidFill>
                  <a:srgbClr val="7FC2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F-E7E1-244A-9314-406E074ADCCA}"/>
              </c:ext>
            </c:extLst>
          </c:dPt>
          <c:dPt>
            <c:idx val="63"/>
            <c:invertIfNegative val="0"/>
            <c:bubble3D val="0"/>
            <c:spPr>
              <a:solidFill>
                <a:srgbClr val="8CBCF7">
                  <a:alpha val="50000"/>
                </a:srgbClr>
              </a:solidFill>
              <a:ln w="19050" cap="flat" cmpd="sng" algn="ctr">
                <a:solidFill>
                  <a:srgbClr val="8CBC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0-E7E1-244A-9314-406E074ADCCA}"/>
              </c:ext>
            </c:extLst>
          </c:dPt>
          <c:dPt>
            <c:idx val="64"/>
            <c:invertIfNegative val="0"/>
            <c:bubble3D val="0"/>
            <c:spPr>
              <a:solidFill>
                <a:srgbClr val="AEACF9">
                  <a:alpha val="50000"/>
                </a:srgbClr>
              </a:solidFill>
              <a:ln w="19050" cap="flat" cmpd="sng" algn="ctr">
                <a:solidFill>
                  <a:srgbClr val="AEAC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1-E7E1-244A-9314-406E074ADCCA}"/>
              </c:ext>
            </c:extLst>
          </c:dPt>
          <c:dPt>
            <c:idx val="65"/>
            <c:invertIfNegative val="0"/>
            <c:bubble3D val="0"/>
            <c:spPr>
              <a:solidFill>
                <a:srgbClr val="01FEED">
                  <a:alpha val="50000"/>
                </a:srgbClr>
              </a:solidFill>
              <a:ln w="19050" cap="flat" cmpd="sng" algn="ctr">
                <a:solidFill>
                  <a:srgbClr val="01FE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2-E7E1-244A-9314-406E074ADCCA}"/>
              </c:ext>
            </c:extLst>
          </c:dPt>
          <c:dPt>
            <c:idx val="66"/>
            <c:invertIfNegative val="0"/>
            <c:bubble3D val="0"/>
            <c:spPr>
              <a:solidFill>
                <a:srgbClr val="FF7AE3">
                  <a:alpha val="50000"/>
                </a:srgbClr>
              </a:solidFill>
              <a:ln w="19050" cap="flat" cmpd="sng" algn="ctr">
                <a:solidFill>
                  <a:srgbClr val="FF7A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3-E7E1-244A-9314-406E074ADCCA}"/>
              </c:ext>
            </c:extLst>
          </c:dPt>
          <c:dPt>
            <c:idx val="67"/>
            <c:invertIfNegative val="0"/>
            <c:bubble3D val="0"/>
            <c:spPr>
              <a:solidFill>
                <a:srgbClr val="C7A0FB">
                  <a:alpha val="50000"/>
                </a:srgbClr>
              </a:solidFill>
              <a:ln w="19050" cap="flat" cmpd="sng" algn="ctr">
                <a:solidFill>
                  <a:srgbClr val="C7A0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4-E7E1-244A-9314-406E074ADCCA}"/>
              </c:ext>
            </c:extLst>
          </c:dPt>
          <c:dPt>
            <c:idx val="68"/>
            <c:invertIfNegative val="0"/>
            <c:bubble3D val="0"/>
            <c:spPr>
              <a:solidFill>
                <a:srgbClr val="60D1F4">
                  <a:alpha val="50000"/>
                </a:srgbClr>
              </a:solidFill>
              <a:ln w="19050" cap="flat" cmpd="sng" algn="ctr">
                <a:solidFill>
                  <a:srgbClr val="60D1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5-E7E1-244A-9314-406E074ADCCA}"/>
              </c:ext>
            </c:extLst>
          </c:dPt>
          <c:dPt>
            <c:idx val="69"/>
            <c:invertIfNegative val="0"/>
            <c:bubble3D val="0"/>
            <c:spPr>
              <a:solidFill>
                <a:srgbClr val="C2A2FB">
                  <a:alpha val="50000"/>
                </a:srgbClr>
              </a:solidFill>
              <a:ln w="19050" cap="flat" cmpd="sng" algn="ctr">
                <a:solidFill>
                  <a:srgbClr val="C2A2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6-E7E1-244A-9314-406E074ADCCA}"/>
              </c:ext>
            </c:extLst>
          </c:dPt>
          <c:dPt>
            <c:idx val="70"/>
            <c:invertIfNegative val="0"/>
            <c:bubble3D val="0"/>
            <c:spPr>
              <a:solidFill>
                <a:srgbClr val="7EC3F6">
                  <a:alpha val="50000"/>
                </a:srgbClr>
              </a:solidFill>
              <a:ln w="19050" cap="flat" cmpd="sng" algn="ctr">
                <a:solidFill>
                  <a:srgbClr val="7EC3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7-E7E1-244A-9314-406E074ADCCA}"/>
              </c:ext>
            </c:extLst>
          </c:dPt>
          <c:dPt>
            <c:idx val="71"/>
            <c:invertIfNegative val="0"/>
            <c:bubble3D val="0"/>
            <c:spPr>
              <a:solidFill>
                <a:srgbClr val="6FCAF5">
                  <a:alpha val="50000"/>
                </a:srgbClr>
              </a:solidFill>
              <a:ln w="19050" cap="flat" cmpd="sng" algn="ctr">
                <a:solidFill>
                  <a:srgbClr val="6F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8-E7E1-244A-9314-406E074ADCCA}"/>
              </c:ext>
            </c:extLst>
          </c:dPt>
          <c:dPt>
            <c:idx val="72"/>
            <c:invertIfNegative val="0"/>
            <c:bubble3D val="0"/>
            <c:spPr>
              <a:solidFill>
                <a:srgbClr val="FC86FF">
                  <a:alpha val="50000"/>
                </a:srgbClr>
              </a:solidFill>
              <a:ln w="19050" cap="flat" cmpd="sng" algn="ctr">
                <a:solidFill>
                  <a:srgbClr val="FC86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9-E7E1-244A-9314-406E074ADCCA}"/>
              </c:ext>
            </c:extLst>
          </c:dPt>
          <c:dPt>
            <c:idx val="73"/>
            <c:invertIfNegative val="0"/>
            <c:bubble3D val="0"/>
            <c:spPr>
              <a:solidFill>
                <a:srgbClr val="B9A6FA">
                  <a:alpha val="50000"/>
                </a:srgbClr>
              </a:solidFill>
              <a:ln w="19050" cap="flat" cmpd="sng" algn="ctr">
                <a:solidFill>
                  <a:srgbClr val="B9A6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A-E7E1-244A-9314-406E074ADCCA}"/>
              </c:ext>
            </c:extLst>
          </c:dPt>
          <c:dPt>
            <c:idx val="74"/>
            <c:invertIfNegative val="0"/>
            <c:bubble3D val="0"/>
            <c:spPr>
              <a:solidFill>
                <a:srgbClr val="0EF8EE">
                  <a:alpha val="50000"/>
                </a:srgbClr>
              </a:solidFill>
              <a:ln w="19050" cap="flat" cmpd="sng" algn="ctr">
                <a:solidFill>
                  <a:srgbClr val="0EF8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B-E7E1-244A-9314-406E074ADCCA}"/>
              </c:ext>
            </c:extLst>
          </c:dPt>
          <c:dPt>
            <c:idx val="75"/>
            <c:invertIfNegative val="0"/>
            <c:bubble3D val="0"/>
            <c:spPr>
              <a:solidFill>
                <a:srgbClr val="57D6F3">
                  <a:alpha val="50000"/>
                </a:srgbClr>
              </a:solidFill>
              <a:ln w="19050" cap="flat" cmpd="sng" algn="ctr">
                <a:solidFill>
                  <a:srgbClr val="57D6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C-E7E1-244A-9314-406E074ADCCA}"/>
              </c:ext>
            </c:extLst>
          </c:dPt>
          <c:dPt>
            <c:idx val="76"/>
            <c:invertIfNegative val="0"/>
            <c:bubble3D val="0"/>
            <c:spPr>
              <a:solidFill>
                <a:srgbClr val="57D5F3">
                  <a:alpha val="50000"/>
                </a:srgbClr>
              </a:solidFill>
              <a:ln w="19050" cap="flat" cmpd="sng" algn="ctr">
                <a:solidFill>
                  <a:srgbClr val="57D5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D-E7E1-244A-9314-406E074ADCCA}"/>
              </c:ext>
            </c:extLst>
          </c:dPt>
          <c:dPt>
            <c:idx val="77"/>
            <c:invertIfNegative val="0"/>
            <c:bubble3D val="0"/>
            <c:spPr>
              <a:solidFill>
                <a:srgbClr val="7AC5F6">
                  <a:alpha val="50000"/>
                </a:srgbClr>
              </a:solidFill>
              <a:ln w="19050" cap="flat" cmpd="sng" algn="ctr">
                <a:solidFill>
                  <a:srgbClr val="7AC5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E-E7E1-244A-9314-406E074ADCCA}"/>
              </c:ext>
            </c:extLst>
          </c:dPt>
          <c:dPt>
            <c:idx val="78"/>
            <c:invertIfNegative val="0"/>
            <c:bubble3D val="0"/>
            <c:spPr>
              <a:solidFill>
                <a:srgbClr val="98B6F8">
                  <a:alpha val="50000"/>
                </a:srgbClr>
              </a:solidFill>
              <a:ln w="19050" cap="flat" cmpd="sng" algn="ctr">
                <a:solidFill>
                  <a:srgbClr val="98B6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F-E7E1-244A-9314-406E074ADCCA}"/>
              </c:ext>
            </c:extLst>
          </c:dPt>
          <c:dPt>
            <c:idx val="79"/>
            <c:invertIfNegative val="0"/>
            <c:bubble3D val="0"/>
            <c:spPr>
              <a:solidFill>
                <a:srgbClr val="D39AFC">
                  <a:alpha val="50000"/>
                </a:srgbClr>
              </a:solidFill>
              <a:ln w="19050" cap="flat" cmpd="sng" algn="ctr">
                <a:solidFill>
                  <a:srgbClr val="D39A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0-E7E1-244A-9314-406E074ADCCA}"/>
              </c:ext>
            </c:extLst>
          </c:dPt>
          <c:dPt>
            <c:idx val="80"/>
            <c:invertIfNegative val="0"/>
            <c:bubble3D val="0"/>
            <c:spPr>
              <a:solidFill>
                <a:srgbClr val="4FD9F3">
                  <a:alpha val="50000"/>
                </a:srgbClr>
              </a:solidFill>
              <a:ln w="19050" cap="flat" cmpd="sng" algn="ctr">
                <a:solidFill>
                  <a:srgbClr val="4FD9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1-E7E1-244A-9314-406E074ADCCA}"/>
              </c:ext>
            </c:extLst>
          </c:dPt>
          <c:dPt>
            <c:idx val="81"/>
            <c:invertIfNegative val="0"/>
            <c:bubble3D val="0"/>
            <c:spPr>
              <a:solidFill>
                <a:srgbClr val="55D6F3">
                  <a:alpha val="50000"/>
                </a:srgbClr>
              </a:solidFill>
              <a:ln w="19050" cap="flat" cmpd="sng" algn="ctr">
                <a:solidFill>
                  <a:srgbClr val="55D6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2-E7E1-244A-9314-406E074ADCCA}"/>
              </c:ext>
            </c:extLst>
          </c:dPt>
          <c:dPt>
            <c:idx val="82"/>
            <c:invertIfNegative val="0"/>
            <c:bubble3D val="0"/>
            <c:spPr>
              <a:solidFill>
                <a:srgbClr val="8BBDF7">
                  <a:alpha val="50000"/>
                </a:srgbClr>
              </a:solidFill>
              <a:ln w="19050" cap="flat" cmpd="sng" algn="ctr">
                <a:solidFill>
                  <a:srgbClr val="8BBD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3-E7E1-244A-9314-406E074ADCCA}"/>
              </c:ext>
            </c:extLst>
          </c:dPt>
          <c:dPt>
            <c:idx val="83"/>
            <c:invertIfNegative val="0"/>
            <c:bubble3D val="0"/>
            <c:spPr>
              <a:solidFill>
                <a:srgbClr val="FD86FF">
                  <a:alpha val="50000"/>
                </a:srgbClr>
              </a:solidFill>
              <a:ln w="19050" cap="flat" cmpd="sng" algn="ctr">
                <a:solidFill>
                  <a:srgbClr val="FD86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4-E7E1-244A-9314-406E074ADCCA}"/>
              </c:ext>
            </c:extLst>
          </c:dPt>
          <c:dPt>
            <c:idx val="84"/>
            <c:invertIfNegative val="0"/>
            <c:bubble3D val="0"/>
            <c:spPr>
              <a:solidFill>
                <a:srgbClr val="FF84FC">
                  <a:alpha val="50000"/>
                </a:srgbClr>
              </a:solidFill>
              <a:ln w="19050" cap="flat" cmpd="sng" algn="ctr">
                <a:solidFill>
                  <a:srgbClr val="FF84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5-E7E1-244A-9314-406E074ADCCA}"/>
              </c:ext>
            </c:extLst>
          </c:dPt>
          <c:dPt>
            <c:idx val="85"/>
            <c:invertIfNegative val="0"/>
            <c:bubble3D val="0"/>
            <c:spPr>
              <a:solidFill>
                <a:srgbClr val="E890FD">
                  <a:alpha val="50000"/>
                </a:srgbClr>
              </a:solidFill>
              <a:ln w="19050" cap="flat" cmpd="sng" algn="ctr">
                <a:solidFill>
                  <a:srgbClr val="E890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6-E7E1-244A-9314-406E074ADCCA}"/>
              </c:ext>
            </c:extLst>
          </c:dPt>
          <c:dPt>
            <c:idx val="86"/>
            <c:invertIfNegative val="0"/>
            <c:bubble3D val="0"/>
            <c:spPr>
              <a:solidFill>
                <a:srgbClr val="A9AEF9">
                  <a:alpha val="50000"/>
                </a:srgbClr>
              </a:solidFill>
              <a:ln w="19050" cap="flat" cmpd="sng" algn="ctr">
                <a:solidFill>
                  <a:srgbClr val="A9AE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7-E7E1-244A-9314-406E074ADCCA}"/>
              </c:ext>
            </c:extLst>
          </c:dPt>
          <c:dPt>
            <c:idx val="87"/>
            <c:invertIfNegative val="0"/>
            <c:bubble3D val="0"/>
            <c:spPr>
              <a:solidFill>
                <a:srgbClr val="4FD9F3">
                  <a:alpha val="50000"/>
                </a:srgbClr>
              </a:solidFill>
              <a:ln w="19050" cap="flat" cmpd="sng" algn="ctr">
                <a:solidFill>
                  <a:srgbClr val="4FD9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8-E7E1-244A-9314-406E074ADCCA}"/>
              </c:ext>
            </c:extLst>
          </c:dPt>
          <c:dPt>
            <c:idx val="88"/>
            <c:invertIfNegative val="0"/>
            <c:bubble3D val="0"/>
            <c:spPr>
              <a:solidFill>
                <a:srgbClr val="FF74D5">
                  <a:alpha val="50000"/>
                </a:srgbClr>
              </a:solidFill>
              <a:ln w="19050" cap="flat" cmpd="sng" algn="ctr">
                <a:solidFill>
                  <a:srgbClr val="FF74D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9-E7E1-244A-9314-406E074ADCCA}"/>
              </c:ext>
            </c:extLst>
          </c:dPt>
          <c:dPt>
            <c:idx val="89"/>
            <c:invertIfNegative val="0"/>
            <c:bubble3D val="0"/>
            <c:spPr>
              <a:solidFill>
                <a:srgbClr val="79C5F6">
                  <a:alpha val="50000"/>
                </a:srgbClr>
              </a:solidFill>
              <a:ln w="19050" cap="flat" cmpd="sng" algn="ctr">
                <a:solidFill>
                  <a:srgbClr val="79C5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A-E7E1-244A-9314-406E074ADCCA}"/>
              </c:ext>
            </c:extLst>
          </c:dPt>
          <c:dPt>
            <c:idx val="90"/>
            <c:invertIfNegative val="0"/>
            <c:bubble3D val="0"/>
            <c:spPr>
              <a:solidFill>
                <a:srgbClr val="F58AFE">
                  <a:alpha val="50000"/>
                </a:srgbClr>
              </a:solidFill>
              <a:ln w="19050" cap="flat" cmpd="sng" algn="ctr">
                <a:solidFill>
                  <a:srgbClr val="F58A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B-E7E1-244A-9314-406E074ADCCA}"/>
              </c:ext>
            </c:extLst>
          </c:dPt>
          <c:dPt>
            <c:idx val="91"/>
            <c:invertIfNegative val="0"/>
            <c:bubble3D val="0"/>
            <c:spPr>
              <a:solidFill>
                <a:srgbClr val="70C9F5">
                  <a:alpha val="50000"/>
                </a:srgbClr>
              </a:solidFill>
              <a:ln w="19050" cap="flat" cmpd="sng" algn="ctr">
                <a:solidFill>
                  <a:srgbClr val="70C9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C-E7E1-244A-9314-406E074ADCCA}"/>
              </c:ext>
            </c:extLst>
          </c:dPt>
          <c:dPt>
            <c:idx val="92"/>
            <c:invertIfNegative val="0"/>
            <c:bubble3D val="0"/>
            <c:spPr>
              <a:solidFill>
                <a:srgbClr val="FF85FE">
                  <a:alpha val="50000"/>
                </a:srgbClr>
              </a:solidFill>
              <a:ln w="19050" cap="flat" cmpd="sng" algn="ctr">
                <a:solidFill>
                  <a:srgbClr val="FF85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D-E7E1-244A-9314-406E074ADCCA}"/>
              </c:ext>
            </c:extLst>
          </c:dPt>
          <c:dPt>
            <c:idx val="93"/>
            <c:invertIfNegative val="0"/>
            <c:bubble3D val="0"/>
            <c:spPr>
              <a:solidFill>
                <a:srgbClr val="DA97FC">
                  <a:alpha val="50000"/>
                </a:srgbClr>
              </a:solidFill>
              <a:ln w="19050" cap="flat" cmpd="sng" algn="ctr">
                <a:solidFill>
                  <a:srgbClr val="DA97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E-E7E1-244A-9314-406E074ADCCA}"/>
              </c:ext>
            </c:extLst>
          </c:dPt>
          <c:dPt>
            <c:idx val="94"/>
            <c:invertIfNegative val="0"/>
            <c:bubble3D val="0"/>
            <c:spPr>
              <a:solidFill>
                <a:srgbClr val="FF7CE7">
                  <a:alpha val="50000"/>
                </a:srgbClr>
              </a:solidFill>
              <a:ln w="19050" cap="flat" cmpd="sng" algn="ctr">
                <a:solidFill>
                  <a:srgbClr val="FF7CE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F-E7E1-244A-9314-406E074ADCCA}"/>
              </c:ext>
            </c:extLst>
          </c:dPt>
          <c:dPt>
            <c:idx val="95"/>
            <c:invertIfNegative val="0"/>
            <c:bubble3D val="0"/>
            <c:spPr>
              <a:solidFill>
                <a:srgbClr val="FF81F6">
                  <a:alpha val="50000"/>
                </a:srgbClr>
              </a:solidFill>
              <a:ln w="19050" cap="flat" cmpd="sng" algn="ctr">
                <a:solidFill>
                  <a:srgbClr val="FF81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0-E7E1-244A-9314-406E074ADCCA}"/>
              </c:ext>
            </c:extLst>
          </c:dPt>
          <c:dPt>
            <c:idx val="96"/>
            <c:invertIfNegative val="0"/>
            <c:bubble3D val="0"/>
            <c:spPr>
              <a:solidFill>
                <a:srgbClr val="FF67B5">
                  <a:alpha val="50000"/>
                </a:srgbClr>
              </a:solidFill>
              <a:ln w="19050" cap="flat" cmpd="sng" algn="ctr">
                <a:solidFill>
                  <a:srgbClr val="FF67B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1-E7E1-244A-9314-406E074ADCCA}"/>
              </c:ext>
            </c:extLst>
          </c:dPt>
          <c:dPt>
            <c:idx val="97"/>
            <c:invertIfNegative val="0"/>
            <c:bubble3D val="0"/>
            <c:spPr>
              <a:solidFill>
                <a:srgbClr val="D599FC">
                  <a:alpha val="50000"/>
                </a:srgbClr>
              </a:solidFill>
              <a:ln w="19050" cap="flat" cmpd="sng" algn="ctr">
                <a:solidFill>
                  <a:srgbClr val="D599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2-E7E1-244A-9314-406E074ADCCA}"/>
              </c:ext>
            </c:extLst>
          </c:dPt>
          <c:dPt>
            <c:idx val="98"/>
            <c:invertIfNegative val="0"/>
            <c:bubble3D val="0"/>
            <c:spPr>
              <a:solidFill>
                <a:srgbClr val="FF7EED">
                  <a:alpha val="50000"/>
                </a:srgbClr>
              </a:solidFill>
              <a:ln w="19050" cap="flat" cmpd="sng" algn="ctr">
                <a:solidFill>
                  <a:srgbClr val="FF7E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3-E7E1-244A-9314-406E074ADCCA}"/>
              </c:ext>
            </c:extLst>
          </c:dPt>
          <c:dPt>
            <c:idx val="99"/>
            <c:invertIfNegative val="0"/>
            <c:bubble3D val="0"/>
            <c:spPr>
              <a:solidFill>
                <a:srgbClr val="FF74D5">
                  <a:alpha val="50000"/>
                </a:srgbClr>
              </a:solidFill>
              <a:ln w="19050" cap="flat" cmpd="sng" algn="ctr">
                <a:solidFill>
                  <a:srgbClr val="FF74D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4-E7E1-244A-9314-406E074ADCCA}"/>
              </c:ext>
            </c:extLst>
          </c:dPt>
          <c:dPt>
            <c:idx val="100"/>
            <c:invertIfNegative val="0"/>
            <c:bubble3D val="0"/>
            <c:spPr>
              <a:solidFill>
                <a:srgbClr val="68CDF4">
                  <a:alpha val="50000"/>
                </a:srgbClr>
              </a:solidFill>
              <a:ln w="19050" cap="flat" cmpd="sng" algn="ctr">
                <a:solidFill>
                  <a:srgbClr val="68CD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5-E7E1-244A-9314-406E074ADCCA}"/>
              </c:ext>
            </c:extLst>
          </c:dPt>
          <c:dPt>
            <c:idx val="101"/>
            <c:invertIfNegative val="0"/>
            <c:bubble3D val="0"/>
            <c:spPr>
              <a:solidFill>
                <a:srgbClr val="34E6F1">
                  <a:alpha val="50000"/>
                </a:srgbClr>
              </a:solidFill>
              <a:ln w="19050" cap="flat" cmpd="sng" algn="ctr">
                <a:solidFill>
                  <a:srgbClr val="34E6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6-E7E1-244A-9314-406E074ADCCA}"/>
              </c:ext>
            </c:extLst>
          </c:dPt>
          <c:dPt>
            <c:idx val="102"/>
            <c:invertIfNegative val="0"/>
            <c:bubble3D val="0"/>
            <c:spPr>
              <a:solidFill>
                <a:srgbClr val="BDA5FA">
                  <a:alpha val="50000"/>
                </a:srgbClr>
              </a:solidFill>
              <a:ln w="19050" cap="flat" cmpd="sng" algn="ctr">
                <a:solidFill>
                  <a:srgbClr val="BDA5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7-E7E1-244A-9314-406E074ADCCA}"/>
              </c:ext>
            </c:extLst>
          </c:dPt>
          <c:dPt>
            <c:idx val="103"/>
            <c:invertIfNegative val="0"/>
            <c:bubble3D val="0"/>
            <c:spPr>
              <a:solidFill>
                <a:srgbClr val="FF79E0">
                  <a:alpha val="50000"/>
                </a:srgbClr>
              </a:solidFill>
              <a:ln w="19050" cap="flat" cmpd="sng" algn="ctr">
                <a:solidFill>
                  <a:srgbClr val="FF79E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7E1-244A-9314-406E074ADCCA}"/>
              </c:ext>
            </c:extLst>
          </c:dPt>
          <c:dPt>
            <c:idx val="104"/>
            <c:invertIfNegative val="0"/>
            <c:bubble3D val="0"/>
            <c:spPr>
              <a:solidFill>
                <a:srgbClr val="D49AFC">
                  <a:alpha val="50000"/>
                </a:srgbClr>
              </a:solidFill>
              <a:ln w="19050" cap="flat" cmpd="sng" algn="ctr">
                <a:solidFill>
                  <a:srgbClr val="D49A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9-E7E1-244A-9314-406E074ADCCA}"/>
              </c:ext>
            </c:extLst>
          </c:dPt>
          <c:dPt>
            <c:idx val="105"/>
            <c:invertIfNegative val="0"/>
            <c:bubble3D val="0"/>
            <c:spPr>
              <a:solidFill>
                <a:srgbClr val="84C0F6">
                  <a:alpha val="50000"/>
                </a:srgbClr>
              </a:solidFill>
              <a:ln w="19050" cap="flat" cmpd="sng" algn="ctr">
                <a:solidFill>
                  <a:srgbClr val="84C0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7E1-244A-9314-406E074ADCCA}"/>
              </c:ext>
            </c:extLst>
          </c:dPt>
          <c:dPt>
            <c:idx val="106"/>
            <c:invertIfNegative val="0"/>
            <c:bubble3D val="0"/>
            <c:spPr>
              <a:solidFill>
                <a:srgbClr val="E691FD">
                  <a:alpha val="50000"/>
                </a:srgbClr>
              </a:solidFill>
              <a:ln w="19050" cap="flat" cmpd="sng" algn="ctr">
                <a:solidFill>
                  <a:srgbClr val="E691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B-E7E1-244A-9314-406E074ADCCA}"/>
              </c:ext>
            </c:extLst>
          </c:dPt>
          <c:dPt>
            <c:idx val="107"/>
            <c:invertIfNegative val="0"/>
            <c:bubble3D val="0"/>
            <c:spPr>
              <a:solidFill>
                <a:srgbClr val="FF81F5">
                  <a:alpha val="50000"/>
                </a:srgbClr>
              </a:solidFill>
              <a:ln w="19050" cap="flat" cmpd="sng" algn="ctr">
                <a:solidFill>
                  <a:srgbClr val="FF81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7E1-244A-9314-406E074ADCCA}"/>
              </c:ext>
            </c:extLst>
          </c:dPt>
          <c:dPt>
            <c:idx val="108"/>
            <c:invertIfNegative val="0"/>
            <c:bubble3D val="0"/>
            <c:spPr>
              <a:solidFill>
                <a:srgbClr val="FF6BBD">
                  <a:alpha val="50000"/>
                </a:srgbClr>
              </a:solidFill>
              <a:ln w="19050" cap="flat" cmpd="sng" algn="ctr">
                <a:solidFill>
                  <a:srgbClr val="FF6BB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D-E7E1-244A-9314-406E074ADCCA}"/>
              </c:ext>
            </c:extLst>
          </c:dPt>
          <c:dPt>
            <c:idx val="109"/>
            <c:invertIfNegative val="0"/>
            <c:bubble3D val="0"/>
            <c:spPr>
              <a:solidFill>
                <a:srgbClr val="89BEF7">
                  <a:alpha val="50000"/>
                </a:srgbClr>
              </a:solidFill>
              <a:ln w="19050" cap="flat" cmpd="sng" algn="ctr">
                <a:solidFill>
                  <a:srgbClr val="89BE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7E1-244A-9314-406E074ADCCA}"/>
              </c:ext>
            </c:extLst>
          </c:dPt>
          <c:dPt>
            <c:idx val="110"/>
            <c:invertIfNegative val="0"/>
            <c:bubble3D val="0"/>
            <c:spPr>
              <a:solidFill>
                <a:srgbClr val="FF6EC6">
                  <a:alpha val="50000"/>
                </a:srgbClr>
              </a:solidFill>
              <a:ln w="19050" cap="flat" cmpd="sng" algn="ctr">
                <a:solidFill>
                  <a:srgbClr val="FF6EC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F-E7E1-244A-9314-406E074ADCCA}"/>
              </c:ext>
            </c:extLst>
          </c:dPt>
          <c:dPt>
            <c:idx val="111"/>
            <c:invertIfNegative val="0"/>
            <c:bubble3D val="0"/>
            <c:spPr>
              <a:solidFill>
                <a:srgbClr val="8BBCF7">
                  <a:alpha val="50000"/>
                </a:srgbClr>
              </a:solidFill>
              <a:ln w="19050" cap="flat" cmpd="sng" algn="ctr">
                <a:solidFill>
                  <a:srgbClr val="8BBC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7E1-244A-9314-406E074ADCCA}"/>
              </c:ext>
            </c:extLst>
          </c:dPt>
          <c:dPt>
            <c:idx val="112"/>
            <c:invertIfNegative val="0"/>
            <c:bubble3D val="0"/>
            <c:spPr>
              <a:solidFill>
                <a:srgbClr val="DD95FD">
                  <a:alpha val="50000"/>
                </a:srgbClr>
              </a:solidFill>
              <a:ln w="19050" cap="flat" cmpd="sng" algn="ctr">
                <a:solidFill>
                  <a:srgbClr val="DD95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1-E7E1-244A-9314-406E074ADCCA}"/>
              </c:ext>
            </c:extLst>
          </c:dPt>
          <c:dPt>
            <c:idx val="113"/>
            <c:invertIfNegative val="0"/>
            <c:bubble3D val="0"/>
            <c:spPr>
              <a:solidFill>
                <a:srgbClr val="FF81F5">
                  <a:alpha val="50000"/>
                </a:srgbClr>
              </a:solidFill>
              <a:ln w="19050" cap="flat" cmpd="sng" algn="ctr">
                <a:solidFill>
                  <a:srgbClr val="FF81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7E1-244A-9314-406E074ADCCA}"/>
              </c:ext>
            </c:extLst>
          </c:dPt>
          <c:dPt>
            <c:idx val="114"/>
            <c:invertIfNegative val="0"/>
            <c:bubble3D val="0"/>
            <c:spPr>
              <a:solidFill>
                <a:srgbClr val="FF85FF">
                  <a:alpha val="50000"/>
                </a:srgbClr>
              </a:solidFill>
              <a:ln w="19050" cap="flat" cmpd="sng" algn="ctr">
                <a:solidFill>
                  <a:srgbClr val="FF85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3-E7E1-244A-9314-406E074ADCCA}"/>
              </c:ext>
            </c:extLst>
          </c:dPt>
          <c:dPt>
            <c:idx val="115"/>
            <c:invertIfNegative val="0"/>
            <c:bubble3D val="0"/>
            <c:spPr>
              <a:solidFill>
                <a:srgbClr val="C1A3FB">
                  <a:alpha val="50000"/>
                </a:srgbClr>
              </a:solidFill>
              <a:ln w="19050" cap="flat" cmpd="sng" algn="ctr">
                <a:solidFill>
                  <a:srgbClr val="C1A3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7E1-244A-9314-406E074ADCCA}"/>
              </c:ext>
            </c:extLst>
          </c:dPt>
          <c:dPt>
            <c:idx val="116"/>
            <c:invertIfNegative val="0"/>
            <c:bubble3D val="0"/>
            <c:spPr>
              <a:solidFill>
                <a:srgbClr val="FF79E0">
                  <a:alpha val="50000"/>
                </a:srgbClr>
              </a:solidFill>
              <a:ln w="19050" cap="flat" cmpd="sng" algn="ctr">
                <a:solidFill>
                  <a:srgbClr val="FF79E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5-E7E1-244A-9314-406E074ADCCA}"/>
              </c:ext>
            </c:extLst>
          </c:dPt>
          <c:dPt>
            <c:idx val="117"/>
            <c:invertIfNegative val="0"/>
            <c:bubble3D val="0"/>
            <c:spPr>
              <a:solidFill>
                <a:srgbClr val="FF4765">
                  <a:alpha val="50000"/>
                </a:srgbClr>
              </a:solidFill>
              <a:ln w="19050" cap="flat" cmpd="sng" algn="ctr">
                <a:solidFill>
                  <a:srgbClr val="FF476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7E1-244A-9314-406E074ADCCA}"/>
              </c:ext>
            </c:extLst>
          </c:dPt>
          <c:dPt>
            <c:idx val="118"/>
            <c:invertIfNegative val="0"/>
            <c:bubble3D val="0"/>
            <c:spPr>
              <a:solidFill>
                <a:srgbClr val="F28BFE">
                  <a:alpha val="50000"/>
                </a:srgbClr>
              </a:solidFill>
              <a:ln w="19050" cap="flat" cmpd="sng" algn="ctr">
                <a:solidFill>
                  <a:srgbClr val="F28B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7-E7E1-244A-9314-406E074ADCCA}"/>
              </c:ext>
            </c:extLst>
          </c:dPt>
          <c:dPt>
            <c:idx val="119"/>
            <c:invertIfNegative val="0"/>
            <c:bubble3D val="0"/>
            <c:spPr>
              <a:solidFill>
                <a:srgbClr val="F689FE">
                  <a:alpha val="50000"/>
                </a:srgbClr>
              </a:solidFill>
              <a:ln w="19050" cap="flat" cmpd="sng" algn="ctr">
                <a:solidFill>
                  <a:srgbClr val="F689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7E1-244A-9314-406E074ADCCA}"/>
              </c:ext>
            </c:extLst>
          </c:dPt>
          <c:dPt>
            <c:idx val="120"/>
            <c:invertIfNegative val="0"/>
            <c:bubble3D val="0"/>
            <c:spPr>
              <a:solidFill>
                <a:srgbClr val="B3A9FA">
                  <a:alpha val="50000"/>
                </a:srgbClr>
              </a:solidFill>
              <a:ln w="19050" cap="flat" cmpd="sng" algn="ctr">
                <a:solidFill>
                  <a:srgbClr val="B3A9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9-E7E1-244A-9314-406E074ADCCA}"/>
              </c:ext>
            </c:extLst>
          </c:dPt>
          <c:dPt>
            <c:idx val="121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7E1-244A-9314-406E074ADCCA}"/>
              </c:ext>
            </c:extLst>
          </c:dPt>
          <c:dPt>
            <c:idx val="122"/>
            <c:invertIfNegative val="0"/>
            <c:bubble3D val="0"/>
            <c:spPr>
              <a:solidFill>
                <a:srgbClr val="FF69B9">
                  <a:alpha val="50000"/>
                </a:srgbClr>
              </a:solidFill>
              <a:ln w="19050" cap="flat" cmpd="sng" algn="ctr">
                <a:solidFill>
                  <a:srgbClr val="FF69B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B-E7E1-244A-9314-406E074ADCCA}"/>
              </c:ext>
            </c:extLst>
          </c:dPt>
          <c:dPt>
            <c:idx val="123"/>
            <c:invertIfNegative val="0"/>
            <c:bubble3D val="0"/>
            <c:spPr>
              <a:solidFill>
                <a:srgbClr val="FF77DD">
                  <a:alpha val="50000"/>
                </a:srgbClr>
              </a:solidFill>
              <a:ln w="19050" cap="flat" cmpd="sng" algn="ctr">
                <a:solidFill>
                  <a:srgbClr val="FF77D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7E1-244A-9314-406E074ADCCA}"/>
              </c:ext>
            </c:extLst>
          </c:dPt>
          <c:dPt>
            <c:idx val="124"/>
            <c:invertIfNegative val="0"/>
            <c:bubble3D val="0"/>
            <c:spPr>
              <a:solidFill>
                <a:srgbClr val="25EDF0">
                  <a:alpha val="50000"/>
                </a:srgbClr>
              </a:solidFill>
              <a:ln w="19050" cap="flat" cmpd="sng" algn="ctr">
                <a:solidFill>
                  <a:srgbClr val="25ED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D-E7E1-244A-9314-406E074ADCCA}"/>
              </c:ext>
            </c:extLst>
          </c:dPt>
          <c:dPt>
            <c:idx val="125"/>
            <c:invertIfNegative val="0"/>
            <c:bubble3D val="0"/>
            <c:spPr>
              <a:solidFill>
                <a:srgbClr val="FF73D2">
                  <a:alpha val="50000"/>
                </a:srgbClr>
              </a:solidFill>
              <a:ln w="19050" cap="flat" cmpd="sng" algn="ctr">
                <a:solidFill>
                  <a:srgbClr val="FF73D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7E1-244A-9314-406E074ADCCA}"/>
              </c:ext>
            </c:extLst>
          </c:dPt>
          <c:dPt>
            <c:idx val="126"/>
            <c:invertIfNegative val="0"/>
            <c:bubble3D val="0"/>
            <c:spPr>
              <a:solidFill>
                <a:srgbClr val="FF78E0">
                  <a:alpha val="50000"/>
                </a:srgbClr>
              </a:solidFill>
              <a:ln w="19050" cap="flat" cmpd="sng" algn="ctr">
                <a:solidFill>
                  <a:srgbClr val="FF78E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F-E7E1-244A-9314-406E074ADCCA}"/>
              </c:ext>
            </c:extLst>
          </c:dPt>
          <c:dPt>
            <c:idx val="127"/>
            <c:invertIfNegative val="0"/>
            <c:bubble3D val="0"/>
            <c:spPr>
              <a:solidFill>
                <a:srgbClr val="FF7BE7">
                  <a:alpha val="50000"/>
                </a:srgbClr>
              </a:solidFill>
              <a:ln w="19050" cap="flat" cmpd="sng" algn="ctr">
                <a:solidFill>
                  <a:srgbClr val="FF7BE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0-E7E1-244A-9314-406E074ADCCA}"/>
              </c:ext>
            </c:extLst>
          </c:dPt>
          <c:dPt>
            <c:idx val="128"/>
            <c:invertIfNegative val="0"/>
            <c:bubble3D val="0"/>
            <c:spPr>
              <a:solidFill>
                <a:srgbClr val="FF6FC8">
                  <a:alpha val="50000"/>
                </a:srgbClr>
              </a:solidFill>
              <a:ln w="19050" cap="flat" cmpd="sng" algn="ctr">
                <a:solidFill>
                  <a:srgbClr val="FF6FC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1-E7E1-244A-9314-406E074ADCCA}"/>
              </c:ext>
            </c:extLst>
          </c:dPt>
          <c:dPt>
            <c:idx val="129"/>
            <c:invertIfNegative val="0"/>
            <c:bubble3D val="0"/>
            <c:spPr>
              <a:solidFill>
                <a:srgbClr val="FF5D9C">
                  <a:alpha val="50000"/>
                </a:srgbClr>
              </a:solidFill>
              <a:ln w="19050" cap="flat" cmpd="sng" algn="ctr">
                <a:solidFill>
                  <a:srgbClr val="FF5D9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2-E7E1-244A-9314-406E074ADCCA}"/>
              </c:ext>
            </c:extLst>
          </c:dPt>
          <c:dPt>
            <c:idx val="130"/>
            <c:invertIfNegative val="0"/>
            <c:bubble3D val="0"/>
            <c:spPr>
              <a:solidFill>
                <a:srgbClr val="FF62A8">
                  <a:alpha val="50000"/>
                </a:srgbClr>
              </a:solidFill>
              <a:ln w="19050" cap="flat" cmpd="sng" algn="ctr">
                <a:solidFill>
                  <a:srgbClr val="FF62A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3-E7E1-244A-9314-406E074ADCCA}"/>
              </c:ext>
            </c:extLst>
          </c:dPt>
          <c:dPt>
            <c:idx val="131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4-E7E1-244A-9314-406E074ADCCA}"/>
              </c:ext>
            </c:extLst>
          </c:dPt>
          <c:dPt>
            <c:idx val="132"/>
            <c:invertIfNegative val="0"/>
            <c:bubble3D val="0"/>
            <c:spPr>
              <a:solidFill>
                <a:srgbClr val="FF74D5">
                  <a:alpha val="50000"/>
                </a:srgbClr>
              </a:solidFill>
              <a:ln w="19050" cap="flat" cmpd="sng" algn="ctr">
                <a:solidFill>
                  <a:srgbClr val="FF74D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5-E7E1-244A-9314-406E074ADCCA}"/>
              </c:ext>
            </c:extLst>
          </c:dPt>
          <c:dPt>
            <c:idx val="133"/>
            <c:invertIfNegative val="0"/>
            <c:bubble3D val="0"/>
            <c:spPr>
              <a:solidFill>
                <a:srgbClr val="FF5890">
                  <a:alpha val="50000"/>
                </a:srgbClr>
              </a:solidFill>
              <a:ln w="19050" cap="flat" cmpd="sng" algn="ctr">
                <a:solidFill>
                  <a:srgbClr val="FF589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6-E7E1-244A-9314-406E074ADCCA}"/>
              </c:ext>
            </c:extLst>
          </c:dPt>
          <c:dPt>
            <c:idx val="134"/>
            <c:invertIfNegative val="0"/>
            <c:bubble3D val="0"/>
            <c:spPr>
              <a:solidFill>
                <a:srgbClr val="FF82F7">
                  <a:alpha val="50000"/>
                </a:srgbClr>
              </a:solidFill>
              <a:ln w="19050" cap="flat" cmpd="sng" algn="ctr">
                <a:solidFill>
                  <a:srgbClr val="FF82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7-E7E1-244A-9314-406E074ADCCA}"/>
              </c:ext>
            </c:extLst>
          </c:dPt>
          <c:dPt>
            <c:idx val="135"/>
            <c:invertIfNegative val="0"/>
            <c:bubble3D val="0"/>
            <c:spPr>
              <a:solidFill>
                <a:srgbClr val="FF588E">
                  <a:alpha val="50000"/>
                </a:srgbClr>
              </a:solidFill>
              <a:ln w="19050" cap="flat" cmpd="sng" algn="ctr">
                <a:solidFill>
                  <a:srgbClr val="FF588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8-E7E1-244A-9314-406E074ADCCA}"/>
              </c:ext>
            </c:extLst>
          </c:dPt>
          <c:dPt>
            <c:idx val="136"/>
            <c:invertIfNegative val="0"/>
            <c:bubble3D val="0"/>
            <c:spPr>
              <a:solidFill>
                <a:srgbClr val="FF5A95">
                  <a:alpha val="50000"/>
                </a:srgbClr>
              </a:solidFill>
              <a:ln w="19050" cap="flat" cmpd="sng" algn="ctr">
                <a:solidFill>
                  <a:srgbClr val="FF5A9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9-E7E1-244A-9314-406E074ADCCA}"/>
              </c:ext>
            </c:extLst>
          </c:dPt>
          <c:dPt>
            <c:idx val="137"/>
            <c:invertIfNegative val="0"/>
            <c:bubble3D val="0"/>
            <c:spPr>
              <a:solidFill>
                <a:srgbClr val="FF77DC">
                  <a:alpha val="50000"/>
                </a:srgbClr>
              </a:solidFill>
              <a:ln w="19050" cap="flat" cmpd="sng" algn="ctr">
                <a:solidFill>
                  <a:srgbClr val="FF77D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A-E7E1-244A-9314-406E074ADCCA}"/>
              </c:ext>
            </c:extLst>
          </c:dPt>
          <c:dPt>
            <c:idx val="138"/>
            <c:invertIfNegative val="0"/>
            <c:bubble3D val="0"/>
            <c:spPr>
              <a:solidFill>
                <a:srgbClr val="FF61A5">
                  <a:alpha val="50000"/>
                </a:srgbClr>
              </a:solidFill>
              <a:ln w="19050" cap="flat" cmpd="sng" algn="ctr">
                <a:solidFill>
                  <a:srgbClr val="FF61A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B-E7E1-244A-9314-406E074ADCCA}"/>
              </c:ext>
            </c:extLst>
          </c:dPt>
          <c:dPt>
            <c:idx val="139"/>
            <c:invertIfNegative val="0"/>
            <c:bubble3D val="0"/>
            <c:spPr>
              <a:solidFill>
                <a:srgbClr val="FF5589">
                  <a:alpha val="50000"/>
                </a:srgbClr>
              </a:solidFill>
              <a:ln w="19050" cap="flat" cmpd="sng" algn="ctr">
                <a:solidFill>
                  <a:srgbClr val="FF558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C-E7E1-244A-9314-406E074ADCCA}"/>
              </c:ext>
            </c:extLst>
          </c:dPt>
          <c:dPt>
            <c:idx val="140"/>
            <c:invertIfNegative val="0"/>
            <c:bubble3D val="0"/>
            <c:spPr>
              <a:solidFill>
                <a:srgbClr val="FF61A4">
                  <a:alpha val="50000"/>
                </a:srgbClr>
              </a:solidFill>
              <a:ln w="19050" cap="flat" cmpd="sng" algn="ctr">
                <a:solidFill>
                  <a:srgbClr val="FF61A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D-E7E1-244A-9314-406E074ADCCA}"/>
              </c:ext>
            </c:extLst>
          </c:dPt>
          <c:dPt>
            <c:idx val="141"/>
            <c:invertIfNegative val="0"/>
            <c:bubble3D val="0"/>
            <c:spPr>
              <a:solidFill>
                <a:srgbClr val="FF5990">
                  <a:alpha val="50000"/>
                </a:srgbClr>
              </a:solidFill>
              <a:ln w="19050" cap="flat" cmpd="sng" algn="ctr">
                <a:solidFill>
                  <a:srgbClr val="FF599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E-E7E1-244A-9314-406E074ADCCA}"/>
              </c:ext>
            </c:extLst>
          </c:dPt>
          <c:dPt>
            <c:idx val="142"/>
            <c:invertIfNegative val="0"/>
            <c:bubble3D val="0"/>
            <c:spPr>
              <a:solidFill>
                <a:srgbClr val="FF3C49">
                  <a:alpha val="50000"/>
                </a:srgbClr>
              </a:solidFill>
              <a:ln w="19050" cap="flat" cmpd="sng" algn="ctr">
                <a:solidFill>
                  <a:srgbClr val="FF3C4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F-E7E1-244A-9314-406E074ADCCA}"/>
              </c:ext>
            </c:extLst>
          </c:dPt>
          <c:dPt>
            <c:idx val="143"/>
            <c:invertIfNegative val="0"/>
            <c:bubble3D val="0"/>
            <c:spPr>
              <a:solidFill>
                <a:srgbClr val="FF5992">
                  <a:alpha val="50000"/>
                </a:srgbClr>
              </a:solidFill>
              <a:ln w="19050" cap="flat" cmpd="sng" algn="ctr">
                <a:solidFill>
                  <a:srgbClr val="FF599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0-E7E1-244A-9314-406E074ADCCA}"/>
              </c:ext>
            </c:extLst>
          </c:dPt>
          <c:dPt>
            <c:idx val="144"/>
            <c:invertIfNegative val="0"/>
            <c:bubble3D val="0"/>
            <c:spPr>
              <a:solidFill>
                <a:srgbClr val="FF5E9F">
                  <a:alpha val="50000"/>
                </a:srgbClr>
              </a:solidFill>
              <a:ln w="19050" cap="flat" cmpd="sng" algn="ctr">
                <a:solidFill>
                  <a:srgbClr val="FF5E9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1-E7E1-244A-9314-406E074ADCCA}"/>
              </c:ext>
            </c:extLst>
          </c:dPt>
          <c:dPt>
            <c:idx val="145"/>
            <c:invertIfNegative val="0"/>
            <c:bubble3D val="0"/>
            <c:spPr>
              <a:solidFill>
                <a:srgbClr val="FF5991">
                  <a:alpha val="50000"/>
                </a:srgbClr>
              </a:solidFill>
              <a:ln w="19050" cap="flat" cmpd="sng" algn="ctr">
                <a:solidFill>
                  <a:srgbClr val="FF599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2-E7E1-244A-9314-406E074ADCCA}"/>
              </c:ext>
            </c:extLst>
          </c:dPt>
          <c:dPt>
            <c:idx val="146"/>
            <c:invertIfNegative val="0"/>
            <c:bubble3D val="0"/>
            <c:spPr>
              <a:solidFill>
                <a:srgbClr val="FF445D">
                  <a:alpha val="50000"/>
                </a:srgbClr>
              </a:solidFill>
              <a:ln w="19050" cap="flat" cmpd="sng" algn="ctr">
                <a:solidFill>
                  <a:srgbClr val="FF445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3-E7E1-244A-9314-406E074ADCCA}"/>
              </c:ext>
            </c:extLst>
          </c:dPt>
          <c:dPt>
            <c:idx val="147"/>
            <c:invertIfNegative val="0"/>
            <c:bubble3D val="0"/>
            <c:spPr>
              <a:solidFill>
                <a:srgbClr val="FF7AE5">
                  <a:alpha val="50000"/>
                </a:srgbClr>
              </a:solidFill>
              <a:ln w="19050" cap="flat" cmpd="sng" algn="ctr">
                <a:solidFill>
                  <a:srgbClr val="FF7AE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4-E7E1-244A-9314-406E074ADCCA}"/>
              </c:ext>
            </c:extLst>
          </c:dPt>
          <c:dPt>
            <c:idx val="148"/>
            <c:invertIfNegative val="0"/>
            <c:bubble3D val="0"/>
            <c:spPr>
              <a:solidFill>
                <a:srgbClr val="FF4B6E">
                  <a:alpha val="50000"/>
                </a:srgbClr>
              </a:solidFill>
              <a:ln w="19050" cap="flat" cmpd="sng" algn="ctr">
                <a:solidFill>
                  <a:srgbClr val="FF4B6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5-E7E1-244A-9314-406E074ADCCA}"/>
              </c:ext>
            </c:extLst>
          </c:dPt>
          <c:dPt>
            <c:idx val="14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6-E7E1-244A-9314-406E074ADCCA}"/>
              </c:ext>
            </c:extLst>
          </c:dPt>
          <c:dPt>
            <c:idx val="150"/>
            <c:invertIfNegative val="0"/>
            <c:bubble3D val="0"/>
            <c:spPr>
              <a:solidFill>
                <a:srgbClr val="FF6ABC">
                  <a:alpha val="50000"/>
                </a:srgbClr>
              </a:solidFill>
              <a:ln w="19050" cap="flat" cmpd="sng" algn="ctr">
                <a:solidFill>
                  <a:srgbClr val="FF6AB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7-E7E1-244A-9314-406E074ADCCA}"/>
              </c:ext>
            </c:extLst>
          </c:dPt>
          <c:dPt>
            <c:idx val="151"/>
            <c:invertIfNegative val="0"/>
            <c:bubble3D val="0"/>
            <c:spPr>
              <a:solidFill>
                <a:srgbClr val="FF61A6">
                  <a:alpha val="50000"/>
                </a:srgbClr>
              </a:solidFill>
              <a:ln w="19050" cap="flat" cmpd="sng" algn="ctr">
                <a:solidFill>
                  <a:srgbClr val="FF61A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8-E7E1-244A-9314-406E074ADCCA}"/>
              </c:ext>
            </c:extLst>
          </c:dPt>
          <c:dPt>
            <c:idx val="152"/>
            <c:invertIfNegative val="0"/>
            <c:bubble3D val="0"/>
            <c:spPr>
              <a:solidFill>
                <a:srgbClr val="FF4867">
                  <a:alpha val="50000"/>
                </a:srgbClr>
              </a:solidFill>
              <a:ln w="19050" cap="flat" cmpd="sng" algn="ctr">
                <a:solidFill>
                  <a:srgbClr val="FF486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9-E7E1-244A-9314-406E074ADCCA}"/>
              </c:ext>
            </c:extLst>
          </c:dPt>
          <c:dPt>
            <c:idx val="153"/>
            <c:invertIfNegative val="0"/>
            <c:bubble3D val="0"/>
            <c:spPr>
              <a:solidFill>
                <a:srgbClr val="FF5992">
                  <a:alpha val="50000"/>
                </a:srgbClr>
              </a:solidFill>
              <a:ln w="19050" cap="flat" cmpd="sng" algn="ctr">
                <a:solidFill>
                  <a:srgbClr val="FF599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A-E7E1-244A-9314-406E074ADCCA}"/>
              </c:ext>
            </c:extLst>
          </c:dPt>
          <c:dPt>
            <c:idx val="154"/>
            <c:invertIfNegative val="0"/>
            <c:bubble3D val="0"/>
            <c:spPr>
              <a:solidFill>
                <a:srgbClr val="FF4764">
                  <a:alpha val="50000"/>
                </a:srgbClr>
              </a:solidFill>
              <a:ln w="19050" cap="flat" cmpd="sng" algn="ctr">
                <a:solidFill>
                  <a:srgbClr val="FF476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B-E7E1-244A-9314-406E074ADCCA}"/>
              </c:ext>
            </c:extLst>
          </c:dPt>
          <c:dPt>
            <c:idx val="155"/>
            <c:invertIfNegative val="0"/>
            <c:bubble3D val="0"/>
            <c:spPr>
              <a:solidFill>
                <a:srgbClr val="FF4765">
                  <a:alpha val="50000"/>
                </a:srgbClr>
              </a:solidFill>
              <a:ln w="19050" cap="flat" cmpd="sng" algn="ctr">
                <a:solidFill>
                  <a:srgbClr val="FF476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C-E7E1-244A-9314-406E074ADCCA}"/>
              </c:ext>
            </c:extLst>
          </c:dPt>
          <c:dPt>
            <c:idx val="156"/>
            <c:invertIfNegative val="0"/>
            <c:bubble3D val="0"/>
            <c:spPr>
              <a:solidFill>
                <a:srgbClr val="FF568A">
                  <a:alpha val="50000"/>
                </a:srgbClr>
              </a:solidFill>
              <a:ln w="19050" cap="flat" cmpd="sng" algn="ctr">
                <a:solidFill>
                  <a:srgbClr val="FF568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D-E7E1-244A-9314-406E074ADCCA}"/>
              </c:ext>
            </c:extLst>
          </c:dPt>
          <c:dPt>
            <c:idx val="157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E-E7E1-244A-9314-406E074ADCCA}"/>
              </c:ext>
            </c:extLst>
          </c:dPt>
          <c:dPt>
            <c:idx val="158"/>
            <c:invertIfNegative val="0"/>
            <c:bubble3D val="0"/>
            <c:spPr>
              <a:solidFill>
                <a:srgbClr val="FF445E">
                  <a:alpha val="50000"/>
                </a:srgbClr>
              </a:solidFill>
              <a:ln w="19050" cap="flat" cmpd="sng" algn="ctr">
                <a:solidFill>
                  <a:srgbClr val="FF445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F-E7E1-244A-9314-406E074ADCCA}"/>
              </c:ext>
            </c:extLst>
          </c:dPt>
          <c:dPt>
            <c:idx val="159"/>
            <c:invertIfNegative val="0"/>
            <c:bubble3D val="0"/>
            <c:spPr>
              <a:solidFill>
                <a:srgbClr val="FF517D">
                  <a:alpha val="50000"/>
                </a:srgbClr>
              </a:solidFill>
              <a:ln w="19050" cap="flat" cmpd="sng" algn="ctr">
                <a:solidFill>
                  <a:srgbClr val="FF517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0-E7E1-244A-9314-406E074ADCCA}"/>
              </c:ext>
            </c:extLst>
          </c:dPt>
          <c:dPt>
            <c:idx val="16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1-E7E1-244A-9314-406E074ADCCA}"/>
              </c:ext>
            </c:extLst>
          </c:dPt>
          <c:dPt>
            <c:idx val="161"/>
            <c:invertIfNegative val="0"/>
            <c:bubble3D val="0"/>
            <c:spPr>
              <a:solidFill>
                <a:srgbClr val="FF5281">
                  <a:alpha val="50000"/>
                </a:srgbClr>
              </a:solidFill>
              <a:ln w="19050" cap="flat" cmpd="sng" algn="ctr">
                <a:solidFill>
                  <a:srgbClr val="FF528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2-E7E1-244A-9314-406E074ADCCA}"/>
              </c:ext>
            </c:extLst>
          </c:dPt>
          <c:dPt>
            <c:idx val="16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3-E7E1-244A-9314-406E074ADCCA}"/>
              </c:ext>
            </c:extLst>
          </c:dPt>
          <c:dPt>
            <c:idx val="16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4-E7E1-244A-9314-406E074ADCCA}"/>
              </c:ext>
            </c:extLst>
          </c:dPt>
          <c:dPt>
            <c:idx val="164"/>
            <c:invertIfNegative val="0"/>
            <c:bubble3D val="0"/>
            <c:spPr>
              <a:solidFill>
                <a:srgbClr val="FF69BA">
                  <a:alpha val="50000"/>
                </a:srgbClr>
              </a:solidFill>
              <a:ln w="19050" cap="flat" cmpd="sng" algn="ctr">
                <a:solidFill>
                  <a:srgbClr val="FF69B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5-E7E1-244A-9314-406E074ADCCA}"/>
              </c:ext>
            </c:extLst>
          </c:dPt>
          <c:dPt>
            <c:idx val="165"/>
            <c:invertIfNegative val="0"/>
            <c:bubble3D val="0"/>
            <c:spPr>
              <a:solidFill>
                <a:srgbClr val="FF383E">
                  <a:alpha val="50000"/>
                </a:srgbClr>
              </a:solidFill>
              <a:ln w="19050" cap="flat" cmpd="sng" algn="ctr">
                <a:solidFill>
                  <a:srgbClr val="FF383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6-E7E1-244A-9314-406E074ADCCA}"/>
              </c:ext>
            </c:extLst>
          </c:dPt>
          <c:dPt>
            <c:idx val="16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7-E7E1-244A-9314-406E074ADCCA}"/>
              </c:ext>
            </c:extLst>
          </c:dPt>
          <c:dPt>
            <c:idx val="16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8-E7E1-244A-9314-406E074ADCCA}"/>
              </c:ext>
            </c:extLst>
          </c:dPt>
          <c:dPt>
            <c:idx val="168"/>
            <c:invertIfNegative val="0"/>
            <c:bubble3D val="0"/>
            <c:spPr>
              <a:solidFill>
                <a:srgbClr val="FF3639">
                  <a:alpha val="50000"/>
                </a:srgbClr>
              </a:solidFill>
              <a:ln w="19050" cap="flat" cmpd="sng" algn="ctr">
                <a:solidFill>
                  <a:srgbClr val="FF363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9-E7E1-244A-9314-406E074ADCCA}"/>
              </c:ext>
            </c:extLst>
          </c:dPt>
          <c:dPt>
            <c:idx val="169"/>
            <c:invertIfNegative val="0"/>
            <c:bubble3D val="0"/>
            <c:spPr>
              <a:solidFill>
                <a:srgbClr val="FF5A95">
                  <a:alpha val="50000"/>
                </a:srgbClr>
              </a:solidFill>
              <a:ln w="19050" cap="flat" cmpd="sng" algn="ctr">
                <a:solidFill>
                  <a:srgbClr val="FF5A9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A-E7E1-244A-9314-406E074ADCCA}"/>
              </c:ext>
            </c:extLst>
          </c:dPt>
          <c:dPt>
            <c:idx val="17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B-E7E1-244A-9314-406E074ADCCA}"/>
              </c:ext>
            </c:extLst>
          </c:dPt>
          <c:dPt>
            <c:idx val="171"/>
            <c:invertIfNegative val="0"/>
            <c:bubble3D val="0"/>
            <c:spPr>
              <a:solidFill>
                <a:srgbClr val="FF3436">
                  <a:alpha val="50000"/>
                </a:srgbClr>
              </a:solidFill>
              <a:ln w="19050" cap="flat" cmpd="sng" algn="ctr">
                <a:solidFill>
                  <a:srgbClr val="FF343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C-E7E1-244A-9314-406E074ADCCA}"/>
              </c:ext>
            </c:extLst>
          </c:dPt>
          <c:dPt>
            <c:idx val="172"/>
            <c:invertIfNegative val="0"/>
            <c:bubble3D val="0"/>
            <c:spPr>
              <a:solidFill>
                <a:srgbClr val="FF5381">
                  <a:alpha val="50000"/>
                </a:srgbClr>
              </a:solidFill>
              <a:ln w="19050" cap="flat" cmpd="sng" algn="ctr">
                <a:solidFill>
                  <a:srgbClr val="FF538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D-E7E1-244A-9314-406E074ADCCA}"/>
              </c:ext>
            </c:extLst>
          </c:dPt>
          <c:dPt>
            <c:idx val="173"/>
            <c:invertIfNegative val="0"/>
            <c:bubble3D val="0"/>
            <c:spPr>
              <a:solidFill>
                <a:srgbClr val="FF4969">
                  <a:alpha val="50000"/>
                </a:srgbClr>
              </a:solidFill>
              <a:ln w="19050" cap="flat" cmpd="sng" algn="ctr">
                <a:solidFill>
                  <a:srgbClr val="FF496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E-E7E1-244A-9314-406E074ADCCA}"/>
              </c:ext>
            </c:extLst>
          </c:dPt>
          <c:dPt>
            <c:idx val="174"/>
            <c:invertIfNegative val="0"/>
            <c:bubble3D val="0"/>
            <c:spPr>
              <a:solidFill>
                <a:srgbClr val="FF4661">
                  <a:alpha val="50000"/>
                </a:srgbClr>
              </a:solidFill>
              <a:ln w="19050" cap="flat" cmpd="sng" algn="ctr">
                <a:solidFill>
                  <a:srgbClr val="FF466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F-E7E1-244A-9314-406E074ADCCA}"/>
              </c:ext>
            </c:extLst>
          </c:dPt>
          <c:dPt>
            <c:idx val="175"/>
            <c:invertIfNegative val="0"/>
            <c:bubble3D val="0"/>
            <c:spPr>
              <a:solidFill>
                <a:srgbClr val="FF3434">
                  <a:alpha val="50000"/>
                </a:srgbClr>
              </a:solidFill>
              <a:ln w="19050" cap="flat" cmpd="sng" algn="ctr">
                <a:solidFill>
                  <a:srgbClr val="FF343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0-E7E1-244A-9314-406E074ADCCA}"/>
              </c:ext>
            </c:extLst>
          </c:dPt>
          <c:dPt>
            <c:idx val="17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1-E7E1-244A-9314-406E074ADCCA}"/>
              </c:ext>
            </c:extLst>
          </c:dPt>
          <c:dPt>
            <c:idx val="177"/>
            <c:invertIfNegative val="0"/>
            <c:bubble3D val="0"/>
            <c:spPr>
              <a:solidFill>
                <a:srgbClr val="FF5280">
                  <a:alpha val="50000"/>
                </a:srgbClr>
              </a:solidFill>
              <a:ln w="19050" cap="flat" cmpd="sng" algn="ctr">
                <a:solidFill>
                  <a:srgbClr val="FF528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2-E7E1-244A-9314-406E074ADCCA}"/>
              </c:ext>
            </c:extLst>
          </c:dPt>
          <c:dPt>
            <c:idx val="17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3-E7E1-244A-9314-406E074ADCCA}"/>
              </c:ext>
            </c:extLst>
          </c:dPt>
          <c:dPt>
            <c:idx val="179"/>
            <c:invertIfNegative val="0"/>
            <c:bubble3D val="0"/>
            <c:spPr>
              <a:solidFill>
                <a:srgbClr val="FF445D">
                  <a:alpha val="50000"/>
                </a:srgbClr>
              </a:solidFill>
              <a:ln w="19050" cap="flat" cmpd="sng" algn="ctr">
                <a:solidFill>
                  <a:srgbClr val="FF445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4-E7E1-244A-9314-406E074ADCCA}"/>
              </c:ext>
            </c:extLst>
          </c:dPt>
          <c:dPt>
            <c:idx val="180"/>
            <c:invertIfNegative val="0"/>
            <c:bubble3D val="0"/>
            <c:spPr>
              <a:solidFill>
                <a:srgbClr val="FF496B">
                  <a:alpha val="50000"/>
                </a:srgbClr>
              </a:solidFill>
              <a:ln w="19050" cap="flat" cmpd="sng" algn="ctr">
                <a:solidFill>
                  <a:srgbClr val="FF496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5-E7E1-244A-9314-406E074ADCCA}"/>
              </c:ext>
            </c:extLst>
          </c:dPt>
          <c:dPt>
            <c:idx val="18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6-E7E1-244A-9314-406E074ADCCA}"/>
              </c:ext>
            </c:extLst>
          </c:dPt>
          <c:dPt>
            <c:idx val="18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7-E7E1-244A-9314-406E074ADCCA}"/>
              </c:ext>
            </c:extLst>
          </c:dPt>
          <c:dPt>
            <c:idx val="18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8-E7E1-244A-9314-406E074ADCCA}"/>
              </c:ext>
            </c:extLst>
          </c:dPt>
          <c:dPt>
            <c:idx val="184"/>
            <c:invertIfNegative val="0"/>
            <c:bubble3D val="0"/>
            <c:spPr>
              <a:solidFill>
                <a:srgbClr val="FF3A43">
                  <a:alpha val="50000"/>
                </a:srgbClr>
              </a:solidFill>
              <a:ln w="19050" cap="flat" cmpd="sng" algn="ctr">
                <a:solidFill>
                  <a:srgbClr val="FF3A4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9-E7E1-244A-9314-406E074ADCCA}"/>
              </c:ext>
            </c:extLst>
          </c:dPt>
          <c:dPt>
            <c:idx val="18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A-E7E1-244A-9314-406E074ADCCA}"/>
              </c:ext>
            </c:extLst>
          </c:dPt>
          <c:dPt>
            <c:idx val="18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B-E7E1-244A-9314-406E074ADCCA}"/>
              </c:ext>
            </c:extLst>
          </c:dPt>
          <c:dPt>
            <c:idx val="18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C-E7E1-244A-9314-406E074ADCCA}"/>
              </c:ext>
            </c:extLst>
          </c:dPt>
          <c:dPt>
            <c:idx val="18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D-E7E1-244A-9314-406E074ADCCA}"/>
              </c:ext>
            </c:extLst>
          </c:dPt>
          <c:dPt>
            <c:idx val="18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E-E7E1-244A-9314-406E074ADCCA}"/>
              </c:ext>
            </c:extLst>
          </c:dPt>
          <c:dPt>
            <c:idx val="19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F-E7E1-244A-9314-406E074ADCCA}"/>
              </c:ext>
            </c:extLst>
          </c:dPt>
          <c:dPt>
            <c:idx val="19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0-E7E1-244A-9314-406E074ADCCA}"/>
              </c:ext>
            </c:extLst>
          </c:dPt>
          <c:dPt>
            <c:idx val="19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1-E7E1-244A-9314-406E074ADCCA}"/>
              </c:ext>
            </c:extLst>
          </c:dPt>
          <c:dPt>
            <c:idx val="19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2-E7E1-244A-9314-406E074ADCCA}"/>
              </c:ext>
            </c:extLst>
          </c:dPt>
          <c:dPt>
            <c:idx val="19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3-E7E1-244A-9314-406E074ADCCA}"/>
              </c:ext>
            </c:extLst>
          </c:dPt>
          <c:dPt>
            <c:idx val="19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4-E7E1-244A-9314-406E074ADCCA}"/>
              </c:ext>
            </c:extLst>
          </c:dPt>
          <c:dPt>
            <c:idx val="19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5-E7E1-244A-9314-406E074ADCCA}"/>
              </c:ext>
            </c:extLst>
          </c:dPt>
          <c:dPt>
            <c:idx val="19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6-E7E1-244A-9314-406E074ADCCA}"/>
              </c:ext>
            </c:extLst>
          </c:dPt>
          <c:dPt>
            <c:idx val="19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7-E7E1-244A-9314-406E074ADCCA}"/>
              </c:ext>
            </c:extLst>
          </c:dPt>
          <c:dPt>
            <c:idx val="19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8-E7E1-244A-9314-406E074ADCCA}"/>
              </c:ext>
            </c:extLst>
          </c:dPt>
          <c:dPt>
            <c:idx val="20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9-E7E1-244A-9314-406E074ADCCA}"/>
              </c:ext>
            </c:extLst>
          </c:dPt>
          <c:dPt>
            <c:idx val="20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A-E7E1-244A-9314-406E074ADCCA}"/>
              </c:ext>
            </c:extLst>
          </c:dPt>
          <c:dPt>
            <c:idx val="20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B-E7E1-244A-9314-406E074ADCCA}"/>
              </c:ext>
            </c:extLst>
          </c:dPt>
          <c:dPt>
            <c:idx val="20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C-E7E1-244A-9314-406E074ADCCA}"/>
              </c:ext>
            </c:extLst>
          </c:dPt>
          <c:dPt>
            <c:idx val="20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D-E7E1-244A-9314-406E074ADCCA}"/>
              </c:ext>
            </c:extLst>
          </c:dPt>
          <c:dPt>
            <c:idx val="20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E-E7E1-244A-9314-406E074ADCCA}"/>
              </c:ext>
            </c:extLst>
          </c:dPt>
          <c:dPt>
            <c:idx val="20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F-E7E1-244A-9314-406E074ADCCA}"/>
              </c:ext>
            </c:extLst>
          </c:dPt>
          <c:dPt>
            <c:idx val="20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0-E7E1-244A-9314-406E074ADCCA}"/>
              </c:ext>
            </c:extLst>
          </c:dPt>
          <c:dPt>
            <c:idx val="20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1-E7E1-244A-9314-406E074ADCCA}"/>
              </c:ext>
            </c:extLst>
          </c:dPt>
          <c:dPt>
            <c:idx val="20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2-E7E1-244A-9314-406E074ADCCA}"/>
              </c:ext>
            </c:extLst>
          </c:dPt>
          <c:dPt>
            <c:idx val="21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3-E7E1-244A-9314-406E074ADCCA}"/>
              </c:ext>
            </c:extLst>
          </c:dPt>
          <c:dPt>
            <c:idx val="21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4-E7E1-244A-9314-406E074ADCCA}"/>
              </c:ext>
            </c:extLst>
          </c:dPt>
          <c:dPt>
            <c:idx val="21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5-E7E1-244A-9314-406E074ADCCA}"/>
              </c:ext>
            </c:extLst>
          </c:dPt>
          <c:dPt>
            <c:idx val="21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6-E7E1-244A-9314-406E074ADCCA}"/>
              </c:ext>
            </c:extLst>
          </c:dPt>
          <c:dPt>
            <c:idx val="21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7-E7E1-244A-9314-406E074ADCCA}"/>
              </c:ext>
            </c:extLst>
          </c:dPt>
          <c:dPt>
            <c:idx val="21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8-E7E1-244A-9314-406E074ADCCA}"/>
              </c:ext>
            </c:extLst>
          </c:dPt>
          <c:dPt>
            <c:idx val="21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9-E7E1-244A-9314-406E074ADCCA}"/>
              </c:ext>
            </c:extLst>
          </c:dPt>
          <c:dPt>
            <c:idx val="21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A-E7E1-244A-9314-406E074ADCCA}"/>
              </c:ext>
            </c:extLst>
          </c:dPt>
          <c:dPt>
            <c:idx val="21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B-E7E1-244A-9314-406E074ADCCA}"/>
              </c:ext>
            </c:extLst>
          </c:dPt>
          <c:dPt>
            <c:idx val="21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C-E7E1-244A-9314-406E074ADCCA}"/>
              </c:ext>
            </c:extLst>
          </c:dPt>
          <c:dPt>
            <c:idx val="22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D-E7E1-244A-9314-406E074ADCCA}"/>
              </c:ext>
            </c:extLst>
          </c:dPt>
          <c:dPt>
            <c:idx val="22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E-E7E1-244A-9314-406E074ADCCA}"/>
              </c:ext>
            </c:extLst>
          </c:dPt>
          <c:dPt>
            <c:idx val="22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F-E7E1-244A-9314-406E074ADCCA}"/>
              </c:ext>
            </c:extLst>
          </c:dPt>
          <c:dPt>
            <c:idx val="22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0-E7E1-244A-9314-406E074ADCCA}"/>
              </c:ext>
            </c:extLst>
          </c:dPt>
          <c:dPt>
            <c:idx val="22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1-E7E1-244A-9314-406E074ADCCA}"/>
              </c:ext>
            </c:extLst>
          </c:dPt>
          <c:dPt>
            <c:idx val="22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2-E7E1-244A-9314-406E074ADCCA}"/>
              </c:ext>
            </c:extLst>
          </c:dPt>
          <c:dPt>
            <c:idx val="22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3-E7E1-244A-9314-406E074ADCCA}"/>
              </c:ext>
            </c:extLst>
          </c:dPt>
          <c:dPt>
            <c:idx val="22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4-E7E1-244A-9314-406E074ADCCA}"/>
              </c:ext>
            </c:extLst>
          </c:dPt>
          <c:dPt>
            <c:idx val="22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5-E7E1-244A-9314-406E074ADCCA}"/>
              </c:ext>
            </c:extLst>
          </c:dPt>
          <c:dPt>
            <c:idx val="22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6-E7E1-244A-9314-406E074ADCCA}"/>
              </c:ext>
            </c:extLst>
          </c:dPt>
          <c:dPt>
            <c:idx val="23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7-E7E1-244A-9314-406E074ADCCA}"/>
              </c:ext>
            </c:extLst>
          </c:dPt>
          <c:dPt>
            <c:idx val="23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8-E7E1-244A-9314-406E074ADCCA}"/>
              </c:ext>
            </c:extLst>
          </c:dPt>
          <c:dPt>
            <c:idx val="23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9-E7E1-244A-9314-406E074ADCCA}"/>
              </c:ext>
            </c:extLst>
          </c:dPt>
          <c:dPt>
            <c:idx val="23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A-E7E1-244A-9314-406E074ADCCA}"/>
              </c:ext>
            </c:extLst>
          </c:dPt>
          <c:dPt>
            <c:idx val="23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B-E7E1-244A-9314-406E074ADCCA}"/>
              </c:ext>
            </c:extLst>
          </c:dPt>
          <c:dPt>
            <c:idx val="23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C-E7E1-244A-9314-406E074ADCCA}"/>
              </c:ext>
            </c:extLst>
          </c:dPt>
          <c:dPt>
            <c:idx val="23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D-E7E1-244A-9314-406E074ADCCA}"/>
              </c:ext>
            </c:extLst>
          </c:dPt>
          <c:dPt>
            <c:idx val="23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E-E7E1-244A-9314-406E074ADCC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5" b="0" i="0" u="none" strike="noStrike" kern="1200" baseline="0">
                        <a:solidFill>
                          <a:srgbClr val="63636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754FDB3-6650-8B4B-AFD1-DC63D2E4BF8C}" type="CELLRANGE">
                      <a:rPr lang="en-US"/>
                      <a:pPr>
                        <a:defRPr sz="895">
                          <a:solidFill>
                            <a:srgbClr val="63636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5" b="0" i="0" u="none" strike="noStrike" kern="1200" baseline="0">
                      <a:solidFill>
                        <a:srgbClr val="63636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E1-244A-9314-406E074ADCC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58F4470-1896-2040-A1B9-438138E5C9CF}" type="CELLRANGE">
                      <a:rPr lang="en-US"/>
                      <a:pPr>
                        <a:defRPr sz="820">
                          <a:solidFill>
                            <a:srgbClr val="93939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E1-244A-9314-406E074ADCC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0" b="0" i="0" u="none" strike="noStrike" kern="1200" baseline="0">
                        <a:solidFill>
                          <a:srgbClr val="66666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1AB2321-FC29-A849-9540-695FEBFCDFFE}" type="CELLRANGE">
                      <a:rPr lang="en-US"/>
                      <a:pPr>
                        <a:defRPr sz="890">
                          <a:solidFill>
                            <a:srgbClr val="66666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0" b="0" i="0" u="none" strike="noStrike" kern="1200" baseline="0">
                      <a:solidFill>
                        <a:srgbClr val="66666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E1-244A-9314-406E074ADCC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2CC1197-38A9-154A-8E6D-ED4FB9A6EACB}" type="CELLRANGE">
                      <a:rPr lang="en-US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E1-244A-9314-406E074ADCC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0D4A3EB-2289-3940-892A-132E1624B45D}" type="CELLRANGE">
                      <a:rPr lang="en-US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E1-244A-9314-406E074ADCC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014DE89-897A-CC48-A3C9-E21905EA9358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E1-244A-9314-406E074ADCC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53FAFDF-3653-1F40-B530-5921CF05AB87}" type="CELLRANGE">
                      <a:rPr lang="en-US"/>
                      <a:pPr>
                        <a:defRPr sz="98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2.7856492163407329E-2"/>
                      <c:h val="3.804088694716634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7E1-244A-9314-406E074ADCC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2A5D930-99E6-B345-ABDE-AE37229249E3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E1-244A-9314-406E074ADCCA}"/>
                </c:ext>
              </c:extLst>
            </c:dLbl>
            <c:dLbl>
              <c:idx val="8"/>
              <c:layout>
                <c:manualLayout>
                  <c:x val="-3.3562029202477757E-2"/>
                  <c:y val="1.362456721884069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7676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FD54069-E8A0-BC44-BE58-6F9650E378BA}" type="CELLRANGE">
                      <a:rPr lang="en-US"/>
                      <a:pPr>
                        <a:defRPr sz="885">
                          <a:solidFill>
                            <a:srgbClr val="67676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7676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7E1-244A-9314-406E074ADCC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2BBE52D-7739-F944-BB90-5C432D39A31F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E1-244A-9314-406E074ADCCA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0844EA1-BD86-BB41-B400-67A573ACD398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E1-244A-9314-406E074ADCCA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5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DDCEAA1-50A3-A84B-BD7A-BC2DD8458EA2}" type="CELLRANGE">
                      <a:rPr lang="en-US"/>
                      <a:pPr>
                        <a:defRPr sz="985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5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E1-244A-9314-406E074ADCCA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356F258-A4AE-CB48-89E6-C4A0FA914BF2}" type="CELLRANGE">
                      <a:rPr lang="en-US"/>
                      <a:pPr>
                        <a:defRPr sz="101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E1-244A-9314-406E074ADCCA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1286765-F334-D64C-82ED-F9659730C3E5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E1-244A-9314-406E074ADCCA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CEC6D38-F1B2-3446-8B90-929CB5043240}" type="CELLRANGE">
                      <a:rPr lang="en-US"/>
                      <a:pPr>
                        <a:defRPr sz="885">
                          <a:solidFill>
                            <a:srgbClr val="68686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E1-244A-9314-406E074ADCCA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B6B6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308073B-C261-5748-B591-34EAEDC9DCDA}" type="CELLRANGE">
                      <a:rPr lang="en-US"/>
                      <a:pPr>
                        <a:defRPr sz="880">
                          <a:solidFill>
                            <a:srgbClr val="6B6B6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B6B6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E1-244A-9314-406E074ADCC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5412408-EF06-7849-9B3C-92E1E7C38E00}" type="CELLRANGE">
                      <a:rPr lang="en-US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E1-244A-9314-406E074ADCCA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19191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05CB6A5-71EA-2847-B2EF-701C58EF7C7C}" type="CELLRANGE">
                      <a:rPr lang="en-US"/>
                      <a:pPr>
                        <a:defRPr sz="820">
                          <a:solidFill>
                            <a:srgbClr val="919191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1919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E1-244A-9314-406E074ADCC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120" b="0" i="0" u="none" strike="noStrike" kern="1200" baseline="0">
                        <a:solidFill>
                          <a:srgbClr val="313131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9BBA435-160C-BD4D-9D58-241A3E68FA93}" type="CELLRANGE">
                      <a:rPr lang="en-US"/>
                      <a:pPr>
                        <a:defRPr sz="1120">
                          <a:solidFill>
                            <a:srgbClr val="313131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20" b="0" i="0" u="none" strike="noStrike" kern="1200" baseline="0">
                      <a:solidFill>
                        <a:srgbClr val="31313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E1-244A-9314-406E074ADCC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C6C6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ECF0B71-B131-8440-8D3B-7DEB34B6C0D2}" type="CELLRANGE">
                      <a:rPr lang="en-US"/>
                      <a:pPr>
                        <a:defRPr sz="880">
                          <a:solidFill>
                            <a:srgbClr val="6C6C6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C6C6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E1-244A-9314-406E074ADCC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A67FC55-5F4B-5B41-999B-27970E9D886B}" type="CELLRANGE">
                      <a:rPr lang="en-US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E1-244A-9314-406E074ADCCA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5" b="0" i="0" u="none" strike="noStrike" kern="1200" baseline="0">
                        <a:solidFill>
                          <a:srgbClr val="43434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47C7F53-A897-224D-9271-83EB0FDEBDD9}" type="CELLRANGE">
                      <a:rPr lang="en-US"/>
                      <a:pPr>
                        <a:defRPr sz="945">
                          <a:solidFill>
                            <a:srgbClr val="43434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5" b="0" i="0" u="none" strike="noStrike" kern="1200" baseline="0">
                      <a:solidFill>
                        <a:srgbClr val="43434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E1-244A-9314-406E074ADCCA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5A7CAC2-4FAE-D748-947D-61A3307450E6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E1-244A-9314-406E074ADCCA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ACC33D9-15A0-894D-AEC3-0576F15068E2}" type="CELLRANGE">
                      <a:rPr lang="en-US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E1-244A-9314-406E074ADCCA}"/>
                </c:ext>
              </c:extLst>
            </c:dLbl>
            <c:dLbl>
              <c:idx val="24"/>
              <c:layout>
                <c:manualLayout>
                  <c:x val="-3.4223918180846823E-2"/>
                  <c:y val="1.362456721884069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C7C7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71B4E0D-114D-884A-9967-04E30681363A}" type="CELLRANGE">
                      <a:rPr lang="en-US"/>
                      <a:pPr>
                        <a:defRPr sz="855">
                          <a:solidFill>
                            <a:srgbClr val="7C7C7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C7C7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7E1-244A-9314-406E074ADCCA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0" b="0" i="0" u="none" strike="noStrike" kern="1200" baseline="0">
                        <a:solidFill>
                          <a:srgbClr val="46464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EAA149A-5EE9-0C42-9D67-CBE44127A5BE}" type="CELLRANGE">
                      <a:rPr lang="en-US"/>
                      <a:pPr>
                        <a:defRPr sz="940">
                          <a:solidFill>
                            <a:srgbClr val="46464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0" b="0" i="0" u="none" strike="noStrike" kern="1200" baseline="0">
                      <a:solidFill>
                        <a:srgbClr val="46464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E1-244A-9314-406E074ADCC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01F7057-F62C-8A4D-980A-52F340DF2318}" type="CELLRANGE">
                      <a:rPr lang="en-US"/>
                      <a:pPr>
                        <a:defRPr sz="99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E1-244A-9314-406E074ADCC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B9B9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1CB9CCB-53DD-A34F-BCA1-43AE0598F79C}" type="CELLRANGE">
                      <a:rPr lang="en-US"/>
                      <a:pPr>
                        <a:defRPr sz="805">
                          <a:solidFill>
                            <a:srgbClr val="9B9B9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B9B9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E1-244A-9314-406E074ADCCA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5" b="0" i="0" u="none" strike="noStrike" kern="1200" baseline="0">
                        <a:solidFill>
                          <a:srgbClr val="8E8E8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2210D96-07A8-0E48-9E4B-6A70BE21FD9F}" type="CELLRANGE">
                      <a:rPr lang="en-US"/>
                      <a:pPr>
                        <a:defRPr sz="825">
                          <a:solidFill>
                            <a:srgbClr val="8E8E8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5" b="0" i="0" u="none" strike="noStrike" kern="1200" baseline="0">
                      <a:solidFill>
                        <a:srgbClr val="8E8E8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E1-244A-9314-406E074ADCC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87D5ADD-96B2-6644-94DE-A076F36C2E09}" type="CELLRANGE">
                      <a:rPr lang="en-US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E1-244A-9314-406E074ADCC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995E935-7422-0A49-959A-82B9ABA61CEC}" type="CELLRANGE">
                      <a:rPr lang="en-US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E1-244A-9314-406E074ADCCA}"/>
                </c:ext>
              </c:extLst>
            </c:dLbl>
            <c:dLbl>
              <c:idx val="31"/>
              <c:layout>
                <c:manualLayout>
                  <c:x val="-3.1555372130635723E-2"/>
                  <c:y val="1.362456721884069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60" b="0" i="0" u="none" strike="noStrike" kern="1200" baseline="0">
                        <a:solidFill>
                          <a:srgbClr val="78787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17B0331-8F0D-2D44-8695-E3F9EF7849C9}" type="CELLRANGE">
                      <a:rPr lang="en-US"/>
                      <a:pPr>
                        <a:defRPr sz="860">
                          <a:solidFill>
                            <a:srgbClr val="78787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60" b="0" i="0" u="none" strike="noStrike" kern="1200" baseline="0">
                      <a:solidFill>
                        <a:srgbClr val="78787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E7E1-244A-9314-406E074ADCC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4AD51E0-21CD-EF4F-8C23-5CC7588F321F}" type="CELLRANGE">
                      <a:rPr lang="en-US"/>
                      <a:pPr>
                        <a:defRPr sz="830">
                          <a:solidFill>
                            <a:srgbClr val="8A8A8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E1-244A-9314-406E074ADCC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56CC298-7036-8049-A0C4-613C091DB55E}" type="CELLRANGE">
                      <a:rPr lang="en-US"/>
                      <a:pPr>
                        <a:defRPr sz="98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E1-244A-9314-406E074ADCCA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695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2653328-EEC1-6546-BD56-C0DA54AE250B}" type="CELLRANGE">
                      <a:rPr lang="en-US"/>
                      <a:pPr>
                        <a:defRPr sz="1695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95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E1-244A-9314-406E074ADCCA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69E1C5E-E704-4C4E-869E-3336A35076F3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E1-244A-9314-406E074ADCCA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63DC706-F404-E448-B796-74F6AF7D1084}" type="CELLRANGE">
                      <a:rPr lang="en-US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E1-244A-9314-406E074ADCCA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4949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71BA491-4D6B-634B-BD9A-22AC16D368C8}" type="CELLRANGE">
                      <a:rPr lang="en-US"/>
                      <a:pPr>
                        <a:defRPr sz="815">
                          <a:solidFill>
                            <a:srgbClr val="94949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4949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E1-244A-9314-406E074ADCCA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5" b="0" i="0" u="none" strike="noStrike" kern="1200" baseline="0">
                        <a:solidFill>
                          <a:srgbClr val="5B5B5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59E7073-5AB8-8C40-BA60-84921DF0C250}" type="CELLRANGE">
                      <a:rPr lang="en-US"/>
                      <a:pPr>
                        <a:defRPr sz="905">
                          <a:solidFill>
                            <a:srgbClr val="5B5B5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5" b="0" i="0" u="none" strike="noStrike" kern="1200" baseline="0">
                      <a:solidFill>
                        <a:srgbClr val="5B5B5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E1-244A-9314-406E074ADCC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5BBF9A8-4218-044B-BD33-7B3C972468F1}" type="CELLRANGE">
                      <a:rPr lang="en-US"/>
                      <a:pPr>
                        <a:defRPr sz="97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E1-244A-9314-406E074ADCC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70" b="0" i="0" u="none" strike="noStrike" kern="1200" baseline="0">
                        <a:solidFill>
                          <a:srgbClr val="72727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7BCC7D8-7EB7-4642-A36D-E3C8AC07F9C6}" type="CELLRANGE">
                      <a:rPr lang="en-US"/>
                      <a:pPr>
                        <a:defRPr sz="870">
                          <a:solidFill>
                            <a:srgbClr val="727272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70" b="0" i="0" u="none" strike="noStrike" kern="1200" baseline="0">
                      <a:solidFill>
                        <a:srgbClr val="72727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E1-244A-9314-406E074ADCC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CFD40D9-13F0-2C4A-83C1-6716AA317AE1}" type="CELLRANGE">
                      <a:rPr lang="en-US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E1-244A-9314-406E074ADCCA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20" b="0" i="0" u="none" strike="noStrike" kern="1200" baseline="0">
                        <a:solidFill>
                          <a:srgbClr val="3A3A3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F3FB94D-4DB3-0F4D-81CE-7AC2F542EE76}" type="CELLRANGE">
                      <a:rPr lang="en-US"/>
                      <a:pPr>
                        <a:defRPr sz="1020">
                          <a:solidFill>
                            <a:srgbClr val="3A3A3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20" b="0" i="0" u="none" strike="noStrike" kern="1200" baseline="0">
                      <a:solidFill>
                        <a:srgbClr val="3A3A3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E1-244A-9314-406E074ADCC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E1-244A-9314-406E074ADCCA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A59A450-2EF2-8E49-A5D2-C81DDFF04AC4}" type="CELLRANGE">
                      <a:rPr lang="en-US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E1-244A-9314-406E074ADCCA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0" b="0" i="0" u="none" strike="noStrike" kern="1200" baseline="0">
                        <a:solidFill>
                          <a:srgbClr val="7D7D7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D1D78CF-2791-834E-854D-B637855F594A}" type="CELLRANGE">
                      <a:rPr lang="en-US"/>
                      <a:pPr>
                        <a:defRPr sz="850">
                          <a:solidFill>
                            <a:srgbClr val="7D7D7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0" b="0" i="0" u="none" strike="noStrike" kern="1200" baseline="0">
                      <a:solidFill>
                        <a:srgbClr val="7D7D7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E1-244A-9314-406E074ADCCA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FDCDAFC-64B3-824A-8D50-6C9DFF82C2FE}" type="CELLRANGE">
                      <a:rPr lang="en-US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E1-244A-9314-406E074ADCCA}"/>
                </c:ext>
              </c:extLst>
            </c:dLbl>
            <c:dLbl>
              <c:idx val="4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EF37148-DA9F-FB49-97F6-8A027F1FB301}" type="CELLRANGE">
                      <a:rPr lang="en-US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E1-244A-9314-406E074ADCCA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6E7078D-EE27-2540-9797-922BD082ECA5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E1-244A-9314-406E074ADCCA}"/>
                </c:ext>
              </c:extLst>
            </c:dLbl>
            <c:dLbl>
              <c:idx val="4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55" b="0" i="0" u="none" strike="noStrike" kern="1200" baseline="0">
                        <a:solidFill>
                          <a:srgbClr val="37373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5A06A74-3BCB-AB4D-B29F-7AC65FFFE0EC}" type="CELLRANGE">
                      <a:rPr lang="en-US"/>
                      <a:pPr>
                        <a:defRPr sz="1055">
                          <a:solidFill>
                            <a:srgbClr val="37373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5" b="0" i="0" u="none" strike="noStrike" kern="1200" baseline="0">
                      <a:solidFill>
                        <a:srgbClr val="37373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E1-244A-9314-406E074ADCC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8D97760-2CAD-6147-B417-E47C6B0D17CA}" type="CELLRANGE">
                      <a:rPr lang="en-US"/>
                      <a:pPr>
                        <a:defRPr sz="97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E1-244A-9314-406E074ADCCA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1BC8EB9-5DBD-C746-AC06-23B18A195918}" type="CELLRANGE">
                      <a:rPr lang="en-US"/>
                      <a:pPr>
                        <a:defRPr sz="98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E1-244A-9314-406E074ADCCA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2828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25BD5E5-00A0-3547-BFF3-2A205B1FA82F}" type="CELLRANGE">
                      <a:rPr lang="en-US"/>
                      <a:pPr>
                        <a:defRPr sz="845">
                          <a:solidFill>
                            <a:srgbClr val="828282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2828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E1-244A-9314-406E074ADCCA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FD3B514-F29D-4543-93BB-59A12E0D6C4F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E1-244A-9314-406E074ADCC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D5D5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0DA18E0-854B-6A48-88AA-DA4A0CC06AE6}" type="CELLRANGE">
                      <a:rPr lang="en-US"/>
                      <a:pPr>
                        <a:defRPr sz="900">
                          <a:solidFill>
                            <a:srgbClr val="5D5D5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D5D5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E1-244A-9314-406E074ADCCA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039241F-5880-D244-A10C-697214562CDB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E1-244A-9314-406E074ADCCA}"/>
                </c:ext>
              </c:extLst>
            </c:dLbl>
            <c:dLbl>
              <c:idx val="56"/>
              <c:layout>
                <c:manualLayout>
                  <c:x val="-4.7163138041434426E-2"/>
                  <c:y val="1.3624567218835699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F5FAA9F-5832-D04B-96BC-6159093A4662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E7E1-244A-9314-406E074ADCCA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F4BF92C-2E92-EF44-AFD2-3A3462002217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E1-244A-9314-406E074ADCCA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4B192EE-E3FB-1344-AFF2-A96D5B18A039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E1-244A-9314-406E074ADCC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66ADFD1-DBDD-AD49-92D1-8C4B53FBD0D0}" type="CELLRANGE">
                      <a:rPr lang="en-US"/>
                      <a:pPr>
                        <a:defRPr sz="885">
                          <a:solidFill>
                            <a:srgbClr val="68686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E1-244A-9314-406E074ADCC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A6A6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6D658D9-9080-2342-B846-B8C4C5A8B4B8}" type="CELLRANGE">
                      <a:rPr lang="en-US"/>
                      <a:pPr>
                        <a:defRPr sz="880">
                          <a:solidFill>
                            <a:srgbClr val="6A6A6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A6A6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E1-244A-9314-406E074ADCC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8DAC32A-7882-6041-A200-CD753DB0DE49}" type="CELLRANGE">
                      <a:rPr lang="en-US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E1-244A-9314-406E074ADCCA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B516988-A6D4-9E44-8BE6-A189A168D667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E1-244A-9314-406E074ADCCA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90" b="0" i="0" u="none" strike="noStrike" kern="1200" baseline="0">
                        <a:solidFill>
                          <a:srgbClr val="34343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6E8CDD3-062A-A848-B91C-97393E54E6B5}" type="CELLRANGE">
                      <a:rPr lang="en-US"/>
                      <a:pPr>
                        <a:defRPr sz="1090">
                          <a:solidFill>
                            <a:srgbClr val="34343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90" b="0" i="0" u="none" strike="noStrike" kern="1200" baseline="0">
                      <a:solidFill>
                        <a:srgbClr val="34343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E1-244A-9314-406E074ADCC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F7FD537-D01C-3547-BB1E-AAD828A6881B}" type="CELLRANGE">
                      <a:rPr lang="en-US"/>
                      <a:pPr>
                        <a:defRPr sz="101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E1-244A-9314-406E074ADCCA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65" b="0" i="0" u="none" strike="noStrike" kern="1200" baseline="0">
                        <a:solidFill>
                          <a:srgbClr val="74747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9F8EFE1-B0EE-C64F-B39D-773D5A2400CB}" type="CELLRANGE">
                      <a:rPr lang="en-US"/>
                      <a:pPr>
                        <a:defRPr sz="865">
                          <a:solidFill>
                            <a:srgbClr val="74747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65" b="0" i="0" u="none" strike="noStrike" kern="1200" baseline="0">
                      <a:solidFill>
                        <a:srgbClr val="74747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E1-244A-9314-406E074ADCC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4E60953-056A-8E48-ADB0-99442E03B0F7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E1-244A-9314-406E074ADCC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4C53F8A-5D9B-6641-BAE2-0069A98BE3FF}" type="CELLRANGE">
                      <a:rPr lang="en-US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E1-244A-9314-406E074ADCCA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A7A7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796D478-79C4-CE43-97F4-69D06FA2A940}" type="CELLRANGE">
                      <a:rPr lang="en-US"/>
                      <a:pPr>
                        <a:defRPr sz="855">
                          <a:solidFill>
                            <a:srgbClr val="7A7A7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A7A7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E1-244A-9314-406E074ADCC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0" b="0" i="0" u="none" strike="noStrike" kern="1200" baseline="0">
                        <a:solidFill>
                          <a:srgbClr val="85858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3933E26-F26E-6C4B-8855-508E99D3E4F4}" type="CELLRANGE">
                      <a:rPr lang="en-US"/>
                      <a:pPr>
                        <a:defRPr sz="840">
                          <a:solidFill>
                            <a:srgbClr val="858585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0" b="0" i="0" u="none" strike="noStrike" kern="1200" baseline="0">
                      <a:solidFill>
                        <a:srgbClr val="85858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E1-244A-9314-406E074ADCCA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5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810FB2A-3666-CB4E-9D24-FE908DF67285}" type="CELLRANGE">
                      <a:rPr lang="en-US"/>
                      <a:pPr>
                        <a:defRPr sz="995">
                          <a:solidFill>
                            <a:srgbClr val="3C3C3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5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E1-244A-9314-406E074ADCC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6AD658F-28EC-8E48-85FB-D215BBF03EBE}" type="CELLRANGE">
                      <a:rPr lang="en-US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E1-244A-9314-406E074ADCCA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05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829B2D7-D044-244E-A3D0-3726F8C28E00}" type="CELLRANGE">
                      <a:rPr lang="en-US"/>
                      <a:pPr>
                        <a:defRPr sz="1005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5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E1-244A-9314-406E074ADCCA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1306D15-92DF-E04A-B18B-D2AE647EC118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E1-244A-9314-406E074ADCCA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22453F8-9B1C-744E-A417-301C1058F44B}" type="CELLRANGE">
                      <a:rPr lang="en-US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E1-244A-9314-406E074ADCCA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B4EA657-2D8B-2D48-B7BE-D2FBE60C084E}" type="CELLRANGE">
                      <a:rPr lang="en-US"/>
                      <a:pPr>
                        <a:defRPr sz="820">
                          <a:solidFill>
                            <a:srgbClr val="93939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E1-244A-9314-406E074ADCC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5E17606-0075-4B4F-A041-4BF4754B6759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E1-244A-9314-406E074ADCC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5" b="0" i="0" u="none" strike="noStrike" kern="1200" baseline="0">
                        <a:solidFill>
                          <a:srgbClr val="5B5B5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6EAC1BF-91FD-5B4D-84C6-43D19DA1F4E4}" type="CELLRANGE">
                      <a:rPr lang="en-US"/>
                      <a:pPr>
                        <a:defRPr sz="905">
                          <a:solidFill>
                            <a:srgbClr val="5B5B5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5" b="0" i="0" u="none" strike="noStrike" kern="1200" baseline="0">
                      <a:solidFill>
                        <a:srgbClr val="5B5B5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E1-244A-9314-406E074ADCCA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70" b="0" i="0" u="none" strike="noStrike" kern="1200" baseline="0">
                        <a:solidFill>
                          <a:srgbClr val="73737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D8981EC-FCD9-8647-831F-D2E9D064384A}" type="CELLRANGE">
                      <a:rPr lang="en-US"/>
                      <a:pPr>
                        <a:defRPr sz="870">
                          <a:solidFill>
                            <a:srgbClr val="73737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70" b="0" i="0" u="none" strike="noStrike" kern="1200" baseline="0">
                      <a:solidFill>
                        <a:srgbClr val="73737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E1-244A-9314-406E074ADCC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5" b="0" i="0" u="none" strike="noStrike" kern="1200" baseline="0">
                        <a:solidFill>
                          <a:srgbClr val="55555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34E31CD-20A5-AC42-BD51-268D5C1763CB}" type="CELLRANGE">
                      <a:rPr lang="en-US"/>
                      <a:pPr>
                        <a:defRPr sz="915">
                          <a:solidFill>
                            <a:srgbClr val="555555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5" b="0" i="0" u="none" strike="noStrike" kern="1200" baseline="0">
                      <a:solidFill>
                        <a:srgbClr val="55555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E1-244A-9314-406E074ADCC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E2272B3-3E27-4447-A558-D31C43F8D5A7}" type="CELLRANGE">
                      <a:rPr lang="en-US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E1-244A-9314-406E074ADCC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E1-244A-9314-406E074ADCC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60E444E-FA34-B74E-8FA9-2B6417743E85}" type="CELLRANGE">
                      <a:rPr lang="en-US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E1-244A-9314-406E074ADCC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13220BE-EC24-384B-9075-82640A37FD8B}" type="CELLRANGE">
                      <a:rPr lang="en-US"/>
                      <a:pPr>
                        <a:defRPr sz="830">
                          <a:solidFill>
                            <a:srgbClr val="8A8A8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E1-244A-9314-406E074ADCC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191EF41-1583-674A-8C26-72F58EFB23AC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E1-244A-9314-406E074ADCC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2929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0714014-82B5-E84A-A7FE-AEA014266A93}" type="CELLRANGE">
                      <a:rPr lang="en-US"/>
                      <a:pPr>
                        <a:defRPr sz="820">
                          <a:solidFill>
                            <a:srgbClr val="929292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2929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E1-244A-9314-406E074ADCC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B055A42-6729-A344-9FF1-12DB64B55738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E1-244A-9314-406E074ADCC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E1-244A-9314-406E074ADCCA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1F2FA51-E56E-9141-B949-F2DDDAFC965B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E1-244A-9314-406E074ADCC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9B90235-A93B-FD4E-B5D7-727F90C2C761}" type="CELLRANGE">
                      <a:rPr lang="en-US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E1-244A-9314-406E074ADCCA}"/>
                </c:ext>
              </c:extLst>
            </c:dLbl>
            <c:dLbl>
              <c:idx val="9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D9D9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CA484EF-D8BD-C84C-A76D-5AF9C78FBE68}" type="CELLRANGE">
                      <a:rPr lang="en-US"/>
                      <a:pPr>
                        <a:defRPr sz="800">
                          <a:solidFill>
                            <a:srgbClr val="9D9D9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D9D9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E1-244A-9314-406E074ADCCA}"/>
                </c:ext>
              </c:extLst>
            </c:dLbl>
            <c:dLbl>
              <c:idx val="9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52E84E8-EB7C-7746-BD19-774AE7A8288C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E1-244A-9314-406E074ADCCA}"/>
                </c:ext>
              </c:extLst>
            </c:dLbl>
            <c:dLbl>
              <c:idx val="9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7979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FFD74A5-56C8-3B4A-AFEB-A5B59AFA15DB}" type="CELLRANGE">
                      <a:rPr lang="en-US"/>
                      <a:pPr>
                        <a:defRPr sz="810">
                          <a:solidFill>
                            <a:srgbClr val="97979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7979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E1-244A-9314-406E074ADCCA}"/>
                </c:ext>
              </c:extLst>
            </c:dLbl>
            <c:dLbl>
              <c:idx val="9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B9B9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45EA2A4-0A90-D14A-82C1-AFA0595B65DB}" type="CELLRANGE">
                      <a:rPr lang="en-US"/>
                      <a:pPr>
                        <a:defRPr sz="805">
                          <a:solidFill>
                            <a:srgbClr val="9B9B9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B9B9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E1-244A-9314-406E074ADCCA}"/>
                </c:ext>
              </c:extLst>
            </c:dLbl>
            <c:dLbl>
              <c:idx val="9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0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C99BAE0-ED28-DD49-BB63-0B42CBC06A42}" type="CELLRANGE">
                      <a:rPr lang="en-US"/>
                      <a:pPr>
                        <a:defRPr sz="100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E1-244A-9314-406E074ADCCA}"/>
                </c:ext>
              </c:extLst>
            </c:dLbl>
            <c:dLbl>
              <c:idx val="9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32C44B4-CA22-DF42-B764-991C9BCADA42}" type="CELLRANGE">
                      <a:rPr lang="en-US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E1-244A-9314-406E074ADCCA}"/>
                </c:ext>
              </c:extLst>
            </c:dLbl>
            <c:dLbl>
              <c:idx val="9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7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E0880D2-3C48-F045-BEF1-AFE4B9E4CDB8}" type="CELLRANGE">
                      <a:rPr lang="en-US"/>
                      <a:pPr>
                        <a:defRPr sz="17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7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E1-244A-9314-406E074ADCCA}"/>
                </c:ext>
              </c:extLst>
            </c:dLbl>
            <c:dLbl>
              <c:idx val="9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69880B0-2064-DF43-A7CD-BB9ED5935BC3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E1-244A-9314-406E074ADCCA}"/>
                </c:ext>
              </c:extLst>
            </c:dLbl>
            <c:dLbl>
              <c:idx val="9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68CF767-4795-164B-ABBD-F11DB0BA2E2E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E1-244A-9314-406E074ADCCA}"/>
                </c:ext>
              </c:extLst>
            </c:dLbl>
            <c:dLbl>
              <c:idx val="9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35" b="0" i="0" u="none" strike="noStrike" kern="1200" baseline="0">
                        <a:solidFill>
                          <a:srgbClr val="39393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5B0AE26-CC66-954C-88C0-E3FADE73A90D}" type="CELLRANGE">
                      <a:rPr lang="en-US"/>
                      <a:pPr>
                        <a:defRPr sz="1035">
                          <a:solidFill>
                            <a:srgbClr val="39393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35" b="0" i="0" u="none" strike="noStrike" kern="1200" baseline="0">
                      <a:solidFill>
                        <a:srgbClr val="39393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E1-244A-9314-406E074ADCCA}"/>
                </c:ext>
              </c:extLst>
            </c:dLbl>
            <c:dLbl>
              <c:idx val="10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0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761D7F0-DAFF-1945-AEBF-426E6FCCEB37}" type="CELLRANGE">
                      <a:rPr lang="en-US"/>
                      <a:pPr>
                        <a:defRPr sz="990">
                          <a:solidFill>
                            <a:srgbClr val="3C3C3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0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E1-244A-9314-406E074ADCCA}"/>
                </c:ext>
              </c:extLst>
            </c:dLbl>
            <c:dLbl>
              <c:idx val="10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E1-244A-9314-406E074ADCCA}"/>
                </c:ext>
              </c:extLst>
            </c:dLbl>
            <c:dLbl>
              <c:idx val="10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8989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AC8771E-6DB6-6E40-92D6-5EE98359539A}" type="CELLRANGE">
                      <a:rPr lang="en-US"/>
                      <a:pPr>
                        <a:defRPr sz="810">
                          <a:solidFill>
                            <a:srgbClr val="98989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8989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E1-244A-9314-406E074ADCCA}"/>
                </c:ext>
              </c:extLst>
            </c:dLbl>
            <c:dLbl>
              <c:idx val="10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D109F90-5CEE-774C-B243-EAADC3FFFA27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E1-244A-9314-406E074ADCCA}"/>
                </c:ext>
              </c:extLst>
            </c:dLbl>
            <c:dLbl>
              <c:idx val="10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E6BB0B1-9CB2-A649-9D35-4BAB278C67CE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E1-244A-9314-406E074ADCCA}"/>
                </c:ext>
              </c:extLst>
            </c:dLbl>
            <c:dLbl>
              <c:idx val="10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8671DA1-4AC8-1A4A-9889-8D3BE353AF7D}" type="CELLRANGE">
                      <a:rPr lang="en-US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E1-244A-9314-406E074ADCCA}"/>
                </c:ext>
              </c:extLst>
            </c:dLbl>
            <c:dLbl>
              <c:idx val="10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0" b="0" i="0" u="none" strike="noStrike" kern="1200" baseline="0">
                        <a:solidFill>
                          <a:srgbClr val="7F7F7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190C33F-7746-BE45-B7CD-D834C8AA04FE}" type="CELLRANGE">
                      <a:rPr lang="en-US"/>
                      <a:pPr>
                        <a:defRPr sz="850">
                          <a:solidFill>
                            <a:srgbClr val="7F7F7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0" b="0" i="0" u="none" strike="noStrike" kern="1200" baseline="0">
                      <a:solidFill>
                        <a:srgbClr val="7F7F7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E1-244A-9314-406E074ADCCA}"/>
                </c:ext>
              </c:extLst>
            </c:dLbl>
            <c:dLbl>
              <c:idx val="10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0513994-B351-3F46-AA0F-11CD98E686B1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E1-244A-9314-406E074ADCCA}"/>
                </c:ext>
              </c:extLst>
            </c:dLbl>
            <c:dLbl>
              <c:idx val="10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382CB4B-08DF-1B43-8EF3-8FA949AD1EEF}" type="CELLRANGE">
                      <a:rPr lang="en-US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E1-244A-9314-406E074ADCCA}"/>
                </c:ext>
              </c:extLst>
            </c:dLbl>
            <c:dLbl>
              <c:idx val="10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9BBCA33-06EE-884A-8476-A0D4F14DB1BF}" type="CELLRANGE">
                      <a:rPr lang="en-US"/>
                      <a:pPr>
                        <a:defRPr sz="800">
                          <a:solidFill>
                            <a:srgbClr val="A0A0A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E1-244A-9314-406E074ADCCA}"/>
                </c:ext>
              </c:extLst>
            </c:dLbl>
            <c:dLbl>
              <c:idx val="1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1318F55-EDD4-B343-B0BB-EDDE2A2A2598}" type="CELLRANGE">
                      <a:rPr lang="en-US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E1-244A-9314-406E074ADCCA}"/>
                </c:ext>
              </c:extLst>
            </c:dLbl>
            <c:dLbl>
              <c:idx val="1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7878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116E647-336E-C54B-98C1-29B4568121DA}" type="CELLRANGE">
                      <a:rPr lang="en-US"/>
                      <a:pPr>
                        <a:defRPr sz="835">
                          <a:solidFill>
                            <a:srgbClr val="87878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7878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E1-244A-9314-406E074ADCCA}"/>
                </c:ext>
              </c:extLst>
            </c:dLbl>
            <c:dLbl>
              <c:idx val="1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4949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EAA5165-555F-C94F-88BC-F9B4B22939C9}" type="CELLRANGE">
                      <a:rPr lang="en-US"/>
                      <a:pPr>
                        <a:defRPr sz="815">
                          <a:solidFill>
                            <a:srgbClr val="94949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4949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E1-244A-9314-406E074ADCCA}"/>
                </c:ext>
              </c:extLst>
            </c:dLbl>
            <c:dLbl>
              <c:idx val="1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0" b="0" i="0" u="none" strike="noStrike" kern="1200" baseline="0">
                        <a:solidFill>
                          <a:srgbClr val="86868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303EC74-11F4-894E-BD39-43FB5A8DDED2}" type="CELLRANGE">
                      <a:rPr lang="en-US"/>
                      <a:pPr>
                        <a:defRPr sz="840">
                          <a:solidFill>
                            <a:srgbClr val="86868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0" b="0" i="0" u="none" strike="noStrike" kern="1200" baseline="0">
                      <a:solidFill>
                        <a:srgbClr val="86868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E1-244A-9314-406E074ADCCA}"/>
                </c:ext>
              </c:extLst>
            </c:dLbl>
            <c:dLbl>
              <c:idx val="1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D5D5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334F92C-2FE0-704C-B7A0-28F8DF82A7B0}" type="CELLRANGE">
                      <a:rPr lang="en-US"/>
                      <a:pPr>
                        <a:defRPr sz="900">
                          <a:solidFill>
                            <a:srgbClr val="5D5D5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D5D5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E1-244A-9314-406E074ADCCA}"/>
                </c:ext>
              </c:extLst>
            </c:dLbl>
            <c:dLbl>
              <c:idx val="1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9370737-3328-7F4F-84A6-06A6ACF8EA67}" type="CELLRANGE">
                      <a:rPr lang="en-US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E1-244A-9314-406E074ADCCA}"/>
                </c:ext>
              </c:extLst>
            </c:dLbl>
            <c:dLbl>
              <c:idx val="1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11682F5-0FDB-F243-A73C-092520EC0743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E1-244A-9314-406E074ADCCA}"/>
                </c:ext>
              </c:extLst>
            </c:dLbl>
            <c:dLbl>
              <c:idx val="1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3DC0CB1-9347-0D47-8B4D-53A98EA22BAF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E1-244A-9314-406E074ADCCA}"/>
                </c:ext>
              </c:extLst>
            </c:dLbl>
            <c:dLbl>
              <c:idx val="1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56C2BDB-0C7B-DC44-83DD-37E0BAA2EA55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E1-244A-9314-406E074ADCCA}"/>
                </c:ext>
              </c:extLst>
            </c:dLbl>
            <c:dLbl>
              <c:idx val="119"/>
              <c:layout>
                <c:manualLayout>
                  <c:x val="-4.5495321748310467E-2"/>
                  <c:y val="1.362456721884069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96D684B-9C18-5D46-B148-DEC147C4A438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8-E7E1-244A-9314-406E074ADCCA}"/>
                </c:ext>
              </c:extLst>
            </c:dLbl>
            <c:dLbl>
              <c:idx val="1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8888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81BBF4E-C79B-CD43-A8FC-00BA830B1F18}" type="CELLRANGE">
                      <a:rPr lang="en-US"/>
                      <a:pPr>
                        <a:defRPr sz="835">
                          <a:solidFill>
                            <a:srgbClr val="88888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8888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E1-244A-9314-406E074ADCCA}"/>
                </c:ext>
              </c:extLst>
            </c:dLbl>
            <c:dLbl>
              <c:idx val="1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8F4909C-69DB-8E4B-8862-268F00E6EBCD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E1-244A-9314-406E074ADCCA}"/>
                </c:ext>
              </c:extLst>
            </c:dLbl>
            <c:dLbl>
              <c:idx val="1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DD4DC88-EDCA-2649-8A4B-86248BE6DAC9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E1-244A-9314-406E074ADCCA}"/>
                </c:ext>
              </c:extLst>
            </c:dLbl>
            <c:dLbl>
              <c:idx val="1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95A0175-7997-4F4D-A3CC-364F115E3EDC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E1-244A-9314-406E074ADCCA}"/>
                </c:ext>
              </c:extLst>
            </c:dLbl>
            <c:dLbl>
              <c:idx val="1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0" b="0" i="0" u="none" strike="noStrike" kern="1200" baseline="0">
                        <a:solidFill>
                          <a:srgbClr val="59595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B3C2DBD-ABE1-D34D-84E0-884A690C5630}" type="CELLRANGE">
                      <a:rPr lang="en-US"/>
                      <a:pPr>
                        <a:defRPr sz="910">
                          <a:solidFill>
                            <a:srgbClr val="59595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0" b="0" i="0" u="none" strike="noStrike" kern="1200" baseline="0">
                      <a:solidFill>
                        <a:srgbClr val="59595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E1-244A-9314-406E074ADCCA}"/>
                </c:ext>
              </c:extLst>
            </c:dLbl>
            <c:dLbl>
              <c:idx val="1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9696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291321D-8571-F24D-962F-5CB1A8330970}" type="CELLRANGE">
                      <a:rPr lang="en-US"/>
                      <a:pPr>
                        <a:defRPr sz="885">
                          <a:solidFill>
                            <a:srgbClr val="69696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9696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E1-244A-9314-406E074ADCCA}"/>
                </c:ext>
              </c:extLst>
            </c:dLbl>
            <c:dLbl>
              <c:idx val="1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5ACE3E2-DBE4-8648-81ED-DCAFCABE20A9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E1-244A-9314-406E074ADCCA}"/>
                </c:ext>
              </c:extLst>
            </c:dLbl>
            <c:dLbl>
              <c:idx val="1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8989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A5FBD72-E84B-7B45-95DE-DE766E043EA7}" type="CELLRANGE">
                      <a:rPr lang="en-US"/>
                      <a:pPr>
                        <a:defRPr sz="810">
                          <a:solidFill>
                            <a:srgbClr val="98989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8989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E1-244A-9314-406E074ADCCA}"/>
                </c:ext>
              </c:extLst>
            </c:dLbl>
            <c:dLbl>
              <c:idx val="1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D9D9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0F60C37-1C7B-4948-AFF5-2D54CB356DF4}" type="CELLRANGE">
                      <a:rPr lang="en-US"/>
                      <a:pPr>
                        <a:defRPr sz="800">
                          <a:solidFill>
                            <a:srgbClr val="9D9D9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D9D9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E1-244A-9314-406E074ADCCA}"/>
                </c:ext>
              </c:extLst>
            </c:dLbl>
            <c:dLbl>
              <c:idx val="1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C028F9C-2739-9843-B24C-4665069C30AE}" type="CELLRANGE">
                      <a:rPr lang="en-US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E1-244A-9314-406E074ADCCA}"/>
                </c:ext>
              </c:extLst>
            </c:dLbl>
            <c:dLbl>
              <c:idx val="1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84877F3-4166-FA4D-85BB-E4461EE04EB5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E1-244A-9314-406E074ADCCA}"/>
                </c:ext>
              </c:extLst>
            </c:dLbl>
            <c:dLbl>
              <c:idx val="1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0" b="0" i="0" u="none" strike="noStrike" kern="1200" baseline="0">
                        <a:solidFill>
                          <a:srgbClr val="58585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FBC8F8E-8F42-0A42-868C-101ED9E18FCE}" type="CELLRANGE">
                      <a:rPr lang="en-US"/>
                      <a:pPr>
                        <a:defRPr sz="910">
                          <a:solidFill>
                            <a:srgbClr val="58585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0" b="0" i="0" u="none" strike="noStrike" kern="1200" baseline="0">
                      <a:solidFill>
                        <a:srgbClr val="58585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E1-244A-9314-406E074ADCCA}"/>
                </c:ext>
              </c:extLst>
            </c:dLbl>
            <c:dLbl>
              <c:idx val="1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8EC3D2C-76BB-564D-85BD-EE5B5251398C}" type="CELLRANGE">
                      <a:rPr lang="en-US"/>
                      <a:pPr>
                        <a:defRPr sz="800">
                          <a:solidFill>
                            <a:srgbClr val="9E9E9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E1-244A-9314-406E074ADCCA}"/>
                </c:ext>
              </c:extLst>
            </c:dLbl>
            <c:dLbl>
              <c:idx val="1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A464AB2-6CC1-1A49-AC43-2A115A5E60D6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E1-244A-9314-406E074ADCCA}"/>
                </c:ext>
              </c:extLst>
            </c:dLbl>
            <c:dLbl>
              <c:idx val="1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D09C3CF-E32B-D74A-9D41-5DBD5A0BFBC0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E1-244A-9314-406E074ADCCA}"/>
                </c:ext>
              </c:extLst>
            </c:dLbl>
            <c:dLbl>
              <c:idx val="1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70" b="0" i="0" u="none" strike="noStrike" kern="1200" baseline="0">
                        <a:solidFill>
                          <a:srgbClr val="36363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EB6201C-709D-F94E-8F70-D6DF5630FBC7}" type="CELLRANGE">
                      <a:rPr lang="en-US"/>
                      <a:pPr>
                        <a:defRPr sz="1070">
                          <a:solidFill>
                            <a:srgbClr val="36363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70" b="0" i="0" u="none" strike="noStrike" kern="1200" baseline="0">
                      <a:solidFill>
                        <a:srgbClr val="36363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E1-244A-9314-406E074ADCCA}"/>
                </c:ext>
              </c:extLst>
            </c:dLbl>
            <c:dLbl>
              <c:idx val="1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74F98A3-0B0D-3647-ABC6-62D65AB10DB6}" type="CELLRANGE">
                      <a:rPr lang="en-US"/>
                      <a:pPr>
                        <a:defRPr sz="800">
                          <a:solidFill>
                            <a:srgbClr val="A0A0A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E1-244A-9314-406E074ADCCA}"/>
                </c:ext>
              </c:extLst>
            </c:dLbl>
            <c:dLbl>
              <c:idx val="1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5AD21DF-43B3-6C4B-B6FB-B314C7980565}" type="CELLRANGE">
                      <a:rPr lang="en-US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E1-244A-9314-406E074ADCCA}"/>
                </c:ext>
              </c:extLst>
            </c:dLbl>
            <c:dLbl>
              <c:idx val="13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4557213-855D-2248-A995-F7270BC3C758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E1-244A-9314-406E074ADCCA}"/>
                </c:ext>
              </c:extLst>
            </c:dLbl>
            <c:dLbl>
              <c:idx val="13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C77907D-3285-A943-B962-1CF1DC8EBC21}" type="CELLRANGE">
                      <a:rPr lang="en-US"/>
                      <a:pPr>
                        <a:defRPr sz="800">
                          <a:solidFill>
                            <a:srgbClr val="9E9E9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E1-244A-9314-406E074ADCCA}"/>
                </c:ext>
              </c:extLst>
            </c:dLbl>
            <c:dLbl>
              <c:idx val="14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5108499-4B7A-C84A-A30F-F98C21655A78}" type="CELLRANGE">
                      <a:rPr lang="en-US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E1-244A-9314-406E074ADCCA}"/>
                </c:ext>
              </c:extLst>
            </c:dLbl>
            <c:dLbl>
              <c:idx val="14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5F48A79-82EE-DA42-829B-4E037601317E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E1-244A-9314-406E074ADCCA}"/>
                </c:ext>
              </c:extLst>
            </c:dLbl>
            <c:dLbl>
              <c:idx val="14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D1659E1-3332-E643-A441-1EF8772CA894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E1-244A-9314-406E074ADCCA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60" b="0" i="0" u="none" strike="noStrike" kern="1200" baseline="0">
                        <a:solidFill>
                          <a:srgbClr val="36363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0918222-4227-4344-B9D2-A2C957CC5D0E}" type="CELLRANGE">
                      <a:rPr lang="en-US"/>
                      <a:pPr>
                        <a:defRPr sz="1060">
                          <a:solidFill>
                            <a:srgbClr val="36363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60" b="0" i="0" u="none" strike="noStrike" kern="1200" baseline="0">
                      <a:solidFill>
                        <a:srgbClr val="36363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E1-244A-9314-406E074ADCCA}"/>
                </c:ext>
              </c:extLst>
            </c:dLbl>
            <c:dLbl>
              <c:idx val="14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F5F5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794F6B2-5A97-494C-8C24-B4C010BFA17A}" type="CELLRANGE">
                      <a:rPr lang="en-US"/>
                      <a:pPr>
                        <a:defRPr sz="900">
                          <a:solidFill>
                            <a:srgbClr val="5F5F5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F5F5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E1-244A-9314-406E074ADCCA}"/>
                </c:ext>
              </c:extLst>
            </c:dLbl>
            <c:dLbl>
              <c:idx val="14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2ED9AC9-B344-924D-9658-4FFCDF961AA8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E1-244A-9314-406E074ADCCA}"/>
                </c:ext>
              </c:extLst>
            </c:dLbl>
            <c:dLbl>
              <c:idx val="14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550EB83-061F-AC4C-81BD-B77F2327FF81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E1-244A-9314-406E074ADCCA}"/>
                </c:ext>
              </c:extLst>
            </c:dLbl>
            <c:dLbl>
              <c:idx val="14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F9DBC5A-1A3A-DA48-8BA1-8F83BC50AB7E}" type="CELLRANGE">
                      <a:rPr lang="en-US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E1-244A-9314-406E074ADCCA}"/>
                </c:ext>
              </c:extLst>
            </c:dLbl>
            <c:dLbl>
              <c:idx val="14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7C18053-51A6-0744-A371-E5358304BD50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E1-244A-9314-406E074ADCCA}"/>
                </c:ext>
              </c:extLst>
            </c:dLbl>
            <c:dLbl>
              <c:idx val="14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18D7079-9CB8-2A4C-99C6-D20FB26AC2BA}" type="CELLRANGE">
                      <a:rPr lang="en-US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E1-244A-9314-406E074ADCCA}"/>
                </c:ext>
              </c:extLst>
            </c:dLbl>
            <c:dLbl>
              <c:idx val="15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E1-244A-9314-406E074ADCCA}"/>
                </c:ext>
              </c:extLst>
            </c:dLbl>
            <c:dLbl>
              <c:idx val="15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20" b="0" i="0" u="none" strike="noStrike" kern="1200" baseline="0">
                        <a:solidFill>
                          <a:srgbClr val="53535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59CD7DB-5B2B-7648-9C80-E1B9BEE3BF73}" type="CELLRANGE">
                      <a:rPr lang="en-US"/>
                      <a:pPr>
                        <a:defRPr sz="920">
                          <a:solidFill>
                            <a:srgbClr val="53535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20" b="0" i="0" u="none" strike="noStrike" kern="1200" baseline="0">
                      <a:solidFill>
                        <a:srgbClr val="53535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E1-244A-9314-406E074ADCCA}"/>
                </c:ext>
              </c:extLst>
            </c:dLbl>
            <c:dLbl>
              <c:idx val="15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8F8A6E2-636C-7045-B9A8-77B7A1432D7D}" type="CELLRANGE">
                      <a:rPr lang="en-US"/>
                      <a:pPr>
                        <a:defRPr sz="97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E1-244A-9314-406E074ADCCA}"/>
                </c:ext>
              </c:extLst>
            </c:dLbl>
            <c:dLbl>
              <c:idx val="15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A691815-5961-3640-AE53-DC1E1E264D73}" type="CELLRANGE">
                      <a:rPr lang="en-US"/>
                      <a:pPr>
                        <a:defRPr sz="800">
                          <a:solidFill>
                            <a:srgbClr val="9E9E9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E1-244A-9314-406E074ADCCA}"/>
                </c:ext>
              </c:extLst>
            </c:dLbl>
            <c:dLbl>
              <c:idx val="15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841CDDF-FCA0-AC40-B44D-C1F419B5A92B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E1-244A-9314-406E074ADCCA}"/>
                </c:ext>
              </c:extLst>
            </c:dLbl>
            <c:dLbl>
              <c:idx val="15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B1B4D6F-EF8C-B54A-B8EA-A59FB2B9A1BE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E1-244A-9314-406E074ADCCA}"/>
                </c:ext>
              </c:extLst>
            </c:dLbl>
            <c:dLbl>
              <c:idx val="15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9898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6EAEBB8-44CD-B649-AF39-E27A04A6A009}" type="CELLRANGE">
                      <a:rPr lang="en-US"/>
                      <a:pPr>
                        <a:defRPr sz="835">
                          <a:solidFill>
                            <a:srgbClr val="89898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9898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E1-244A-9314-406E074ADCCA}"/>
                </c:ext>
              </c:extLst>
            </c:dLbl>
            <c:dLbl>
              <c:idx val="15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02AF568-AE48-D642-B5AD-0E3A091C0665}" type="CELLRANGE">
                      <a:rPr lang="en-US"/>
                      <a:pPr>
                        <a:defRPr sz="800">
                          <a:solidFill>
                            <a:srgbClr val="A0A0A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E1-244A-9314-406E074ADCCA}"/>
                </c:ext>
              </c:extLst>
            </c:dLbl>
            <c:dLbl>
              <c:idx val="15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94F333F-AAD9-7A49-90F2-17FD9CF720A4}" type="CELLRANGE">
                      <a:rPr lang="en-US"/>
                      <a:pPr>
                        <a:defRPr sz="820">
                          <a:solidFill>
                            <a:srgbClr val="93939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E1-244A-9314-406E074ADCCA}"/>
                </c:ext>
              </c:extLst>
            </c:dLbl>
            <c:dLbl>
              <c:idx val="15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81EA590-557F-3A44-9371-93BF5EE28476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E1-244A-9314-406E074ADCCA}"/>
                </c:ext>
              </c:extLst>
            </c:dLbl>
            <c:dLbl>
              <c:idx val="16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35" b="0" i="0" u="none" strike="noStrike" kern="1200" baseline="0">
                        <a:solidFill>
                          <a:srgbClr val="48484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6610932-39F6-974B-9767-4E2A5435CC9D}" type="CELLRANGE">
                      <a:rPr lang="en-US"/>
                      <a:pPr>
                        <a:defRPr sz="935">
                          <a:solidFill>
                            <a:srgbClr val="48484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35" b="0" i="0" u="none" strike="noStrike" kern="1200" baseline="0">
                      <a:solidFill>
                        <a:srgbClr val="48484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E1-244A-9314-406E074ADCCA}"/>
                </c:ext>
              </c:extLst>
            </c:dLbl>
            <c:dLbl>
              <c:idx val="16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FDBB048-6DD0-C641-B585-726B0B2BCDB5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E1-244A-9314-406E074ADCCA}"/>
                </c:ext>
              </c:extLst>
            </c:dLbl>
            <c:dLbl>
              <c:idx val="16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124319E-28EC-FD4C-812C-17CCE56DFD35}" type="CELLRANGE">
                      <a:rPr lang="en-US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E1-244A-9314-406E074ADCCA}"/>
                </c:ext>
              </c:extLst>
            </c:dLbl>
            <c:dLbl>
              <c:idx val="16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9999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00172CC-161A-6F49-B2D6-52C3785738C8}" type="CELLRANGE">
                      <a:rPr lang="en-US"/>
                      <a:pPr>
                        <a:defRPr sz="810">
                          <a:solidFill>
                            <a:srgbClr val="99999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9999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E1-244A-9314-406E074ADCCA}"/>
                </c:ext>
              </c:extLst>
            </c:dLbl>
            <c:dLbl>
              <c:idx val="16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C6C6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112DE19-2C50-2141-93AC-F9B1BB766F5A}" type="CELLRANGE">
                      <a:rPr lang="en-US"/>
                      <a:pPr>
                        <a:defRPr sz="880">
                          <a:solidFill>
                            <a:srgbClr val="6C6C6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C6C6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E1-244A-9314-406E074ADCCA}"/>
                </c:ext>
              </c:extLst>
            </c:dLbl>
            <c:dLbl>
              <c:idx val="16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0" b="0" i="0" u="none" strike="noStrike" kern="1200" baseline="0">
                        <a:solidFill>
                          <a:srgbClr val="64646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DDD16B6-2F49-9C46-81EB-3B5C6C9C216C}" type="CELLRANGE">
                      <a:rPr lang="en-US"/>
                      <a:pPr>
                        <a:defRPr sz="890">
                          <a:solidFill>
                            <a:srgbClr val="64646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0" b="0" i="0" u="none" strike="noStrike" kern="1200" baseline="0">
                      <a:solidFill>
                        <a:srgbClr val="64646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E1-244A-9314-406E074ADCCA}"/>
                </c:ext>
              </c:extLst>
            </c:dLbl>
            <c:dLbl>
              <c:idx val="16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78F41CE-05E3-9F49-92D7-7A476C20E76E}" type="CELLRANGE">
                      <a:rPr lang="en-US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E1-244A-9314-406E074ADCCA}"/>
                </c:ext>
              </c:extLst>
            </c:dLbl>
            <c:dLbl>
              <c:idx val="16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960F640-DF2D-C742-B394-1C98FA783B60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E1-244A-9314-406E074ADCCA}"/>
                </c:ext>
              </c:extLst>
            </c:dLbl>
            <c:dLbl>
              <c:idx val="16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D274F52-0FFB-E341-9411-E9FA2CB5F252}" type="CELLRANGE">
                      <a:rPr lang="en-US"/>
                      <a:pPr>
                        <a:defRPr sz="101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E1-244A-9314-406E074ADCCA}"/>
                </c:ext>
              </c:extLst>
            </c:dLbl>
            <c:dLbl>
              <c:idx val="16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6E07021-217B-DE46-A19F-6BE099488923}" type="CELLRANGE">
                      <a:rPr lang="en-US"/>
                      <a:pPr>
                        <a:defRPr sz="830">
                          <a:solidFill>
                            <a:srgbClr val="8A8A8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E1-244A-9314-406E074ADCCA}"/>
                </c:ext>
              </c:extLst>
            </c:dLbl>
            <c:dLbl>
              <c:idx val="17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0CCA3D0-2E45-7446-83BF-57B4FD2F06D3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E1-244A-9314-406E074ADCCA}"/>
                </c:ext>
              </c:extLst>
            </c:dLbl>
            <c:dLbl>
              <c:idx val="17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0" b="0" i="0" u="none" strike="noStrike" kern="1200" baseline="0">
                        <a:solidFill>
                          <a:srgbClr val="46464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1DCF301-3477-D345-AB33-8D8919E2B3E5}" type="CELLRANGE">
                      <a:rPr lang="en-US"/>
                      <a:pPr>
                        <a:defRPr sz="940">
                          <a:solidFill>
                            <a:srgbClr val="46464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0" b="0" i="0" u="none" strike="noStrike" kern="1200" baseline="0">
                      <a:solidFill>
                        <a:srgbClr val="46464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E1-244A-9314-406E074ADCCA}"/>
                </c:ext>
              </c:extLst>
            </c:dLbl>
            <c:dLbl>
              <c:idx val="17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EDBC80F-EDA9-0048-9B98-CD148408FA16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E1-244A-9314-406E074ADCCA}"/>
                </c:ext>
              </c:extLst>
            </c:dLbl>
            <c:dLbl>
              <c:idx val="17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5959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00298B1-2E9A-5049-B5FA-C6715EBE18E9}" type="CELLRANGE">
                      <a:rPr lang="en-US"/>
                      <a:pPr>
                        <a:defRPr sz="815">
                          <a:solidFill>
                            <a:srgbClr val="959595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5959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E1-244A-9314-406E074ADCCA}"/>
                </c:ext>
              </c:extLst>
            </c:dLbl>
            <c:dLbl>
              <c:idx val="17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65CF26F-FEAC-6C40-A839-7A9B5A0CCA8C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E1-244A-9314-406E074ADCCA}"/>
                </c:ext>
              </c:extLst>
            </c:dLbl>
            <c:dLbl>
              <c:idx val="17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5" b="0" i="0" u="none" strike="noStrike" kern="1200" baseline="0">
                        <a:solidFill>
                          <a:srgbClr val="8F8F8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C37B042-EA77-5047-84A2-6B26FF617689}" type="CELLRANGE">
                      <a:rPr lang="en-US"/>
                      <a:pPr>
                        <a:defRPr sz="825">
                          <a:solidFill>
                            <a:srgbClr val="8F8F8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5" b="0" i="0" u="none" strike="noStrike" kern="1200" baseline="0">
                      <a:solidFill>
                        <a:srgbClr val="8F8F8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E1-244A-9314-406E074ADCCA}"/>
                </c:ext>
              </c:extLst>
            </c:dLbl>
            <c:dLbl>
              <c:idx val="17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62F4A61-ED67-244D-9332-55DA0AB049B2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E1-244A-9314-406E074ADCCA}"/>
                </c:ext>
              </c:extLst>
            </c:dLbl>
            <c:dLbl>
              <c:idx val="17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8E931B9-ACFB-6E4E-A347-364F37CACC86}" type="CELLRANGE">
                      <a:rPr lang="en-US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E1-244A-9314-406E074ADCCA}"/>
                </c:ext>
              </c:extLst>
            </c:dLbl>
            <c:dLbl>
              <c:idx val="17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5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32C531E-3AA9-C74F-AC00-47DCF8E9342B}" type="CELLRANGE">
                      <a:rPr lang="en-US"/>
                      <a:pPr>
                        <a:defRPr sz="995">
                          <a:solidFill>
                            <a:srgbClr val="3C3C3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5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E1-244A-9314-406E074ADCCA}"/>
                </c:ext>
              </c:extLst>
            </c:dLbl>
            <c:dLbl>
              <c:idx val="17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7979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E0B0A52-7BBC-5144-88C0-561BFF8F5916}" type="CELLRANGE">
                      <a:rPr lang="en-US"/>
                      <a:pPr>
                        <a:defRPr sz="810">
                          <a:solidFill>
                            <a:srgbClr val="97979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7979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E1-244A-9314-406E074ADCCA}"/>
                </c:ext>
              </c:extLst>
            </c:dLbl>
            <c:dLbl>
              <c:idx val="18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C131FE4-C099-FE41-9BC9-9838BBCE7E0E}" type="CELLRANGE">
                      <a:rPr lang="en-US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E1-244A-9314-406E074ADCCA}"/>
                </c:ext>
              </c:extLst>
            </c:dLbl>
            <c:dLbl>
              <c:idx val="18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F2CB4C0-261F-A447-847C-1D4163BD586E}" type="CELLRANGE">
                      <a:rPr lang="en-US"/>
                      <a:pPr>
                        <a:defRPr sz="885">
                          <a:solidFill>
                            <a:srgbClr val="68686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E1-244A-9314-406E074ADCCA}"/>
                </c:ext>
              </c:extLst>
            </c:dLbl>
            <c:dLbl>
              <c:idx val="18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7EC7142-FBDE-2141-80FA-06D48A9A88C2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E1-244A-9314-406E074ADCCA}"/>
                </c:ext>
              </c:extLst>
            </c:dLbl>
            <c:dLbl>
              <c:idx val="18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6C9B7D2-0CC5-CC40-949C-99F31BFC8D2A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E1-244A-9314-406E074ADCCA}"/>
                </c:ext>
              </c:extLst>
            </c:dLbl>
            <c:dLbl>
              <c:idx val="18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D01CC65-B882-B34F-B7B9-093BB6F449F3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E1-244A-9314-406E074ADCCA}"/>
                </c:ext>
              </c:extLst>
            </c:dLbl>
            <c:dLbl>
              <c:idx val="18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02E501B-2B76-F94A-BD9C-23E3179F5647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E1-244A-9314-406E074ADCCA}"/>
                </c:ext>
              </c:extLst>
            </c:dLbl>
            <c:dLbl>
              <c:idx val="18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3780008-9C63-E746-96FD-F7AD802082C3}" type="CELLRANGE">
                      <a:rPr lang="en-US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E1-244A-9314-406E074ADCCA}"/>
                </c:ext>
              </c:extLst>
            </c:dLbl>
            <c:dLbl>
              <c:idx val="18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9A55E9C-446C-2E46-980E-3DA11F4AB8AC}" type="CELLRANGE">
                      <a:rPr lang="en-US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E1-244A-9314-406E074ADCCA}"/>
                </c:ext>
              </c:extLst>
            </c:dLbl>
            <c:dLbl>
              <c:idx val="18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87F9F02-16C9-FA45-8740-E05FD355BE53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E1-244A-9314-406E074ADCCA}"/>
                </c:ext>
              </c:extLst>
            </c:dLbl>
            <c:dLbl>
              <c:idx val="18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A7A7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5722C11-B8FC-DC4C-8A90-9D9FC6A04EBA}" type="CELLRANGE">
                      <a:rPr lang="en-US"/>
                      <a:pPr>
                        <a:defRPr sz="855">
                          <a:solidFill>
                            <a:srgbClr val="7A7A7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A7A7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E1-244A-9314-406E074ADCCA}"/>
                </c:ext>
              </c:extLst>
            </c:dLbl>
            <c:dLbl>
              <c:idx val="19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E1-244A-9314-406E074ADCCA}"/>
                </c:ext>
              </c:extLst>
            </c:dLbl>
            <c:dLbl>
              <c:idx val="19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61A955B-AC1D-374A-8A8A-A6B0A9A915B6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E1-244A-9314-406E074ADCCA}"/>
                </c:ext>
              </c:extLst>
            </c:dLbl>
            <c:dLbl>
              <c:idx val="19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7676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F6CFA86-64D5-2349-ADB1-8E4F5C1E76FB}" type="CELLRANGE">
                      <a:rPr lang="en-US"/>
                      <a:pPr>
                        <a:defRPr sz="885">
                          <a:solidFill>
                            <a:srgbClr val="67676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7676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E1-244A-9314-406E074ADCCA}"/>
                </c:ext>
              </c:extLst>
            </c:dLbl>
            <c:dLbl>
              <c:idx val="19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E1-244A-9314-406E074ADCCA}"/>
                </c:ext>
              </c:extLst>
            </c:dLbl>
            <c:dLbl>
              <c:idx val="19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E1-244A-9314-406E074ADCCA}"/>
                </c:ext>
              </c:extLst>
            </c:dLbl>
            <c:dLbl>
              <c:idx val="19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E1-244A-9314-406E074ADCCA}"/>
                </c:ext>
              </c:extLst>
            </c:dLbl>
            <c:dLbl>
              <c:idx val="19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E1-244A-9314-406E074ADCCA}"/>
                </c:ext>
              </c:extLst>
            </c:dLbl>
            <c:dLbl>
              <c:idx val="19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E1-244A-9314-406E074ADCCA}"/>
                </c:ext>
              </c:extLst>
            </c:dLbl>
            <c:dLbl>
              <c:idx val="19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E1-244A-9314-406E074ADCCA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E1-244A-9314-406E074ADCCA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E1-244A-9314-406E074ADCCA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E1-244A-9314-406E074ADCCA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E1-244A-9314-406E074ADCCA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E1-244A-9314-406E074ADCCA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E1-244A-9314-406E074ADCCA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E1-244A-9314-406E074ADCCA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E1-244A-9314-406E074ADCCA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E1-244A-9314-406E074ADCCA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E1-244A-9314-406E074ADCCA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E1-244A-9314-406E074ADCCA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E1-244A-9314-406E074ADCCA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E1-244A-9314-406E074ADCCA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E1-244A-9314-406E074ADCCA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E1-244A-9314-406E074ADCCA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E1-244A-9314-406E074ADCCA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E1-244A-9314-406E074ADCCA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E1-244A-9314-406E074ADCCA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E1-244A-9314-406E074ADCCA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E1-244A-9314-406E074ADCCA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E1-244A-9314-406E074ADCCA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E1-244A-9314-406E074ADCCA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E1-244A-9314-406E074ADCCA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E1-244A-9314-406E074ADCCA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E1-244A-9314-406E074ADCCA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E1-244A-9314-406E074ADCCA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E1-244A-9314-406E074ADCCA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E1-244A-9314-406E074ADCCA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E1-244A-9314-406E074ADCCA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E1-244A-9314-406E074ADCCA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E1-244A-9314-406E074ADCCA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E1-244A-9314-406E074ADCCA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E1-244A-9314-406E074ADCCA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E1-244A-9314-406E074ADCCA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E1-244A-9314-406E074ADCCA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E1-244A-9314-406E074ADCCA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E1-244A-9314-406E074ADCCA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E1-244A-9314-406E074ADCCA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E1-244A-9314-406E074ADC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PPP!$D$2:$D$239</c:f>
              <c:numCache>
                <c:formatCode>General</c:formatCode>
                <c:ptCount val="238"/>
                <c:pt idx="0">
                  <c:v>68300</c:v>
                </c:pt>
                <c:pt idx="1">
                  <c:v>38110</c:v>
                </c:pt>
                <c:pt idx="2">
                  <c:v>116500</c:v>
                </c:pt>
                <c:pt idx="3">
                  <c:v>44740</c:v>
                </c:pt>
                <c:pt idx="4">
                  <c:v>55220</c:v>
                </c:pt>
                <c:pt idx="5">
                  <c:v>46120</c:v>
                </c:pt>
                <c:pt idx="6">
                  <c:v>53070</c:v>
                </c:pt>
                <c:pt idx="7">
                  <c:v>55100</c:v>
                </c:pt>
                <c:pt idx="8">
                  <c:v>53040</c:v>
                </c:pt>
                <c:pt idx="9">
                  <c:v>61000</c:v>
                </c:pt>
                <c:pt idx="10">
                  <c:v>74410</c:v>
                </c:pt>
                <c:pt idx="11">
                  <c:v>58370</c:v>
                </c:pt>
                <c:pt idx="12">
                  <c:v>44600</c:v>
                </c:pt>
                <c:pt idx="13">
                  <c:v>58780</c:v>
                </c:pt>
                <c:pt idx="14">
                  <c:v>74940</c:v>
                </c:pt>
                <c:pt idx="15">
                  <c:v>48830</c:v>
                </c:pt>
                <c:pt idx="16">
                  <c:v>42520</c:v>
                </c:pt>
                <c:pt idx="17">
                  <c:v>47850</c:v>
                </c:pt>
                <c:pt idx="18">
                  <c:v>70480</c:v>
                </c:pt>
                <c:pt idx="19">
                  <c:v>99240</c:v>
                </c:pt>
                <c:pt idx="20">
                  <c:v>42510</c:v>
                </c:pt>
                <c:pt idx="21">
                  <c:v>60840</c:v>
                </c:pt>
                <c:pt idx="22">
                  <c:v>44740</c:v>
                </c:pt>
                <c:pt idx="23">
                  <c:v>26940</c:v>
                </c:pt>
                <c:pt idx="24">
                  <c:v>25660</c:v>
                </c:pt>
                <c:pt idx="25">
                  <c:v>74250</c:v>
                </c:pt>
                <c:pt idx="26">
                  <c:v>32730</c:v>
                </c:pt>
                <c:pt idx="27">
                  <c:v>54910</c:v>
                </c:pt>
                <c:pt idx="28">
                  <c:v>35230</c:v>
                </c:pt>
                <c:pt idx="29">
                  <c:v>14480</c:v>
                </c:pt>
                <c:pt idx="30">
                  <c:v>25670</c:v>
                </c:pt>
                <c:pt idx="31">
                  <c:v>34740</c:v>
                </c:pt>
                <c:pt idx="32">
                  <c:v>43770</c:v>
                </c:pt>
                <c:pt idx="33">
                  <c:v>50660</c:v>
                </c:pt>
                <c:pt idx="34">
                  <c:v>18140</c:v>
                </c:pt>
                <c:pt idx="35">
                  <c:v>32160</c:v>
                </c:pt>
                <c:pt idx="36">
                  <c:v>37710</c:v>
                </c:pt>
                <c:pt idx="37">
                  <c:v>42230</c:v>
                </c:pt>
                <c:pt idx="38">
                  <c:v>23170</c:v>
                </c:pt>
                <c:pt idx="39">
                  <c:v>13360</c:v>
                </c:pt>
                <c:pt idx="40">
                  <c:v>39840</c:v>
                </c:pt>
                <c:pt idx="41">
                  <c:v>22270</c:v>
                </c:pt>
                <c:pt idx="42">
                  <c:v>28710</c:v>
                </c:pt>
                <c:pt idx="44">
                  <c:v>82230</c:v>
                </c:pt>
                <c:pt idx="45">
                  <c:v>13350</c:v>
                </c:pt>
                <c:pt idx="46">
                  <c:v>55970</c:v>
                </c:pt>
                <c:pt idx="47">
                  <c:v>16950</c:v>
                </c:pt>
                <c:pt idx="48">
                  <c:v>38730</c:v>
                </c:pt>
                <c:pt idx="49">
                  <c:v>15600</c:v>
                </c:pt>
                <c:pt idx="50">
                  <c:v>47190</c:v>
                </c:pt>
                <c:pt idx="51">
                  <c:v>19110</c:v>
                </c:pt>
                <c:pt idx="52">
                  <c:v>88070</c:v>
                </c:pt>
                <c:pt idx="53">
                  <c:v>45130</c:v>
                </c:pt>
                <c:pt idx="54">
                  <c:v>27800</c:v>
                </c:pt>
                <c:pt idx="55">
                  <c:v>54640</c:v>
                </c:pt>
                <c:pt idx="56">
                  <c:v>28650</c:v>
                </c:pt>
                <c:pt idx="57">
                  <c:v>12480</c:v>
                </c:pt>
                <c:pt idx="58">
                  <c:v>35540</c:v>
                </c:pt>
                <c:pt idx="59">
                  <c:v>38540</c:v>
                </c:pt>
                <c:pt idx="60">
                  <c:v>23340</c:v>
                </c:pt>
                <c:pt idx="61">
                  <c:v>16000</c:v>
                </c:pt>
                <c:pt idx="62">
                  <c:v>9470</c:v>
                </c:pt>
                <c:pt idx="63">
                  <c:v>12310</c:v>
                </c:pt>
                <c:pt idx="64">
                  <c:v>20960</c:v>
                </c:pt>
                <c:pt idx="65">
                  <c:v>74630</c:v>
                </c:pt>
                <c:pt idx="66">
                  <c:v>11500</c:v>
                </c:pt>
                <c:pt idx="67">
                  <c:v>16580</c:v>
                </c:pt>
                <c:pt idx="68">
                  <c:v>18170</c:v>
                </c:pt>
                <c:pt idx="69">
                  <c:v>14260</c:v>
                </c:pt>
                <c:pt idx="70">
                  <c:v>11260</c:v>
                </c:pt>
                <c:pt idx="71">
                  <c:v>34520</c:v>
                </c:pt>
                <c:pt idx="72">
                  <c:v>9820</c:v>
                </c:pt>
                <c:pt idx="73">
                  <c:v>14540</c:v>
                </c:pt>
                <c:pt idx="74">
                  <c:v>83530</c:v>
                </c:pt>
                <c:pt idx="75">
                  <c:v>24310</c:v>
                </c:pt>
                <c:pt idx="76">
                  <c:v>20080</c:v>
                </c:pt>
                <c:pt idx="77">
                  <c:v>5300</c:v>
                </c:pt>
                <c:pt idx="78">
                  <c:v>30990</c:v>
                </c:pt>
                <c:pt idx="79">
                  <c:v>13990</c:v>
                </c:pt>
                <c:pt idx="80">
                  <c:v>22940</c:v>
                </c:pt>
                <c:pt idx="82">
                  <c:v>34860</c:v>
                </c:pt>
                <c:pt idx="83">
                  <c:v>18210</c:v>
                </c:pt>
                <c:pt idx="84">
                  <c:v>20640</c:v>
                </c:pt>
                <c:pt idx="85">
                  <c:v>26730</c:v>
                </c:pt>
                <c:pt idx="86">
                  <c:v>11870</c:v>
                </c:pt>
                <c:pt idx="88">
                  <c:v>11980</c:v>
                </c:pt>
                <c:pt idx="89">
                  <c:v>9230</c:v>
                </c:pt>
                <c:pt idx="90">
                  <c:v>17450</c:v>
                </c:pt>
                <c:pt idx="91">
                  <c:v>26320</c:v>
                </c:pt>
                <c:pt idx="92">
                  <c:v>12080</c:v>
                </c:pt>
                <c:pt idx="93">
                  <c:v>19150</c:v>
                </c:pt>
                <c:pt idx="94">
                  <c:v>14000</c:v>
                </c:pt>
                <c:pt idx="95">
                  <c:v>10990</c:v>
                </c:pt>
                <c:pt idx="96">
                  <c:v>7130</c:v>
                </c:pt>
                <c:pt idx="97">
                  <c:v>12570</c:v>
                </c:pt>
                <c:pt idx="98">
                  <c:v>8550</c:v>
                </c:pt>
                <c:pt idx="99">
                  <c:v>6530</c:v>
                </c:pt>
                <c:pt idx="100">
                  <c:v>16790</c:v>
                </c:pt>
                <c:pt idx="102">
                  <c:v>10840</c:v>
                </c:pt>
                <c:pt idx="103">
                  <c:v>17460</c:v>
                </c:pt>
                <c:pt idx="104">
                  <c:v>21840</c:v>
                </c:pt>
                <c:pt idx="105">
                  <c:v>15120</c:v>
                </c:pt>
                <c:pt idx="106">
                  <c:v>17650</c:v>
                </c:pt>
                <c:pt idx="107">
                  <c:v>6220</c:v>
                </c:pt>
                <c:pt idx="108">
                  <c:v>5150</c:v>
                </c:pt>
                <c:pt idx="109">
                  <c:v>25940</c:v>
                </c:pt>
                <c:pt idx="110">
                  <c:v>7000</c:v>
                </c:pt>
                <c:pt idx="111">
                  <c:v>17220</c:v>
                </c:pt>
                <c:pt idx="112">
                  <c:v>9550</c:v>
                </c:pt>
                <c:pt idx="113">
                  <c:v>9650</c:v>
                </c:pt>
                <c:pt idx="114">
                  <c:v>9000</c:v>
                </c:pt>
                <c:pt idx="115">
                  <c:v>11430</c:v>
                </c:pt>
                <c:pt idx="116">
                  <c:v>14990</c:v>
                </c:pt>
                <c:pt idx="117">
                  <c:v>2370</c:v>
                </c:pt>
                <c:pt idx="118">
                  <c:v>4190</c:v>
                </c:pt>
                <c:pt idx="119">
                  <c:v>4580</c:v>
                </c:pt>
                <c:pt idx="120">
                  <c:v>14970</c:v>
                </c:pt>
                <c:pt idx="121">
                  <c:v>9110</c:v>
                </c:pt>
                <c:pt idx="122">
                  <c:v>4170</c:v>
                </c:pt>
                <c:pt idx="123">
                  <c:v>6090</c:v>
                </c:pt>
                <c:pt idx="124">
                  <c:v>13910</c:v>
                </c:pt>
                <c:pt idx="125">
                  <c:v>11800</c:v>
                </c:pt>
                <c:pt idx="126">
                  <c:v>12740</c:v>
                </c:pt>
                <c:pt idx="127">
                  <c:v>20540</c:v>
                </c:pt>
                <c:pt idx="128">
                  <c:v>3310</c:v>
                </c:pt>
                <c:pt idx="129">
                  <c:v>3630</c:v>
                </c:pt>
                <c:pt idx="130">
                  <c:v>17440</c:v>
                </c:pt>
                <c:pt idx="131">
                  <c:v>5790</c:v>
                </c:pt>
                <c:pt idx="132">
                  <c:v>13740</c:v>
                </c:pt>
                <c:pt idx="133">
                  <c:v>6070</c:v>
                </c:pt>
                <c:pt idx="134">
                  <c:v>4090</c:v>
                </c:pt>
                <c:pt idx="135">
                  <c:v>5860</c:v>
                </c:pt>
                <c:pt idx="136">
                  <c:v>14370</c:v>
                </c:pt>
                <c:pt idx="137">
                  <c:v>5140</c:v>
                </c:pt>
                <c:pt idx="138">
                  <c:v>8920</c:v>
                </c:pt>
                <c:pt idx="139">
                  <c:v>6310</c:v>
                </c:pt>
                <c:pt idx="140">
                  <c:v>9420</c:v>
                </c:pt>
                <c:pt idx="141">
                  <c:v>6500</c:v>
                </c:pt>
                <c:pt idx="142">
                  <c:v>6310</c:v>
                </c:pt>
                <c:pt idx="143">
                  <c:v>5000</c:v>
                </c:pt>
                <c:pt idx="144">
                  <c:v>16050</c:v>
                </c:pt>
                <c:pt idx="145">
                  <c:v>3740</c:v>
                </c:pt>
                <c:pt idx="146">
                  <c:v>2530</c:v>
                </c:pt>
                <c:pt idx="147">
                  <c:v>14160</c:v>
                </c:pt>
                <c:pt idx="148">
                  <c:v>2150</c:v>
                </c:pt>
                <c:pt idx="149">
                  <c:v>2370</c:v>
                </c:pt>
                <c:pt idx="151">
                  <c:v>12122</c:v>
                </c:pt>
                <c:pt idx="152">
                  <c:v>3000</c:v>
                </c:pt>
                <c:pt idx="153">
                  <c:v>4170</c:v>
                </c:pt>
                <c:pt idx="154">
                  <c:v>4090</c:v>
                </c:pt>
                <c:pt idx="155">
                  <c:v>6090</c:v>
                </c:pt>
                <c:pt idx="156">
                  <c:v>2740</c:v>
                </c:pt>
                <c:pt idx="157">
                  <c:v>7790</c:v>
                </c:pt>
                <c:pt idx="158">
                  <c:v>4170</c:v>
                </c:pt>
                <c:pt idx="159">
                  <c:v>3000</c:v>
                </c:pt>
                <c:pt idx="160">
                  <c:v>2800</c:v>
                </c:pt>
                <c:pt idx="161">
                  <c:v>4610</c:v>
                </c:pt>
                <c:pt idx="162">
                  <c:v>1500</c:v>
                </c:pt>
                <c:pt idx="163">
                  <c:v>2700</c:v>
                </c:pt>
                <c:pt idx="164">
                  <c:v>5860</c:v>
                </c:pt>
                <c:pt idx="165">
                  <c:v>4170</c:v>
                </c:pt>
                <c:pt idx="166">
                  <c:v>3740</c:v>
                </c:pt>
                <c:pt idx="167">
                  <c:v>1600</c:v>
                </c:pt>
                <c:pt idx="168">
                  <c:v>2370</c:v>
                </c:pt>
                <c:pt idx="169">
                  <c:v>2370</c:v>
                </c:pt>
                <c:pt idx="170">
                  <c:v>4230</c:v>
                </c:pt>
                <c:pt idx="171">
                  <c:v>1660</c:v>
                </c:pt>
                <c:pt idx="172">
                  <c:v>2540</c:v>
                </c:pt>
                <c:pt idx="173">
                  <c:v>4900</c:v>
                </c:pt>
                <c:pt idx="174">
                  <c:v>2420</c:v>
                </c:pt>
                <c:pt idx="175">
                  <c:v>17330</c:v>
                </c:pt>
                <c:pt idx="176">
                  <c:v>1520</c:v>
                </c:pt>
                <c:pt idx="177">
                  <c:v>3870</c:v>
                </c:pt>
                <c:pt idx="178">
                  <c:v>1270</c:v>
                </c:pt>
                <c:pt idx="179">
                  <c:v>3620</c:v>
                </c:pt>
                <c:pt idx="180">
                  <c:v>2280</c:v>
                </c:pt>
                <c:pt idx="181">
                  <c:v>1620</c:v>
                </c:pt>
                <c:pt idx="182">
                  <c:v>840</c:v>
                </c:pt>
                <c:pt idx="183">
                  <c:v>840</c:v>
                </c:pt>
                <c:pt idx="184">
                  <c:v>1840</c:v>
                </c:pt>
                <c:pt idx="185">
                  <c:v>2110</c:v>
                </c:pt>
                <c:pt idx="186">
                  <c:v>1830</c:v>
                </c:pt>
                <c:pt idx="187">
                  <c:v>1500</c:v>
                </c:pt>
                <c:pt idx="188">
                  <c:v>920</c:v>
                </c:pt>
                <c:pt idx="189">
                  <c:v>980</c:v>
                </c:pt>
                <c:pt idx="191">
                  <c:v>1200</c:v>
                </c:pt>
                <c:pt idx="192">
                  <c:v>980</c:v>
                </c:pt>
              </c:numCache>
            </c:numRef>
          </c:xVal>
          <c:yVal>
            <c:numRef>
              <c:f>PPP!$C$2:$C$239</c:f>
              <c:numCache>
                <c:formatCode>General</c:formatCode>
                <c:ptCount val="238"/>
                <c:pt idx="0">
                  <c:v>0.98473999999999995</c:v>
                </c:pt>
                <c:pt idx="1">
                  <c:v>0.97274000000000005</c:v>
                </c:pt>
                <c:pt idx="2">
                  <c:v>0.96911999999999998</c:v>
                </c:pt>
                <c:pt idx="3">
                  <c:v>0.96789000000000003</c:v>
                </c:pt>
                <c:pt idx="4">
                  <c:v>0.96706999999999999</c:v>
                </c:pt>
                <c:pt idx="5">
                  <c:v>0.96021999999999996</c:v>
                </c:pt>
                <c:pt idx="6">
                  <c:v>0.95772999999999997</c:v>
                </c:pt>
                <c:pt idx="7">
                  <c:v>0.9577</c:v>
                </c:pt>
                <c:pt idx="8">
                  <c:v>0.95745999999999998</c:v>
                </c:pt>
                <c:pt idx="9">
                  <c:v>0.95384000000000002</c:v>
                </c:pt>
                <c:pt idx="10">
                  <c:v>0.95328000000000002</c:v>
                </c:pt>
                <c:pt idx="11">
                  <c:v>0.93820999999999999</c:v>
                </c:pt>
                <c:pt idx="12">
                  <c:v>0.93510000000000004</c:v>
                </c:pt>
                <c:pt idx="13">
                  <c:v>0.93262</c:v>
                </c:pt>
                <c:pt idx="14">
                  <c:v>0.93152999999999997</c:v>
                </c:pt>
                <c:pt idx="15">
                  <c:v>0.92654000000000003</c:v>
                </c:pt>
                <c:pt idx="16">
                  <c:v>0.92059999999999997</c:v>
                </c:pt>
                <c:pt idx="17">
                  <c:v>0.91957999999999995</c:v>
                </c:pt>
                <c:pt idx="18">
                  <c:v>0.91944999999999999</c:v>
                </c:pt>
                <c:pt idx="19">
                  <c:v>0.91376999999999997</c:v>
                </c:pt>
                <c:pt idx="20">
                  <c:v>0.91103999999999996</c:v>
                </c:pt>
                <c:pt idx="21">
                  <c:v>0.90652999999999995</c:v>
                </c:pt>
                <c:pt idx="22">
                  <c:v>0.90142999999999995</c:v>
                </c:pt>
                <c:pt idx="23">
                  <c:v>0.90093000000000001</c:v>
                </c:pt>
                <c:pt idx="24">
                  <c:v>0.90059</c:v>
                </c:pt>
                <c:pt idx="25">
                  <c:v>0.90034999999999998</c:v>
                </c:pt>
                <c:pt idx="26">
                  <c:v>0.89131000000000005</c:v>
                </c:pt>
                <c:pt idx="27">
                  <c:v>0.88859999999999995</c:v>
                </c:pt>
                <c:pt idx="28">
                  <c:v>0.88522000000000001</c:v>
                </c:pt>
                <c:pt idx="29">
                  <c:v>0.88407000000000002</c:v>
                </c:pt>
                <c:pt idx="30">
                  <c:v>0.88266</c:v>
                </c:pt>
                <c:pt idx="31">
                  <c:v>0.88175000000000003</c:v>
                </c:pt>
                <c:pt idx="32">
                  <c:v>0.87588999999999995</c:v>
                </c:pt>
                <c:pt idx="33">
                  <c:v>0.87441999999999998</c:v>
                </c:pt>
                <c:pt idx="34">
                  <c:v>0.87183999999999995</c:v>
                </c:pt>
                <c:pt idx="35">
                  <c:v>0.86736999999999997</c:v>
                </c:pt>
                <c:pt idx="36">
                  <c:v>0.86480000000000001</c:v>
                </c:pt>
                <c:pt idx="37">
                  <c:v>0.86187000000000002</c:v>
                </c:pt>
                <c:pt idx="38">
                  <c:v>0.86184000000000005</c:v>
                </c:pt>
                <c:pt idx="39">
                  <c:v>0.86162000000000005</c:v>
                </c:pt>
                <c:pt idx="40">
                  <c:v>0.85758999999999996</c:v>
                </c:pt>
                <c:pt idx="41">
                  <c:v>0.85733000000000004</c:v>
                </c:pt>
                <c:pt idx="42">
                  <c:v>0.85324999999999995</c:v>
                </c:pt>
                <c:pt idx="43">
                  <c:v>0.85284000000000004</c:v>
                </c:pt>
                <c:pt idx="44">
                  <c:v>0.84658</c:v>
                </c:pt>
                <c:pt idx="45">
                  <c:v>0.84569000000000005</c:v>
                </c:pt>
                <c:pt idx="46">
                  <c:v>0.84516000000000002</c:v>
                </c:pt>
                <c:pt idx="47">
                  <c:v>0.84216999999999997</c:v>
                </c:pt>
                <c:pt idx="48">
                  <c:v>0.84153</c:v>
                </c:pt>
                <c:pt idx="49">
                  <c:v>0.84026000000000001</c:v>
                </c:pt>
                <c:pt idx="50">
                  <c:v>0.83557000000000003</c:v>
                </c:pt>
                <c:pt idx="51">
                  <c:v>0.83509999999999995</c:v>
                </c:pt>
                <c:pt idx="52">
                  <c:v>0.82438</c:v>
                </c:pt>
                <c:pt idx="53">
                  <c:v>0.82394000000000001</c:v>
                </c:pt>
                <c:pt idx="54">
                  <c:v>0.81452999999999998</c:v>
                </c:pt>
                <c:pt idx="55">
                  <c:v>0.81211999999999995</c:v>
                </c:pt>
                <c:pt idx="56">
                  <c:v>0.81113999999999997</c:v>
                </c:pt>
                <c:pt idx="57">
                  <c:v>0.80700000000000005</c:v>
                </c:pt>
                <c:pt idx="58">
                  <c:v>0.80430000000000001</c:v>
                </c:pt>
                <c:pt idx="59">
                  <c:v>0.80213999999999996</c:v>
                </c:pt>
                <c:pt idx="60">
                  <c:v>0.80088999999999999</c:v>
                </c:pt>
                <c:pt idx="61">
                  <c:v>0.8</c:v>
                </c:pt>
                <c:pt idx="62">
                  <c:v>0.79990000000000006</c:v>
                </c:pt>
                <c:pt idx="63">
                  <c:v>0.79910999999999999</c:v>
                </c:pt>
                <c:pt idx="64">
                  <c:v>0.78498999999999997</c:v>
                </c:pt>
                <c:pt idx="65">
                  <c:v>0.78120000000000001</c:v>
                </c:pt>
                <c:pt idx="66">
                  <c:v>0.77997000000000005</c:v>
                </c:pt>
                <c:pt idx="67">
                  <c:v>0.77929999999999999</c:v>
                </c:pt>
                <c:pt idx="68">
                  <c:v>0.77922999999999998</c:v>
                </c:pt>
                <c:pt idx="69">
                  <c:v>0.77195000000000003</c:v>
                </c:pt>
                <c:pt idx="70">
                  <c:v>0.77092000000000005</c:v>
                </c:pt>
                <c:pt idx="71">
                  <c:v>0.76363999999999999</c:v>
                </c:pt>
                <c:pt idx="72">
                  <c:v>0.76212000000000002</c:v>
                </c:pt>
                <c:pt idx="73">
                  <c:v>0.76073000000000002</c:v>
                </c:pt>
                <c:pt idx="74">
                  <c:v>0.75536000000000003</c:v>
                </c:pt>
                <c:pt idx="75">
                  <c:v>0.75061</c:v>
                </c:pt>
                <c:pt idx="76">
                  <c:v>0.74448999999999999</c:v>
                </c:pt>
                <c:pt idx="77">
                  <c:v>0.73160000000000003</c:v>
                </c:pt>
                <c:pt idx="78">
                  <c:v>0.72980999999999996</c:v>
                </c:pt>
                <c:pt idx="79">
                  <c:v>0.72506999999999999</c:v>
                </c:pt>
                <c:pt idx="80">
                  <c:v>0.72111000000000003</c:v>
                </c:pt>
                <c:pt idx="81">
                  <c:v>0.71747000000000005</c:v>
                </c:pt>
                <c:pt idx="82">
                  <c:v>0.71433999999999997</c:v>
                </c:pt>
                <c:pt idx="83">
                  <c:v>0.70704</c:v>
                </c:pt>
                <c:pt idx="84">
                  <c:v>0.70126999999999995</c:v>
                </c:pt>
                <c:pt idx="85">
                  <c:v>0.69725999999999999</c:v>
                </c:pt>
                <c:pt idx="86">
                  <c:v>0.69347999999999999</c:v>
                </c:pt>
                <c:pt idx="87">
                  <c:v>0.68930999999999998</c:v>
                </c:pt>
                <c:pt idx="88">
                  <c:v>0.68493000000000004</c:v>
                </c:pt>
                <c:pt idx="89">
                  <c:v>0.68411</c:v>
                </c:pt>
                <c:pt idx="90">
                  <c:v>0.68149999999999999</c:v>
                </c:pt>
                <c:pt idx="91">
                  <c:v>0.67732999999999999</c:v>
                </c:pt>
                <c:pt idx="92">
                  <c:v>0.67544000000000004</c:v>
                </c:pt>
                <c:pt idx="93">
                  <c:v>0.67452999999999996</c:v>
                </c:pt>
                <c:pt idx="94">
                  <c:v>0.66993999999999998</c:v>
                </c:pt>
                <c:pt idx="95">
                  <c:v>0.66776999999999997</c:v>
                </c:pt>
                <c:pt idx="96">
                  <c:v>0.66776000000000002</c:v>
                </c:pt>
                <c:pt idx="97">
                  <c:v>0.66668000000000005</c:v>
                </c:pt>
                <c:pt idx="98">
                  <c:v>0.66508</c:v>
                </c:pt>
                <c:pt idx="99">
                  <c:v>0.65695999999999999</c:v>
                </c:pt>
                <c:pt idx="100">
                  <c:v>0.65639000000000003</c:v>
                </c:pt>
                <c:pt idx="101">
                  <c:v>0.65508999999999995</c:v>
                </c:pt>
                <c:pt idx="102">
                  <c:v>0.65110000000000001</c:v>
                </c:pt>
                <c:pt idx="103">
                  <c:v>0.64576999999999996</c:v>
                </c:pt>
                <c:pt idx="104">
                  <c:v>0.64281999999999995</c:v>
                </c:pt>
                <c:pt idx="105">
                  <c:v>0.63654999999999995</c:v>
                </c:pt>
                <c:pt idx="106">
                  <c:v>0.63292999999999999</c:v>
                </c:pt>
                <c:pt idx="107">
                  <c:v>0.63168999999999997</c:v>
                </c:pt>
                <c:pt idx="108">
                  <c:v>0.63139999999999996</c:v>
                </c:pt>
                <c:pt idx="109">
                  <c:v>0.63053999999999999</c:v>
                </c:pt>
                <c:pt idx="110">
                  <c:v>0.62378</c:v>
                </c:pt>
                <c:pt idx="111">
                  <c:v>0.61177999999999999</c:v>
                </c:pt>
                <c:pt idx="112">
                  <c:v>0.60811999999999999</c:v>
                </c:pt>
                <c:pt idx="113">
                  <c:v>0.60074000000000005</c:v>
                </c:pt>
                <c:pt idx="114">
                  <c:v>0.5988</c:v>
                </c:pt>
                <c:pt idx="115">
                  <c:v>0.59555999999999998</c:v>
                </c:pt>
                <c:pt idx="116">
                  <c:v>0.58762000000000003</c:v>
                </c:pt>
                <c:pt idx="117">
                  <c:v>0.57992999999999995</c:v>
                </c:pt>
                <c:pt idx="118">
                  <c:v>0.57813000000000003</c:v>
                </c:pt>
                <c:pt idx="119">
                  <c:v>0.57535999999999998</c:v>
                </c:pt>
                <c:pt idx="120">
                  <c:v>0.57408000000000003</c:v>
                </c:pt>
                <c:pt idx="121">
                  <c:v>0.57382999999999995</c:v>
                </c:pt>
                <c:pt idx="122">
                  <c:v>0.56054999999999999</c:v>
                </c:pt>
                <c:pt idx="123">
                  <c:v>0.55867999999999995</c:v>
                </c:pt>
                <c:pt idx="124">
                  <c:v>0.54661999999999999</c:v>
                </c:pt>
                <c:pt idx="125">
                  <c:v>0.54490000000000005</c:v>
                </c:pt>
                <c:pt idx="126">
                  <c:v>0.54452</c:v>
                </c:pt>
                <c:pt idx="127">
                  <c:v>0.54432000000000003</c:v>
                </c:pt>
                <c:pt idx="128">
                  <c:v>0.54271000000000003</c:v>
                </c:pt>
                <c:pt idx="129">
                  <c:v>0.54237000000000002</c:v>
                </c:pt>
                <c:pt idx="130">
                  <c:v>0.53603000000000001</c:v>
                </c:pt>
                <c:pt idx="131">
                  <c:v>0.53181</c:v>
                </c:pt>
                <c:pt idx="132">
                  <c:v>0.52546999999999999</c:v>
                </c:pt>
                <c:pt idx="133">
                  <c:v>0.51639000000000002</c:v>
                </c:pt>
                <c:pt idx="134">
                  <c:v>0.51624999999999999</c:v>
                </c:pt>
                <c:pt idx="135">
                  <c:v>0.50954999999999995</c:v>
                </c:pt>
                <c:pt idx="136">
                  <c:v>0.50724000000000002</c:v>
                </c:pt>
                <c:pt idx="137">
                  <c:v>0.50007000000000001</c:v>
                </c:pt>
                <c:pt idx="138">
                  <c:v>0.49214000000000002</c:v>
                </c:pt>
                <c:pt idx="139">
                  <c:v>0.4899</c:v>
                </c:pt>
                <c:pt idx="140">
                  <c:v>0.48719000000000001</c:v>
                </c:pt>
                <c:pt idx="141">
                  <c:v>0.48559000000000002</c:v>
                </c:pt>
                <c:pt idx="142">
                  <c:v>0.48229</c:v>
                </c:pt>
                <c:pt idx="143">
                  <c:v>0.48146</c:v>
                </c:pt>
                <c:pt idx="144">
                  <c:v>0.47569</c:v>
                </c:pt>
                <c:pt idx="145">
                  <c:v>0.45778999999999997</c:v>
                </c:pt>
                <c:pt idx="146">
                  <c:v>0.45723000000000003</c:v>
                </c:pt>
                <c:pt idx="147">
                  <c:v>0.45721000000000001</c:v>
                </c:pt>
                <c:pt idx="148">
                  <c:v>0.44807000000000002</c:v>
                </c:pt>
                <c:pt idx="149">
                  <c:v>0.44635999999999998</c:v>
                </c:pt>
                <c:pt idx="150">
                  <c:v>0.44544</c:v>
                </c:pt>
                <c:pt idx="151">
                  <c:v>0.44037999999999999</c:v>
                </c:pt>
                <c:pt idx="152">
                  <c:v>0.43271999999999999</c:v>
                </c:pt>
                <c:pt idx="153">
                  <c:v>0.43078</c:v>
                </c:pt>
                <c:pt idx="154">
                  <c:v>0.42935000000000001</c:v>
                </c:pt>
                <c:pt idx="155">
                  <c:v>0.41487000000000002</c:v>
                </c:pt>
                <c:pt idx="156">
                  <c:v>0.41228999999999999</c:v>
                </c:pt>
                <c:pt idx="157">
                  <c:v>0.40425</c:v>
                </c:pt>
                <c:pt idx="158">
                  <c:v>0.40201999999999999</c:v>
                </c:pt>
                <c:pt idx="159">
                  <c:v>0.40059</c:v>
                </c:pt>
                <c:pt idx="160">
                  <c:v>0.39198</c:v>
                </c:pt>
                <c:pt idx="161">
                  <c:v>0.38875999999999999</c:v>
                </c:pt>
                <c:pt idx="162">
                  <c:v>0.37534000000000001</c:v>
                </c:pt>
                <c:pt idx="163">
                  <c:v>0.36810999999999999</c:v>
                </c:pt>
                <c:pt idx="164">
                  <c:v>0.34911999999999999</c:v>
                </c:pt>
                <c:pt idx="165">
                  <c:v>0.33911999999999998</c:v>
                </c:pt>
                <c:pt idx="166">
                  <c:v>0.32351999999999997</c:v>
                </c:pt>
                <c:pt idx="167">
                  <c:v>0.32346000000000003</c:v>
                </c:pt>
                <c:pt idx="168">
                  <c:v>0.31108999999999998</c:v>
                </c:pt>
                <c:pt idx="169">
                  <c:v>0.30830999999999997</c:v>
                </c:pt>
                <c:pt idx="170">
                  <c:v>0.30756</c:v>
                </c:pt>
                <c:pt idx="171">
                  <c:v>0.30421999999999999</c:v>
                </c:pt>
                <c:pt idx="172">
                  <c:v>0.30053000000000002</c:v>
                </c:pt>
                <c:pt idx="173">
                  <c:v>0.29104999999999998</c:v>
                </c:pt>
                <c:pt idx="174">
                  <c:v>0.28946</c:v>
                </c:pt>
                <c:pt idx="175">
                  <c:v>0.28554000000000002</c:v>
                </c:pt>
                <c:pt idx="176">
                  <c:v>0.28476000000000001</c:v>
                </c:pt>
                <c:pt idx="177">
                  <c:v>0.27594000000000002</c:v>
                </c:pt>
                <c:pt idx="178">
                  <c:v>0.27149000000000001</c:v>
                </c:pt>
                <c:pt idx="179">
                  <c:v>0.25862000000000002</c:v>
                </c:pt>
                <c:pt idx="180">
                  <c:v>0.25517000000000001</c:v>
                </c:pt>
                <c:pt idx="181">
                  <c:v>0.25133</c:v>
                </c:pt>
                <c:pt idx="182">
                  <c:v>0.24804999999999999</c:v>
                </c:pt>
                <c:pt idx="183">
                  <c:v>0.23200999999999999</c:v>
                </c:pt>
                <c:pt idx="184">
                  <c:v>0.23175000000000001</c:v>
                </c:pt>
                <c:pt idx="185">
                  <c:v>0.21165</c:v>
                </c:pt>
                <c:pt idx="186">
                  <c:v>0.21157000000000001</c:v>
                </c:pt>
                <c:pt idx="187">
                  <c:v>0.20827000000000001</c:v>
                </c:pt>
                <c:pt idx="188">
                  <c:v>0.17852999999999999</c:v>
                </c:pt>
                <c:pt idx="189">
                  <c:v>0.15762000000000001</c:v>
                </c:pt>
                <c:pt idx="190">
                  <c:v>0.14677000000000001</c:v>
                </c:pt>
                <c:pt idx="191">
                  <c:v>0.11907</c:v>
                </c:pt>
                <c:pt idx="192">
                  <c:v>9.4700000000000006E-2</c:v>
                </c:pt>
              </c:numCache>
            </c:numRef>
          </c:yVal>
          <c:bubbleSize>
            <c:numRef>
              <c:f>PPP!$E$2:$E$239</c:f>
              <c:numCache>
                <c:formatCode>General</c:formatCode>
                <c:ptCount val="238"/>
                <c:pt idx="0">
                  <c:v>5.9</c:v>
                </c:pt>
                <c:pt idx="1">
                  <c:v>1.3</c:v>
                </c:pt>
                <c:pt idx="2">
                  <c:v>5.6</c:v>
                </c:pt>
                <c:pt idx="3">
                  <c:v>51.8</c:v>
                </c:pt>
                <c:pt idx="4">
                  <c:v>0.4</c:v>
                </c:pt>
                <c:pt idx="5">
                  <c:v>35.799999999999997</c:v>
                </c:pt>
                <c:pt idx="6">
                  <c:v>67.3</c:v>
                </c:pt>
                <c:pt idx="7">
                  <c:v>25.7</c:v>
                </c:pt>
                <c:pt idx="8">
                  <c:v>5.5</c:v>
                </c:pt>
                <c:pt idx="9">
                  <c:v>17.5</c:v>
                </c:pt>
                <c:pt idx="10">
                  <c:v>9.3000000000000007</c:v>
                </c:pt>
                <c:pt idx="11">
                  <c:v>83.2</c:v>
                </c:pt>
                <c:pt idx="12">
                  <c:v>125.1</c:v>
                </c:pt>
                <c:pt idx="13">
                  <c:v>10.4</c:v>
                </c:pt>
                <c:pt idx="14">
                  <c:v>5.4</c:v>
                </c:pt>
                <c:pt idx="15">
                  <c:v>5.0999999999999996</c:v>
                </c:pt>
                <c:pt idx="16">
                  <c:v>47.4</c:v>
                </c:pt>
                <c:pt idx="17">
                  <c:v>1.5</c:v>
                </c:pt>
                <c:pt idx="18">
                  <c:v>333.3</c:v>
                </c:pt>
                <c:pt idx="19">
                  <c:v>5</c:v>
                </c:pt>
                <c:pt idx="20">
                  <c:v>2.8</c:v>
                </c:pt>
                <c:pt idx="21">
                  <c:v>9</c:v>
                </c:pt>
                <c:pt idx="22">
                  <c:v>9.3000000000000007</c:v>
                </c:pt>
                <c:pt idx="23">
                  <c:v>19.399999999999999</c:v>
                </c:pt>
                <c:pt idx="24">
                  <c:v>3.5</c:v>
                </c:pt>
                <c:pt idx="25">
                  <c:v>8.6999999999999993</c:v>
                </c:pt>
                <c:pt idx="26">
                  <c:v>85.3</c:v>
                </c:pt>
                <c:pt idx="27">
                  <c:v>0.5</c:v>
                </c:pt>
                <c:pt idx="28">
                  <c:v>1.8</c:v>
                </c:pt>
                <c:pt idx="29">
                  <c:v>41.2</c:v>
                </c:pt>
                <c:pt idx="30">
                  <c:v>19.5</c:v>
                </c:pt>
                <c:pt idx="31">
                  <c:v>3.9</c:v>
                </c:pt>
                <c:pt idx="32">
                  <c:v>2.1</c:v>
                </c:pt>
                <c:pt idx="33">
                  <c:v>67.8</c:v>
                </c:pt>
                <c:pt idx="34">
                  <c:v>1412.2</c:v>
                </c:pt>
                <c:pt idx="35">
                  <c:v>10.4</c:v>
                </c:pt>
                <c:pt idx="36">
                  <c:v>37.799999999999997</c:v>
                </c:pt>
                <c:pt idx="37">
                  <c:v>1.2</c:v>
                </c:pt>
                <c:pt idx="38">
                  <c:v>6.7</c:v>
                </c:pt>
                <c:pt idx="39">
                  <c:v>60</c:v>
                </c:pt>
                <c:pt idx="40">
                  <c:v>4.5</c:v>
                </c:pt>
                <c:pt idx="41">
                  <c:v>45.8</c:v>
                </c:pt>
                <c:pt idx="42">
                  <c:v>143.6</c:v>
                </c:pt>
                <c:pt idx="43">
                  <c:v>0.04</c:v>
                </c:pt>
                <c:pt idx="44">
                  <c:v>0.6</c:v>
                </c:pt>
                <c:pt idx="45">
                  <c:v>3.4</c:v>
                </c:pt>
                <c:pt idx="46">
                  <c:v>38.200000000000003</c:v>
                </c:pt>
                <c:pt idx="47">
                  <c:v>2.8</c:v>
                </c:pt>
                <c:pt idx="48">
                  <c:v>10.3</c:v>
                </c:pt>
                <c:pt idx="49">
                  <c:v>215.3</c:v>
                </c:pt>
                <c:pt idx="50">
                  <c:v>59</c:v>
                </c:pt>
                <c:pt idx="51">
                  <c:v>71.7</c:v>
                </c:pt>
                <c:pt idx="52">
                  <c:v>2.9</c:v>
                </c:pt>
                <c:pt idx="53">
                  <c:v>10.7</c:v>
                </c:pt>
                <c:pt idx="54">
                  <c:v>6.5</c:v>
                </c:pt>
                <c:pt idx="55">
                  <c:v>11.7</c:v>
                </c:pt>
                <c:pt idx="56">
                  <c:v>33.6</c:v>
                </c:pt>
                <c:pt idx="57">
                  <c:v>33.700000000000003</c:v>
                </c:pt>
                <c:pt idx="58">
                  <c:v>9.6</c:v>
                </c:pt>
                <c:pt idx="59">
                  <c:v>5.4</c:v>
                </c:pt>
                <c:pt idx="60">
                  <c:v>5.2</c:v>
                </c:pt>
                <c:pt idx="61">
                  <c:v>2.8</c:v>
                </c:pt>
                <c:pt idx="62">
                  <c:v>35.299999999999997</c:v>
                </c:pt>
                <c:pt idx="63">
                  <c:v>275.5</c:v>
                </c:pt>
                <c:pt idx="64">
                  <c:v>127.5</c:v>
                </c:pt>
                <c:pt idx="65">
                  <c:v>4.3</c:v>
                </c:pt>
                <c:pt idx="66">
                  <c:v>18.100000000000001</c:v>
                </c:pt>
                <c:pt idx="67">
                  <c:v>51.5</c:v>
                </c:pt>
                <c:pt idx="68">
                  <c:v>3.7</c:v>
                </c:pt>
                <c:pt idx="69">
                  <c:v>2.6</c:v>
                </c:pt>
                <c:pt idx="70">
                  <c:v>98.2</c:v>
                </c:pt>
                <c:pt idx="71">
                  <c:v>19</c:v>
                </c:pt>
                <c:pt idx="72">
                  <c:v>115.6</c:v>
                </c:pt>
                <c:pt idx="73">
                  <c:v>10.199999999999999</c:v>
                </c:pt>
                <c:pt idx="74">
                  <c:v>0.4</c:v>
                </c:pt>
                <c:pt idx="75">
                  <c:v>1.3</c:v>
                </c:pt>
                <c:pt idx="76">
                  <c:v>9.3000000000000007</c:v>
                </c:pt>
                <c:pt idx="77">
                  <c:v>6.7</c:v>
                </c:pt>
                <c:pt idx="78">
                  <c:v>4.4000000000000004</c:v>
                </c:pt>
                <c:pt idx="79">
                  <c:v>7.3</c:v>
                </c:pt>
                <c:pt idx="80">
                  <c:v>0.6</c:v>
                </c:pt>
                <c:pt idx="81">
                  <c:v>0.04</c:v>
                </c:pt>
                <c:pt idx="82">
                  <c:v>0.4</c:v>
                </c:pt>
                <c:pt idx="83">
                  <c:v>2.1</c:v>
                </c:pt>
                <c:pt idx="84">
                  <c:v>10.8</c:v>
                </c:pt>
                <c:pt idx="85">
                  <c:v>1.4</c:v>
                </c:pt>
                <c:pt idx="86">
                  <c:v>12.3</c:v>
                </c:pt>
                <c:pt idx="87">
                  <c:v>0.08</c:v>
                </c:pt>
                <c:pt idx="88">
                  <c:v>11.1</c:v>
                </c:pt>
                <c:pt idx="89">
                  <c:v>37.799999999999997</c:v>
                </c:pt>
                <c:pt idx="90">
                  <c:v>0.3</c:v>
                </c:pt>
                <c:pt idx="91">
                  <c:v>0.1</c:v>
                </c:pt>
                <c:pt idx="92">
                  <c:v>0.9</c:v>
                </c:pt>
                <c:pt idx="93">
                  <c:v>0.5</c:v>
                </c:pt>
                <c:pt idx="94">
                  <c:v>110.9</c:v>
                </c:pt>
                <c:pt idx="95">
                  <c:v>2.8</c:v>
                </c:pt>
                <c:pt idx="96">
                  <c:v>1417.2</c:v>
                </c:pt>
                <c:pt idx="97">
                  <c:v>21.5</c:v>
                </c:pt>
                <c:pt idx="98">
                  <c:v>12.1</c:v>
                </c:pt>
                <c:pt idx="99">
                  <c:v>171.2</c:v>
                </c:pt>
                <c:pt idx="100">
                  <c:v>88.6</c:v>
                </c:pt>
                <c:pt idx="101">
                  <c:v>0.03</c:v>
                </c:pt>
                <c:pt idx="102">
                  <c:v>0.8</c:v>
                </c:pt>
                <c:pt idx="103">
                  <c:v>0.1</c:v>
                </c:pt>
                <c:pt idx="104">
                  <c:v>0.1</c:v>
                </c:pt>
                <c:pt idx="105">
                  <c:v>0.6</c:v>
                </c:pt>
                <c:pt idx="106">
                  <c:v>3.2</c:v>
                </c:pt>
                <c:pt idx="107">
                  <c:v>32.799999999999997</c:v>
                </c:pt>
                <c:pt idx="108">
                  <c:v>54</c:v>
                </c:pt>
                <c:pt idx="109">
                  <c:v>0.05</c:v>
                </c:pt>
                <c:pt idx="110">
                  <c:v>0.6</c:v>
                </c:pt>
                <c:pt idx="111">
                  <c:v>2.4</c:v>
                </c:pt>
                <c:pt idx="112">
                  <c:v>1.2</c:v>
                </c:pt>
                <c:pt idx="113">
                  <c:v>2.5</c:v>
                </c:pt>
                <c:pt idx="114">
                  <c:v>6.5</c:v>
                </c:pt>
                <c:pt idx="115">
                  <c:v>46.2</c:v>
                </c:pt>
                <c:pt idx="116">
                  <c:v>0.1</c:v>
                </c:pt>
                <c:pt idx="117">
                  <c:v>13.5</c:v>
                </c:pt>
                <c:pt idx="118">
                  <c:v>30</c:v>
                </c:pt>
                <c:pt idx="119">
                  <c:v>16.899999999999999</c:v>
                </c:pt>
                <c:pt idx="120">
                  <c:v>2.2999999999999998</c:v>
                </c:pt>
                <c:pt idx="121">
                  <c:v>18.100000000000001</c:v>
                </c:pt>
                <c:pt idx="122">
                  <c:v>10</c:v>
                </c:pt>
                <c:pt idx="123">
                  <c:v>29.4</c:v>
                </c:pt>
                <c:pt idx="124">
                  <c:v>6.9</c:v>
                </c:pt>
                <c:pt idx="125">
                  <c:v>5.3</c:v>
                </c:pt>
                <c:pt idx="126">
                  <c:v>7.0000000000000007E-2</c:v>
                </c:pt>
                <c:pt idx="127">
                  <c:v>0.8</c:v>
                </c:pt>
                <c:pt idx="128">
                  <c:v>0.3</c:v>
                </c:pt>
                <c:pt idx="129">
                  <c:v>19.600000000000001</c:v>
                </c:pt>
                <c:pt idx="130">
                  <c:v>28.2</c:v>
                </c:pt>
                <c:pt idx="131">
                  <c:v>7</c:v>
                </c:pt>
                <c:pt idx="132">
                  <c:v>0.2</c:v>
                </c:pt>
                <c:pt idx="133">
                  <c:v>0.1</c:v>
                </c:pt>
                <c:pt idx="134">
                  <c:v>17.899999999999999</c:v>
                </c:pt>
                <c:pt idx="135">
                  <c:v>235.8</c:v>
                </c:pt>
                <c:pt idx="136">
                  <c:v>0.02</c:v>
                </c:pt>
                <c:pt idx="137">
                  <c:v>54.2</c:v>
                </c:pt>
                <c:pt idx="138">
                  <c:v>11.1</c:v>
                </c:pt>
                <c:pt idx="139">
                  <c:v>0.2</c:v>
                </c:pt>
                <c:pt idx="140">
                  <c:v>0.4</c:v>
                </c:pt>
                <c:pt idx="141">
                  <c:v>10.3</c:v>
                </c:pt>
                <c:pt idx="142">
                  <c:v>0.06</c:v>
                </c:pt>
                <c:pt idx="143">
                  <c:v>218.5</c:v>
                </c:pt>
                <c:pt idx="144">
                  <c:v>6.3</c:v>
                </c:pt>
                <c:pt idx="145">
                  <c:v>13.7</c:v>
                </c:pt>
                <c:pt idx="146">
                  <c:v>0.1</c:v>
                </c:pt>
                <c:pt idx="147">
                  <c:v>44.5</c:v>
                </c:pt>
                <c:pt idx="148">
                  <c:v>16</c:v>
                </c:pt>
                <c:pt idx="149">
                  <c:v>45.9</c:v>
                </c:pt>
                <c:pt idx="150">
                  <c:v>0.01</c:v>
                </c:pt>
                <c:pt idx="151">
                  <c:v>7.5</c:v>
                </c:pt>
                <c:pt idx="152">
                  <c:v>63.6</c:v>
                </c:pt>
                <c:pt idx="153">
                  <c:v>0.2</c:v>
                </c:pt>
                <c:pt idx="154">
                  <c:v>27.2</c:v>
                </c:pt>
                <c:pt idx="155">
                  <c:v>35.6</c:v>
                </c:pt>
                <c:pt idx="156">
                  <c:v>2.2000000000000002</c:v>
                </c:pt>
                <c:pt idx="157">
                  <c:v>0.01</c:v>
                </c:pt>
                <c:pt idx="158">
                  <c:v>1.3</c:v>
                </c:pt>
                <c:pt idx="159">
                  <c:v>13.5</c:v>
                </c:pt>
                <c:pt idx="160">
                  <c:v>8.5</c:v>
                </c:pt>
                <c:pt idx="161">
                  <c:v>22.1</c:v>
                </c:pt>
                <c:pt idx="162">
                  <c:v>20</c:v>
                </c:pt>
                <c:pt idx="163">
                  <c:v>0.7</c:v>
                </c:pt>
                <c:pt idx="164">
                  <c:v>5</c:v>
                </c:pt>
                <c:pt idx="165">
                  <c:v>5.8</c:v>
                </c:pt>
                <c:pt idx="166">
                  <c:v>0.1</c:v>
                </c:pt>
                <c:pt idx="167">
                  <c:v>29.1</c:v>
                </c:pt>
                <c:pt idx="168">
                  <c:v>123.4</c:v>
                </c:pt>
                <c:pt idx="169">
                  <c:v>2.1</c:v>
                </c:pt>
                <c:pt idx="170">
                  <c:v>10.9</c:v>
                </c:pt>
                <c:pt idx="171">
                  <c:v>8.6999999999999993</c:v>
                </c:pt>
                <c:pt idx="172">
                  <c:v>23.3</c:v>
                </c:pt>
                <c:pt idx="173">
                  <c:v>1.1000000000000001</c:v>
                </c:pt>
                <c:pt idx="174">
                  <c:v>23.3</c:v>
                </c:pt>
                <c:pt idx="175">
                  <c:v>1.7</c:v>
                </c:pt>
                <c:pt idx="176">
                  <c:v>33.9</c:v>
                </c:pt>
                <c:pt idx="177">
                  <c:v>48.1</c:v>
                </c:pt>
                <c:pt idx="178">
                  <c:v>102.3</c:v>
                </c:pt>
                <c:pt idx="179">
                  <c:v>0.9</c:v>
                </c:pt>
                <c:pt idx="180">
                  <c:v>2.8</c:v>
                </c:pt>
                <c:pt idx="181">
                  <c:v>5.4</c:v>
                </c:pt>
                <c:pt idx="182">
                  <c:v>12.9</c:v>
                </c:pt>
                <c:pt idx="183">
                  <c:v>26.1</c:v>
                </c:pt>
                <c:pt idx="184">
                  <c:v>34.4</c:v>
                </c:pt>
                <c:pt idx="185">
                  <c:v>11.7</c:v>
                </c:pt>
                <c:pt idx="186">
                  <c:v>27.2</c:v>
                </c:pt>
                <c:pt idx="187">
                  <c:v>41.1</c:v>
                </c:pt>
                <c:pt idx="188">
                  <c:v>17.8</c:v>
                </c:pt>
                <c:pt idx="189">
                  <c:v>3.7</c:v>
                </c:pt>
                <c:pt idx="190">
                  <c:v>17.600000000000001</c:v>
                </c:pt>
                <c:pt idx="191">
                  <c:v>10.9</c:v>
                </c:pt>
                <c:pt idx="192">
                  <c:v>5.5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PPP!$A$2:$A$194</c15:f>
                <c15:dlblRangeCache>
                  <c:ptCount val="193"/>
                  <c:pt idx="0">
                    <c:v>Denmark</c:v>
                  </c:pt>
                  <c:pt idx="1">
                    <c:v>Estonia</c:v>
                  </c:pt>
                  <c:pt idx="2">
                    <c:v>Singapore</c:v>
                  </c:pt>
                  <c:pt idx="3">
                    <c:v>South Korea</c:v>
                  </c:pt>
                  <c:pt idx="5">
                    <c:v>Saudi Arabia</c:v>
                  </c:pt>
                  <c:pt idx="6">
                    <c:v>U.K.</c:v>
                  </c:pt>
                  <c:pt idx="7">
                    <c:v>Australia</c:v>
                  </c:pt>
                  <c:pt idx="8">
                    <c:v>Finland</c:v>
                  </c:pt>
                  <c:pt idx="9">
                    <c:v>Netherlands</c:v>
                  </c:pt>
                  <c:pt idx="10">
                    <c:v>U.A.E.</c:v>
                  </c:pt>
                  <c:pt idx="11">
                    <c:v>Germany</c:v>
                  </c:pt>
                  <c:pt idx="12">
                    <c:v>Japan</c:v>
                  </c:pt>
                  <c:pt idx="13">
                    <c:v>Sweden</c:v>
                  </c:pt>
                  <c:pt idx="14">
                    <c:v>Norway</c:v>
                  </c:pt>
                  <c:pt idx="15">
                    <c:v>New Zealand</c:v>
                  </c:pt>
                  <c:pt idx="16">
                    <c:v>Spain</c:v>
                  </c:pt>
                  <c:pt idx="17">
                    <c:v>Bahrain</c:v>
                  </c:pt>
                  <c:pt idx="18">
                    <c:v>U.S.A.</c:v>
                  </c:pt>
                  <c:pt idx="19">
                    <c:v>Ireland</c:v>
                  </c:pt>
                  <c:pt idx="20">
                    <c:v>Lithuania</c:v>
                  </c:pt>
                  <c:pt idx="21">
                    <c:v>Austria</c:v>
                  </c:pt>
                  <c:pt idx="22">
                    <c:v>Israel</c:v>
                  </c:pt>
                  <c:pt idx="23">
                    <c:v>Kazakhstan</c:v>
                  </c:pt>
                  <c:pt idx="24">
                    <c:v>Uruguay</c:v>
                  </c:pt>
                  <c:pt idx="25">
                    <c:v>Switzerland</c:v>
                  </c:pt>
                  <c:pt idx="26">
                    <c:v>Turkiye</c:v>
                  </c:pt>
                  <c:pt idx="28">
                    <c:v>Latvia</c:v>
                  </c:pt>
                  <c:pt idx="29">
                    <c:v>Ukraine</c:v>
                  </c:pt>
                  <c:pt idx="30">
                    <c:v>Chile</c:v>
                  </c:pt>
                  <c:pt idx="31">
                    <c:v>Croatia</c:v>
                  </c:pt>
                  <c:pt idx="32">
                    <c:v>Slovenia</c:v>
                  </c:pt>
                  <c:pt idx="33">
                    <c:v>France</c:v>
                  </c:pt>
                  <c:pt idx="34">
                    <c:v>China</c:v>
                  </c:pt>
                  <c:pt idx="35">
                    <c:v>Greece</c:v>
                  </c:pt>
                  <c:pt idx="36">
                    <c:v>Poland</c:v>
                  </c:pt>
                  <c:pt idx="37">
                    <c:v>Cyprus</c:v>
                  </c:pt>
                  <c:pt idx="38">
                    <c:v>Serbia</c:v>
                  </c:pt>
                  <c:pt idx="39">
                    <c:v>South Africa</c:v>
                  </c:pt>
                  <c:pt idx="40">
                    <c:v>Oman</c:v>
                  </c:pt>
                  <c:pt idx="41">
                    <c:v>Argentina</c:v>
                  </c:pt>
                  <c:pt idx="42">
                    <c:v>Russia</c:v>
                  </c:pt>
                  <c:pt idx="45">
                    <c:v>Mongolia</c:v>
                  </c:pt>
                  <c:pt idx="46">
                    <c:v>Canada</c:v>
                  </c:pt>
                  <c:pt idx="47">
                    <c:v>Armenia</c:v>
                  </c:pt>
                  <c:pt idx="48">
                    <c:v>Portugal</c:v>
                  </c:pt>
                  <c:pt idx="49">
                    <c:v>Brazil</c:v>
                  </c:pt>
                  <c:pt idx="50">
                    <c:v>Italy</c:v>
                  </c:pt>
                  <c:pt idx="51">
                    <c:v>Thailand</c:v>
                  </c:pt>
                  <c:pt idx="52">
                    <c:v>Qatar</c:v>
                  </c:pt>
                  <c:pt idx="53">
                    <c:v>Czechia</c:v>
                  </c:pt>
                  <c:pt idx="54">
                    <c:v>Bulgaria</c:v>
                  </c:pt>
                  <c:pt idx="55">
                    <c:v>Belgium</c:v>
                  </c:pt>
                  <c:pt idx="56">
                    <c:v>Malaysia</c:v>
                  </c:pt>
                  <c:pt idx="57">
                    <c:v>Peru</c:v>
                  </c:pt>
                  <c:pt idx="58">
                    <c:v>Hungary</c:v>
                  </c:pt>
                  <c:pt idx="59">
                    <c:v>Slovakia</c:v>
                  </c:pt>
                  <c:pt idx="60">
                    <c:v>Costa Rica</c:v>
                  </c:pt>
                  <c:pt idx="61">
                    <c:v>Albania</c:v>
                  </c:pt>
                  <c:pt idx="62">
                    <c:v>Uzbekistan</c:v>
                  </c:pt>
                  <c:pt idx="63">
                    <c:v>Indonesia</c:v>
                  </c:pt>
                  <c:pt idx="64">
                    <c:v>Mexico</c:v>
                  </c:pt>
                  <c:pt idx="65">
                    <c:v>Kuwait</c:v>
                  </c:pt>
                  <c:pt idx="66">
                    <c:v>Ecuador</c:v>
                  </c:pt>
                  <c:pt idx="67">
                    <c:v>Colombia</c:v>
                  </c:pt>
                  <c:pt idx="68">
                    <c:v>Georgia</c:v>
                  </c:pt>
                  <c:pt idx="69">
                    <c:v>Moldova</c:v>
                  </c:pt>
                  <c:pt idx="70">
                    <c:v>Vietnam</c:v>
                  </c:pt>
                  <c:pt idx="71">
                    <c:v>Romania</c:v>
                  </c:pt>
                  <c:pt idx="72">
                    <c:v>Philippines</c:v>
                  </c:pt>
                  <c:pt idx="73">
                    <c:v>Azerbaijan</c:v>
                  </c:pt>
                  <c:pt idx="75">
                    <c:v>Mauritius</c:v>
                  </c:pt>
                  <c:pt idx="76">
                    <c:v>Belarus</c:v>
                  </c:pt>
                  <c:pt idx="77">
                    <c:v>Kyrgyzstan</c:v>
                  </c:pt>
                  <c:pt idx="78">
                    <c:v>Panama</c:v>
                  </c:pt>
                  <c:pt idx="79">
                    <c:v>Paraguay</c:v>
                  </c:pt>
                  <c:pt idx="83">
                    <c:v>North Macedonia</c:v>
                  </c:pt>
                  <c:pt idx="84">
                    <c:v>Dominican Republic</c:v>
                  </c:pt>
                  <c:pt idx="85">
                    <c:v>Trinidad and Tobago</c:v>
                  </c:pt>
                  <c:pt idx="86">
                    <c:v>Tunisia</c:v>
                  </c:pt>
                  <c:pt idx="88">
                    <c:v>Jordan</c:v>
                  </c:pt>
                  <c:pt idx="89">
                    <c:v>Morocco</c:v>
                  </c:pt>
                  <c:pt idx="94">
                    <c:v>Egypt</c:v>
                  </c:pt>
                  <c:pt idx="95">
                    <c:v>Jamaica</c:v>
                  </c:pt>
                  <c:pt idx="96">
                    <c:v>India</c:v>
                  </c:pt>
                  <c:pt idx="97">
                    <c:v>Sri Lanka</c:v>
                  </c:pt>
                  <c:pt idx="98">
                    <c:v>Bolivia</c:v>
                  </c:pt>
                  <c:pt idx="99">
                    <c:v>Bangladesh</c:v>
                  </c:pt>
                  <c:pt idx="100">
                    <c:v>Iran</c:v>
                  </c:pt>
                  <c:pt idx="106">
                    <c:v>Bosnia and Herzegovina</c:v>
                  </c:pt>
                  <c:pt idx="107">
                    <c:v>Ghana</c:v>
                  </c:pt>
                  <c:pt idx="108">
                    <c:v>Kenya</c:v>
                  </c:pt>
                  <c:pt idx="111">
                    <c:v>Botswana</c:v>
                  </c:pt>
                  <c:pt idx="112">
                    <c:v>Eswatini</c:v>
                  </c:pt>
                  <c:pt idx="113">
                    <c:v>Namibia</c:v>
                  </c:pt>
                  <c:pt idx="114">
                    <c:v>El Salvador</c:v>
                  </c:pt>
                  <c:pt idx="115">
                    <c:v>Algeria</c:v>
                  </c:pt>
                  <c:pt idx="117">
                    <c:v>Rwanda</c:v>
                  </c:pt>
                  <c:pt idx="118">
                    <c:v>Nepal</c:v>
                  </c:pt>
                  <c:pt idx="119">
                    <c:v>Cambodia</c:v>
                  </c:pt>
                  <c:pt idx="120">
                    <c:v>Gabon</c:v>
                  </c:pt>
                  <c:pt idx="121">
                    <c:v>Guatemala</c:v>
                  </c:pt>
                  <c:pt idx="122">
                    <c:v>Tajikistan</c:v>
                  </c:pt>
                  <c:pt idx="123">
                    <c:v>Côte d'Ivoire</c:v>
                  </c:pt>
                  <c:pt idx="124">
                    <c:v>Libya</c:v>
                  </c:pt>
                  <c:pt idx="125">
                    <c:v>Lebanon</c:v>
                  </c:pt>
                  <c:pt idx="129">
                    <c:v>Zambia</c:v>
                  </c:pt>
                  <c:pt idx="130">
                    <c:v>Venezuela</c:v>
                  </c:pt>
                  <c:pt idx="131">
                    <c:v>Nicaragua</c:v>
                  </c:pt>
                  <c:pt idx="134">
                    <c:v>Senegal</c:v>
                  </c:pt>
                  <c:pt idx="135">
                    <c:v>Pakistan</c:v>
                  </c:pt>
                  <c:pt idx="137">
                    <c:v>Myanmar</c:v>
                  </c:pt>
                  <c:pt idx="138">
                    <c:v>Cuba</c:v>
                  </c:pt>
                  <c:pt idx="141">
                    <c:v>Honduras</c:v>
                  </c:pt>
                  <c:pt idx="143">
                    <c:v>Nigeria</c:v>
                  </c:pt>
                  <c:pt idx="144">
                    <c:v>Turkmenistan</c:v>
                  </c:pt>
                  <c:pt idx="145">
                    <c:v>Benin</c:v>
                  </c:pt>
                  <c:pt idx="147">
                    <c:v>Iraq</c:v>
                  </c:pt>
                  <c:pt idx="148">
                    <c:v>Zimbabwe</c:v>
                  </c:pt>
                  <c:pt idx="149">
                    <c:v>Uganda</c:v>
                  </c:pt>
                  <c:pt idx="151">
                    <c:v>Laos</c:v>
                  </c:pt>
                  <c:pt idx="152">
                    <c:v>Tanzania</c:v>
                  </c:pt>
                  <c:pt idx="154">
                    <c:v>Cameroon</c:v>
                  </c:pt>
                  <c:pt idx="155">
                    <c:v>Angola</c:v>
                  </c:pt>
                  <c:pt idx="156">
                    <c:v>Lesotho</c:v>
                  </c:pt>
                  <c:pt idx="158">
                    <c:v>Timor-Leste</c:v>
                  </c:pt>
                  <c:pt idx="159">
                    <c:v>Guinea</c:v>
                  </c:pt>
                  <c:pt idx="160">
                    <c:v>Togo</c:v>
                  </c:pt>
                  <c:pt idx="161">
                    <c:v>Syria</c:v>
                  </c:pt>
                  <c:pt idx="162">
                    <c:v>Malawi</c:v>
                  </c:pt>
                  <c:pt idx="164">
                    <c:v>Mauritania</c:v>
                  </c:pt>
                  <c:pt idx="165">
                    <c:v>Congo</c:v>
                  </c:pt>
                  <c:pt idx="167">
                    <c:v>Madagascar</c:v>
                  </c:pt>
                  <c:pt idx="168">
                    <c:v>Ethiopia</c:v>
                  </c:pt>
                  <c:pt idx="169">
                    <c:v>Guinea-Bissau</c:v>
                  </c:pt>
                  <c:pt idx="170">
                    <c:v>P.N.G.</c:v>
                  </c:pt>
                  <c:pt idx="171">
                    <c:v>Sierra Leone</c:v>
                  </c:pt>
                  <c:pt idx="172">
                    <c:v>Mali</c:v>
                  </c:pt>
                  <c:pt idx="173">
                    <c:v>Djibouti</c:v>
                  </c:pt>
                  <c:pt idx="174">
                    <c:v>Burkina Faso</c:v>
                  </c:pt>
                  <c:pt idx="175">
                    <c:v>Equatorial Guinea</c:v>
                  </c:pt>
                  <c:pt idx="176">
                    <c:v>Mozambique</c:v>
                  </c:pt>
                  <c:pt idx="177">
                    <c:v>Sudan</c:v>
                  </c:pt>
                  <c:pt idx="178">
                    <c:v>Democratic Republic of the Congo</c:v>
                  </c:pt>
                  <c:pt idx="180">
                    <c:v>Gambia</c:v>
                  </c:pt>
                  <c:pt idx="181">
                    <c:v>Liberia</c:v>
                  </c:pt>
                  <c:pt idx="182">
                    <c:v>Burundi</c:v>
                  </c:pt>
                  <c:pt idx="183">
                    <c:v>North Korea</c:v>
                  </c:pt>
                  <c:pt idx="184">
                    <c:v>Yemen</c:v>
                  </c:pt>
                  <c:pt idx="185">
                    <c:v>Haiti</c:v>
                  </c:pt>
                  <c:pt idx="186">
                    <c:v>Niger</c:v>
                  </c:pt>
                  <c:pt idx="187">
                    <c:v>Afghanistan</c:v>
                  </c:pt>
                  <c:pt idx="188">
                    <c:v>Chad</c:v>
                  </c:pt>
                  <c:pt idx="189">
                    <c:v>Eritrea</c:v>
                  </c:pt>
                  <c:pt idx="190">
                    <c:v>Somalia</c:v>
                  </c:pt>
                  <c:pt idx="191">
                    <c:v>South Sudan</c:v>
                  </c:pt>
                  <c:pt idx="192">
                    <c:v>C.A.R.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7E1-244A-9314-406E074ADCCA}"/>
            </c:ext>
          </c:extLst>
        </c:ser>
        <c:ser>
          <c:idx val="1"/>
          <c:order val="1"/>
          <c:tx>
            <c:v>DummyYLabels</c:v>
          </c:tx>
          <c:spPr>
            <a:solidFill>
              <a:srgbClr val="E97132">
                <a:alpha val="75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7E1-244A-9314-406E074ADCC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7E1-244A-9314-406E074ADCC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7E1-244A-9314-406E074ADCC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7E1-244A-9314-406E074ADCC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7E1-244A-9314-406E074ADCC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7E1-244A-9314-406E074ADCC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7E1-244A-9314-406E074ADCC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7E1-244A-9314-406E074ADCC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7E1-244A-9314-406E074ADCC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1.0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7E1-244A-9314-406E074ADC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0"/>
              <c:pt idx="0">
                <c:v>0.05</c:v>
              </c:pt>
              <c:pt idx="1">
                <c:v>0.05</c:v>
              </c:pt>
              <c:pt idx="2">
                <c:v>0.05</c:v>
              </c:pt>
              <c:pt idx="3">
                <c:v>0.05</c:v>
              </c:pt>
              <c:pt idx="4">
                <c:v>0.05</c:v>
              </c:pt>
              <c:pt idx="5">
                <c:v>0.05</c:v>
              </c:pt>
              <c:pt idx="6">
                <c:v>0.05</c:v>
              </c:pt>
              <c:pt idx="7">
                <c:v>0.05</c:v>
              </c:pt>
              <c:pt idx="8">
                <c:v>0.05</c:v>
              </c:pt>
              <c:pt idx="9">
                <c:v>0.05</c:v>
              </c:pt>
            </c:numLit>
          </c:xVal>
          <c:yVal>
            <c:numLit>
              <c:formatCode>General</c:formatCode>
              <c:ptCount val="10"/>
              <c:pt idx="0">
                <c:v>0.1</c:v>
              </c:pt>
              <c:pt idx="1">
                <c:v>0.2</c:v>
              </c:pt>
              <c:pt idx="2">
                <c:v>0.3</c:v>
              </c:pt>
              <c:pt idx="3">
                <c:v>0.4</c:v>
              </c:pt>
              <c:pt idx="4">
                <c:v>0.5</c:v>
              </c:pt>
              <c:pt idx="5">
                <c:v>0.6</c:v>
              </c:pt>
              <c:pt idx="6">
                <c:v>0.7</c:v>
              </c:pt>
              <c:pt idx="7">
                <c:v>0.8</c:v>
              </c:pt>
              <c:pt idx="8">
                <c:v>0.9</c:v>
              </c:pt>
              <c:pt idx="9">
                <c:v>1</c:v>
              </c:pt>
            </c:numLit>
          </c:yVal>
          <c:bubble3D val="0"/>
          <c:extLst>
            <c:ext xmlns:c16="http://schemas.microsoft.com/office/drawing/2014/chart" uri="{C3380CC4-5D6E-409C-BE32-E72D297353CC}">
              <c16:uniqueId val="{00000132-E7E1-244A-9314-406E074AD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23347552"/>
        <c:axId val="323349264"/>
      </c:bubbleChart>
      <c:valAx>
        <c:axId val="323347552"/>
        <c:scaling>
          <c:logBase val="10"/>
          <c:orientation val="minMax"/>
          <c:max val="1500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99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9264"/>
        <c:crosses val="autoZero"/>
        <c:crossBetween val="midCat"/>
        <c:majorUnit val="10"/>
        <c:minorUnit val="10"/>
      </c:valAx>
      <c:valAx>
        <c:axId val="323349264"/>
        <c:scaling>
          <c:orientation val="minMax"/>
          <c:max val="1.04"/>
          <c:min val="0.05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7552"/>
        <c:crossesAt val="300"/>
        <c:crossBetween val="midCat"/>
        <c:majorUnit val="0.1"/>
        <c:minorUnit val="0.05"/>
      </c:valAx>
      <c:spPr>
        <a:noFill/>
        <a:ln w="254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TII Scale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166666666666666E-2"/>
          <c:y val="3.6666666666666667E-2"/>
          <c:w val="0.33333333333333331"/>
          <c:h val="0.92666666666666664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0.25</c:v>
              </c:pt>
            </c:numLit>
          </c:val>
          <c:extLst>
            <c:ext xmlns:c16="http://schemas.microsoft.com/office/drawing/2014/chart" uri="{C3380CC4-5D6E-409C-BE32-E72D297353CC}">
              <c16:uniqueId val="{00000004-8210-CE49-B41D-C502DB259500}"/>
            </c:ext>
          </c:extLst>
        </c:ser>
        <c:ser>
          <c:idx val="1"/>
          <c:order val="1"/>
          <c:spPr>
            <a:solidFill>
              <a:srgbClr val="FF34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5-8210-CE49-B41D-C502DB259500}"/>
            </c:ext>
          </c:extLst>
        </c:ser>
        <c:ser>
          <c:idx val="2"/>
          <c:order val="2"/>
          <c:spPr>
            <a:solidFill>
              <a:srgbClr val="FF35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6-8210-CE49-B41D-C502DB259500}"/>
            </c:ext>
          </c:extLst>
        </c:ser>
        <c:ser>
          <c:idx val="3"/>
          <c:order val="3"/>
          <c:spPr>
            <a:solidFill>
              <a:srgbClr val="FF363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7-8210-CE49-B41D-C502DB259500}"/>
            </c:ext>
          </c:extLst>
        </c:ser>
        <c:ser>
          <c:idx val="4"/>
          <c:order val="4"/>
          <c:spPr>
            <a:solidFill>
              <a:srgbClr val="FF373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8-8210-CE49-B41D-C502DB259500}"/>
            </c:ext>
          </c:extLst>
        </c:ser>
        <c:ser>
          <c:idx val="5"/>
          <c:order val="5"/>
          <c:spPr>
            <a:solidFill>
              <a:srgbClr val="FF394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9-8210-CE49-B41D-C502DB259500}"/>
            </c:ext>
          </c:extLst>
        </c:ser>
        <c:ser>
          <c:idx val="6"/>
          <c:order val="6"/>
          <c:spPr>
            <a:solidFill>
              <a:srgbClr val="FF3A4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A-8210-CE49-B41D-C502DB259500}"/>
            </c:ext>
          </c:extLst>
        </c:ser>
        <c:ser>
          <c:idx val="7"/>
          <c:order val="7"/>
          <c:spPr>
            <a:solidFill>
              <a:srgbClr val="FF3B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B-8210-CE49-B41D-C502DB259500}"/>
            </c:ext>
          </c:extLst>
        </c:ser>
        <c:ser>
          <c:idx val="8"/>
          <c:order val="8"/>
          <c:spPr>
            <a:solidFill>
              <a:srgbClr val="FF3C4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C-8210-CE49-B41D-C502DB259500}"/>
            </c:ext>
          </c:extLst>
        </c:ser>
        <c:ser>
          <c:idx val="9"/>
          <c:order val="9"/>
          <c:spPr>
            <a:solidFill>
              <a:srgbClr val="FF3D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D-8210-CE49-B41D-C502DB259500}"/>
            </c:ext>
          </c:extLst>
        </c:ser>
        <c:ser>
          <c:idx val="10"/>
          <c:order val="10"/>
          <c:spPr>
            <a:solidFill>
              <a:srgbClr val="FF3F5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E-8210-CE49-B41D-C502DB259500}"/>
            </c:ext>
          </c:extLst>
        </c:ser>
        <c:ser>
          <c:idx val="11"/>
          <c:order val="11"/>
          <c:spPr>
            <a:solidFill>
              <a:srgbClr val="FF405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0F-8210-CE49-B41D-C502DB259500}"/>
            </c:ext>
          </c:extLst>
        </c:ser>
        <c:ser>
          <c:idx val="12"/>
          <c:order val="12"/>
          <c:spPr>
            <a:solidFill>
              <a:srgbClr val="FF415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0-8210-CE49-B41D-C502DB259500}"/>
            </c:ext>
          </c:extLst>
        </c:ser>
        <c:ser>
          <c:idx val="13"/>
          <c:order val="13"/>
          <c:spPr>
            <a:solidFill>
              <a:srgbClr val="FF425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1-8210-CE49-B41D-C502DB259500}"/>
            </c:ext>
          </c:extLst>
        </c:ser>
        <c:ser>
          <c:idx val="14"/>
          <c:order val="14"/>
          <c:spPr>
            <a:solidFill>
              <a:srgbClr val="FF445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2-8210-CE49-B41D-C502DB259500}"/>
            </c:ext>
          </c:extLst>
        </c:ser>
        <c:ser>
          <c:idx val="15"/>
          <c:order val="15"/>
          <c:spPr>
            <a:solidFill>
              <a:srgbClr val="FF455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3-8210-CE49-B41D-C502DB259500}"/>
            </c:ext>
          </c:extLst>
        </c:ser>
        <c:ser>
          <c:idx val="16"/>
          <c:order val="16"/>
          <c:spPr>
            <a:solidFill>
              <a:srgbClr val="FF466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4-8210-CE49-B41D-C502DB259500}"/>
            </c:ext>
          </c:extLst>
        </c:ser>
        <c:ser>
          <c:idx val="17"/>
          <c:order val="17"/>
          <c:spPr>
            <a:solidFill>
              <a:srgbClr val="FF476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5-8210-CE49-B41D-C502DB259500}"/>
            </c:ext>
          </c:extLst>
        </c:ser>
        <c:ser>
          <c:idx val="18"/>
          <c:order val="18"/>
          <c:spPr>
            <a:solidFill>
              <a:srgbClr val="FF48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6-8210-CE49-B41D-C502DB259500}"/>
            </c:ext>
          </c:extLst>
        </c:ser>
        <c:ser>
          <c:idx val="19"/>
          <c:order val="19"/>
          <c:spPr>
            <a:solidFill>
              <a:srgbClr val="FF4A6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7-8210-CE49-B41D-C502DB259500}"/>
            </c:ext>
          </c:extLst>
        </c:ser>
        <c:ser>
          <c:idx val="20"/>
          <c:order val="20"/>
          <c:spPr>
            <a:solidFill>
              <a:srgbClr val="FF4B6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8-8210-CE49-B41D-C502DB259500}"/>
            </c:ext>
          </c:extLst>
        </c:ser>
        <c:ser>
          <c:idx val="21"/>
          <c:order val="21"/>
          <c:spPr>
            <a:solidFill>
              <a:srgbClr val="FF4C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9-8210-CE49-B41D-C502DB259500}"/>
            </c:ext>
          </c:extLst>
        </c:ser>
        <c:ser>
          <c:idx val="22"/>
          <c:order val="22"/>
          <c:spPr>
            <a:solidFill>
              <a:srgbClr val="FF4D7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A-8210-CE49-B41D-C502DB259500}"/>
            </c:ext>
          </c:extLst>
        </c:ser>
        <c:ser>
          <c:idx val="23"/>
          <c:order val="23"/>
          <c:spPr>
            <a:solidFill>
              <a:srgbClr val="FF4F7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B-8210-CE49-B41D-C502DB259500}"/>
            </c:ext>
          </c:extLst>
        </c:ser>
        <c:ser>
          <c:idx val="24"/>
          <c:order val="24"/>
          <c:spPr>
            <a:solidFill>
              <a:srgbClr val="FF50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C-8210-CE49-B41D-C502DB259500}"/>
            </c:ext>
          </c:extLst>
        </c:ser>
        <c:ser>
          <c:idx val="25"/>
          <c:order val="25"/>
          <c:spPr>
            <a:solidFill>
              <a:srgbClr val="FF517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D-8210-CE49-B41D-C502DB259500}"/>
            </c:ext>
          </c:extLst>
        </c:ser>
        <c:ser>
          <c:idx val="26"/>
          <c:order val="26"/>
          <c:spPr>
            <a:solidFill>
              <a:srgbClr val="FF528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E-8210-CE49-B41D-C502DB259500}"/>
            </c:ext>
          </c:extLst>
        </c:ser>
        <c:ser>
          <c:idx val="27"/>
          <c:order val="27"/>
          <c:spPr>
            <a:solidFill>
              <a:srgbClr val="FF538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1F-8210-CE49-B41D-C502DB259500}"/>
            </c:ext>
          </c:extLst>
        </c:ser>
        <c:ser>
          <c:idx val="28"/>
          <c:order val="28"/>
          <c:spPr>
            <a:solidFill>
              <a:srgbClr val="FF558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0-8210-CE49-B41D-C502DB259500}"/>
            </c:ext>
          </c:extLst>
        </c:ser>
        <c:ser>
          <c:idx val="29"/>
          <c:order val="29"/>
          <c:spPr>
            <a:solidFill>
              <a:srgbClr val="FF568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1-8210-CE49-B41D-C502DB259500}"/>
            </c:ext>
          </c:extLst>
        </c:ser>
        <c:ser>
          <c:idx val="30"/>
          <c:order val="30"/>
          <c:spPr>
            <a:solidFill>
              <a:srgbClr val="FF578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2-8210-CE49-B41D-C502DB259500}"/>
            </c:ext>
          </c:extLst>
        </c:ser>
        <c:ser>
          <c:idx val="31"/>
          <c:order val="31"/>
          <c:spPr>
            <a:solidFill>
              <a:srgbClr val="FF58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3-8210-CE49-B41D-C502DB259500}"/>
            </c:ext>
          </c:extLst>
        </c:ser>
        <c:ser>
          <c:idx val="32"/>
          <c:order val="32"/>
          <c:spPr>
            <a:solidFill>
              <a:srgbClr val="FF5A9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4-8210-CE49-B41D-C502DB259500}"/>
            </c:ext>
          </c:extLst>
        </c:ser>
        <c:ser>
          <c:idx val="33"/>
          <c:order val="33"/>
          <c:spPr>
            <a:solidFill>
              <a:srgbClr val="FF5B9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5-8210-CE49-B41D-C502DB259500}"/>
            </c:ext>
          </c:extLst>
        </c:ser>
        <c:ser>
          <c:idx val="34"/>
          <c:order val="34"/>
          <c:spPr>
            <a:solidFill>
              <a:srgbClr val="FF5C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6-8210-CE49-B41D-C502DB259500}"/>
            </c:ext>
          </c:extLst>
        </c:ser>
        <c:ser>
          <c:idx val="35"/>
          <c:order val="35"/>
          <c:spPr>
            <a:solidFill>
              <a:srgbClr val="FF5D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7-8210-CE49-B41D-C502DB259500}"/>
            </c:ext>
          </c:extLst>
        </c:ser>
        <c:ser>
          <c:idx val="36"/>
          <c:order val="36"/>
          <c:spPr>
            <a:solidFill>
              <a:srgbClr val="FF5E9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8-8210-CE49-B41D-C502DB259500}"/>
            </c:ext>
          </c:extLst>
        </c:ser>
        <c:ser>
          <c:idx val="37"/>
          <c:order val="37"/>
          <c:spPr>
            <a:solidFill>
              <a:srgbClr val="FF60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9-8210-CE49-B41D-C502DB259500}"/>
            </c:ext>
          </c:extLst>
        </c:ser>
        <c:ser>
          <c:idx val="38"/>
          <c:order val="38"/>
          <c:spPr>
            <a:solidFill>
              <a:srgbClr val="FF61A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A-8210-CE49-B41D-C502DB259500}"/>
            </c:ext>
          </c:extLst>
        </c:ser>
        <c:ser>
          <c:idx val="39"/>
          <c:order val="39"/>
          <c:spPr>
            <a:solidFill>
              <a:srgbClr val="FF62A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B-8210-CE49-B41D-C502DB259500}"/>
            </c:ext>
          </c:extLst>
        </c:ser>
        <c:ser>
          <c:idx val="40"/>
          <c:order val="40"/>
          <c:spPr>
            <a:solidFill>
              <a:srgbClr val="FF63A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C-8210-CE49-B41D-C502DB259500}"/>
            </c:ext>
          </c:extLst>
        </c:ser>
        <c:ser>
          <c:idx val="41"/>
          <c:order val="41"/>
          <c:spPr>
            <a:solidFill>
              <a:srgbClr val="FF65A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D-8210-CE49-B41D-C502DB259500}"/>
            </c:ext>
          </c:extLst>
        </c:ser>
        <c:ser>
          <c:idx val="42"/>
          <c:order val="42"/>
          <c:spPr>
            <a:solidFill>
              <a:srgbClr val="FF66B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E-8210-CE49-B41D-C502DB259500}"/>
            </c:ext>
          </c:extLst>
        </c:ser>
        <c:ser>
          <c:idx val="43"/>
          <c:order val="43"/>
          <c:spPr>
            <a:solidFill>
              <a:srgbClr val="FF67B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2F-8210-CE49-B41D-C502DB259500}"/>
            </c:ext>
          </c:extLst>
        </c:ser>
        <c:ser>
          <c:idx val="44"/>
          <c:order val="44"/>
          <c:spPr>
            <a:solidFill>
              <a:srgbClr val="FF68B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0-8210-CE49-B41D-C502DB259500}"/>
            </c:ext>
          </c:extLst>
        </c:ser>
        <c:ser>
          <c:idx val="45"/>
          <c:order val="45"/>
          <c:spPr>
            <a:solidFill>
              <a:srgbClr val="FF69B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1-8210-CE49-B41D-C502DB259500}"/>
            </c:ext>
          </c:extLst>
        </c:ser>
        <c:ser>
          <c:idx val="46"/>
          <c:order val="46"/>
          <c:spPr>
            <a:solidFill>
              <a:srgbClr val="FF6BB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2-8210-CE49-B41D-C502DB259500}"/>
            </c:ext>
          </c:extLst>
        </c:ser>
        <c:ser>
          <c:idx val="47"/>
          <c:order val="47"/>
          <c:spPr>
            <a:solidFill>
              <a:srgbClr val="FF6CC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3-8210-CE49-B41D-C502DB259500}"/>
            </c:ext>
          </c:extLst>
        </c:ser>
        <c:ser>
          <c:idx val="48"/>
          <c:order val="48"/>
          <c:spPr>
            <a:solidFill>
              <a:srgbClr val="FF6D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4-8210-CE49-B41D-C502DB259500}"/>
            </c:ext>
          </c:extLst>
        </c:ser>
        <c:ser>
          <c:idx val="49"/>
          <c:order val="49"/>
          <c:spPr>
            <a:solidFill>
              <a:srgbClr val="FF6EC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5-8210-CE49-B41D-C502DB259500}"/>
            </c:ext>
          </c:extLst>
        </c:ser>
        <c:ser>
          <c:idx val="50"/>
          <c:order val="50"/>
          <c:spPr>
            <a:solidFill>
              <a:srgbClr val="FF70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6-8210-CE49-B41D-C502DB259500}"/>
            </c:ext>
          </c:extLst>
        </c:ser>
        <c:ser>
          <c:idx val="51"/>
          <c:order val="51"/>
          <c:spPr>
            <a:solidFill>
              <a:srgbClr val="FF71C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7-8210-CE49-B41D-C502DB259500}"/>
            </c:ext>
          </c:extLst>
        </c:ser>
        <c:ser>
          <c:idx val="52"/>
          <c:order val="52"/>
          <c:spPr>
            <a:solidFill>
              <a:srgbClr val="FF72D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8-8210-CE49-B41D-C502DB259500}"/>
            </c:ext>
          </c:extLst>
        </c:ser>
        <c:ser>
          <c:idx val="53"/>
          <c:order val="53"/>
          <c:spPr>
            <a:solidFill>
              <a:srgbClr val="FF73D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9-8210-CE49-B41D-C502DB259500}"/>
            </c:ext>
          </c:extLst>
        </c:ser>
        <c:ser>
          <c:idx val="54"/>
          <c:order val="54"/>
          <c:spPr>
            <a:solidFill>
              <a:srgbClr val="FF7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A-8210-CE49-B41D-C502DB259500}"/>
            </c:ext>
          </c:extLst>
        </c:ser>
        <c:ser>
          <c:idx val="55"/>
          <c:order val="55"/>
          <c:spPr>
            <a:solidFill>
              <a:srgbClr val="FF76D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B-8210-CE49-B41D-C502DB259500}"/>
            </c:ext>
          </c:extLst>
        </c:ser>
        <c:ser>
          <c:idx val="56"/>
          <c:order val="56"/>
          <c:spPr>
            <a:solidFill>
              <a:srgbClr val="FF77D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C-8210-CE49-B41D-C502DB259500}"/>
            </c:ext>
          </c:extLst>
        </c:ser>
        <c:ser>
          <c:idx val="57"/>
          <c:order val="57"/>
          <c:spPr>
            <a:solidFill>
              <a:srgbClr val="FF78D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D-8210-CE49-B41D-C502DB259500}"/>
            </c:ext>
          </c:extLst>
        </c:ser>
        <c:ser>
          <c:idx val="58"/>
          <c:order val="58"/>
          <c:spPr>
            <a:solidFill>
              <a:srgbClr val="FF79E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E-8210-CE49-B41D-C502DB259500}"/>
            </c:ext>
          </c:extLst>
        </c:ser>
        <c:ser>
          <c:idx val="59"/>
          <c:order val="59"/>
          <c:spPr>
            <a:solidFill>
              <a:srgbClr val="FF7BE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3F-8210-CE49-B41D-C502DB259500}"/>
            </c:ext>
          </c:extLst>
        </c:ser>
        <c:ser>
          <c:idx val="60"/>
          <c:order val="60"/>
          <c:spPr>
            <a:solidFill>
              <a:srgbClr val="FF7CE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0-8210-CE49-B41D-C502DB259500}"/>
            </c:ext>
          </c:extLst>
        </c:ser>
        <c:ser>
          <c:idx val="61"/>
          <c:order val="61"/>
          <c:spPr>
            <a:solidFill>
              <a:srgbClr val="FF7D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1-8210-CE49-B41D-C502DB259500}"/>
            </c:ext>
          </c:extLst>
        </c:ser>
        <c:ser>
          <c:idx val="62"/>
          <c:order val="62"/>
          <c:spPr>
            <a:solidFill>
              <a:srgbClr val="FF7E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2-8210-CE49-B41D-C502DB259500}"/>
            </c:ext>
          </c:extLst>
        </c:ser>
        <c:ser>
          <c:idx val="63"/>
          <c:order val="63"/>
          <c:spPr>
            <a:solidFill>
              <a:srgbClr val="FF80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3-8210-CE49-B41D-C502DB259500}"/>
            </c:ext>
          </c:extLst>
        </c:ser>
        <c:ser>
          <c:idx val="64"/>
          <c:order val="64"/>
          <c:spPr>
            <a:solidFill>
              <a:srgbClr val="FF81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4-8210-CE49-B41D-C502DB259500}"/>
            </c:ext>
          </c:extLst>
        </c:ser>
        <c:ser>
          <c:idx val="65"/>
          <c:order val="65"/>
          <c:spPr>
            <a:solidFill>
              <a:srgbClr val="FF82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5-8210-CE49-B41D-C502DB259500}"/>
            </c:ext>
          </c:extLst>
        </c:ser>
        <c:ser>
          <c:idx val="66"/>
          <c:order val="66"/>
          <c:spPr>
            <a:solidFill>
              <a:srgbClr val="FF83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6-8210-CE49-B41D-C502DB259500}"/>
            </c:ext>
          </c:extLst>
        </c:ser>
        <c:ser>
          <c:idx val="67"/>
          <c:order val="67"/>
          <c:spPr>
            <a:solidFill>
              <a:srgbClr val="FF84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7-8210-CE49-B41D-C502DB259500}"/>
            </c:ext>
          </c:extLst>
        </c:ser>
        <c:ser>
          <c:idx val="68"/>
          <c:order val="68"/>
          <c:spPr>
            <a:solidFill>
              <a:srgbClr val="FB87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8-8210-CE49-B41D-C502DB259500}"/>
            </c:ext>
          </c:extLst>
        </c:ser>
        <c:ser>
          <c:idx val="69"/>
          <c:order val="69"/>
          <c:spPr>
            <a:solidFill>
              <a:srgbClr val="F38B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9-8210-CE49-B41D-C502DB259500}"/>
            </c:ext>
          </c:extLst>
        </c:ser>
        <c:ser>
          <c:idx val="70"/>
          <c:order val="70"/>
          <c:spPr>
            <a:solidFill>
              <a:srgbClr val="EC8E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A-8210-CE49-B41D-C502DB259500}"/>
            </c:ext>
          </c:extLst>
        </c:ser>
        <c:ser>
          <c:idx val="71"/>
          <c:order val="71"/>
          <c:spPr>
            <a:solidFill>
              <a:srgbClr val="E492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B-8210-CE49-B41D-C502DB259500}"/>
            </c:ext>
          </c:extLst>
        </c:ser>
        <c:ser>
          <c:idx val="72"/>
          <c:order val="72"/>
          <c:spPr>
            <a:solidFill>
              <a:srgbClr val="DC96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C-8210-CE49-B41D-C502DB259500}"/>
            </c:ext>
          </c:extLst>
        </c:ser>
        <c:ser>
          <c:idx val="73"/>
          <c:order val="73"/>
          <c:spPr>
            <a:solidFill>
              <a:srgbClr val="D499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D-8210-CE49-B41D-C502DB259500}"/>
            </c:ext>
          </c:extLst>
        </c:ser>
        <c:ser>
          <c:idx val="74"/>
          <c:order val="74"/>
          <c:spPr>
            <a:solidFill>
              <a:srgbClr val="CD9D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E-8210-CE49-B41D-C502DB259500}"/>
            </c:ext>
          </c:extLst>
        </c:ser>
        <c:ser>
          <c:idx val="75"/>
          <c:order val="75"/>
          <c:spPr>
            <a:solidFill>
              <a:srgbClr val="C5A1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4F-8210-CE49-B41D-C502DB259500}"/>
            </c:ext>
          </c:extLst>
        </c:ser>
        <c:ser>
          <c:idx val="76"/>
          <c:order val="76"/>
          <c:spPr>
            <a:solidFill>
              <a:srgbClr val="BDA4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0-8210-CE49-B41D-C502DB259500}"/>
            </c:ext>
          </c:extLst>
        </c:ser>
        <c:ser>
          <c:idx val="77"/>
          <c:order val="77"/>
          <c:spPr>
            <a:solidFill>
              <a:srgbClr val="B6A8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1-8210-CE49-B41D-C502DB259500}"/>
            </c:ext>
          </c:extLst>
        </c:ser>
        <c:ser>
          <c:idx val="78"/>
          <c:order val="78"/>
          <c:spPr>
            <a:solidFill>
              <a:srgbClr val="AEAC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2-8210-CE49-B41D-C502DB259500}"/>
            </c:ext>
          </c:extLst>
        </c:ser>
        <c:ser>
          <c:idx val="79"/>
          <c:order val="79"/>
          <c:spPr>
            <a:solidFill>
              <a:srgbClr val="A6B0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3-8210-CE49-B41D-C502DB259500}"/>
            </c:ext>
          </c:extLst>
        </c:ser>
        <c:ser>
          <c:idx val="80"/>
          <c:order val="80"/>
          <c:spPr>
            <a:solidFill>
              <a:srgbClr val="9EB3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4-8210-CE49-B41D-C502DB259500}"/>
            </c:ext>
          </c:extLst>
        </c:ser>
        <c:ser>
          <c:idx val="81"/>
          <c:order val="81"/>
          <c:spPr>
            <a:solidFill>
              <a:srgbClr val="97B7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5-8210-CE49-B41D-C502DB259500}"/>
            </c:ext>
          </c:extLst>
        </c:ser>
        <c:ser>
          <c:idx val="82"/>
          <c:order val="82"/>
          <c:spPr>
            <a:solidFill>
              <a:srgbClr val="8FBB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6-8210-CE49-B41D-C502DB259500}"/>
            </c:ext>
          </c:extLst>
        </c:ser>
        <c:ser>
          <c:idx val="83"/>
          <c:order val="83"/>
          <c:spPr>
            <a:solidFill>
              <a:srgbClr val="87BE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7-8210-CE49-B41D-C502DB259500}"/>
            </c:ext>
          </c:extLst>
        </c:ser>
        <c:ser>
          <c:idx val="84"/>
          <c:order val="84"/>
          <c:spPr>
            <a:solidFill>
              <a:srgbClr val="7FC2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8-8210-CE49-B41D-C502DB259500}"/>
            </c:ext>
          </c:extLst>
        </c:ser>
        <c:ser>
          <c:idx val="85"/>
          <c:order val="85"/>
          <c:spPr>
            <a:solidFill>
              <a:srgbClr val="78C6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9-8210-CE49-B41D-C502DB259500}"/>
            </c:ext>
          </c:extLst>
        </c:ser>
        <c:ser>
          <c:idx val="86"/>
          <c:order val="86"/>
          <c:spPr>
            <a:solidFill>
              <a:srgbClr val="70C9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A-8210-CE49-B41D-C502DB259500}"/>
            </c:ext>
          </c:extLst>
        </c:ser>
        <c:ser>
          <c:idx val="87"/>
          <c:order val="87"/>
          <c:spPr>
            <a:solidFill>
              <a:srgbClr val="68CD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B-8210-CE49-B41D-C502DB259500}"/>
            </c:ext>
          </c:extLst>
        </c:ser>
        <c:ser>
          <c:idx val="88"/>
          <c:order val="88"/>
          <c:spPr>
            <a:solidFill>
              <a:srgbClr val="61D1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C-8210-CE49-B41D-C502DB259500}"/>
            </c:ext>
          </c:extLst>
        </c:ser>
        <c:ser>
          <c:idx val="89"/>
          <c:order val="89"/>
          <c:spPr>
            <a:solidFill>
              <a:srgbClr val="59D4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D-8210-CE49-B41D-C502DB259500}"/>
            </c:ext>
          </c:extLst>
        </c:ser>
        <c:ser>
          <c:idx val="90"/>
          <c:order val="90"/>
          <c:spPr>
            <a:solidFill>
              <a:srgbClr val="51D8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E-8210-CE49-B41D-C502DB259500}"/>
            </c:ext>
          </c:extLst>
        </c:ser>
        <c:ser>
          <c:idx val="91"/>
          <c:order val="91"/>
          <c:spPr>
            <a:solidFill>
              <a:srgbClr val="49DC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5F-8210-CE49-B41D-C502DB259500}"/>
            </c:ext>
          </c:extLst>
        </c:ser>
        <c:ser>
          <c:idx val="92"/>
          <c:order val="92"/>
          <c:spPr>
            <a:solidFill>
              <a:srgbClr val="42E0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0-8210-CE49-B41D-C502DB259500}"/>
            </c:ext>
          </c:extLst>
        </c:ser>
        <c:ser>
          <c:idx val="93"/>
          <c:order val="93"/>
          <c:spPr>
            <a:solidFill>
              <a:srgbClr val="3AE3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1-8210-CE49-B41D-C502DB259500}"/>
            </c:ext>
          </c:extLst>
        </c:ser>
        <c:ser>
          <c:idx val="94"/>
          <c:order val="94"/>
          <c:spPr>
            <a:solidFill>
              <a:srgbClr val="32E7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2-8210-CE49-B41D-C502DB259500}"/>
            </c:ext>
          </c:extLst>
        </c:ser>
        <c:ser>
          <c:idx val="95"/>
          <c:order val="95"/>
          <c:spPr>
            <a:solidFill>
              <a:srgbClr val="2AEB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3-8210-CE49-B41D-C502DB259500}"/>
            </c:ext>
          </c:extLst>
        </c:ser>
        <c:ser>
          <c:idx val="96"/>
          <c:order val="96"/>
          <c:spPr>
            <a:solidFill>
              <a:srgbClr val="23EE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4-8210-CE49-B41D-C502DB259500}"/>
            </c:ext>
          </c:extLst>
        </c:ser>
        <c:ser>
          <c:idx val="97"/>
          <c:order val="97"/>
          <c:spPr>
            <a:solidFill>
              <a:srgbClr val="1BF2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5-8210-CE49-B41D-C502DB259500}"/>
            </c:ext>
          </c:extLst>
        </c:ser>
        <c:ser>
          <c:idx val="98"/>
          <c:order val="98"/>
          <c:spPr>
            <a:solidFill>
              <a:srgbClr val="13F6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6-8210-CE49-B41D-C502DB259500}"/>
            </c:ext>
          </c:extLst>
        </c:ser>
        <c:ser>
          <c:idx val="99"/>
          <c:order val="99"/>
          <c:spPr>
            <a:solidFill>
              <a:srgbClr val="0CF9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7-8210-CE49-B41D-C502DB259500}"/>
            </c:ext>
          </c:extLst>
        </c:ser>
        <c:ser>
          <c:idx val="100"/>
          <c:order val="100"/>
          <c:spPr>
            <a:solidFill>
              <a:srgbClr val="04FDE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7.4999999999999997E-3</c:v>
              </c:pt>
            </c:numLit>
          </c:val>
          <c:extLst>
            <c:ext xmlns:c16="http://schemas.microsoft.com/office/drawing/2014/chart" uri="{C3380CC4-5D6E-409C-BE32-E72D297353CC}">
              <c16:uniqueId val="{00000068-8210-CE49-B41D-C502DB259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526912"/>
        <c:axId val="230198880"/>
      </c:barChart>
      <c:catAx>
        <c:axId val="230526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0198880"/>
        <c:crosses val="autoZero"/>
        <c:auto val="1"/>
        <c:lblAlgn val="ctr"/>
        <c:lblOffset val="100"/>
        <c:noMultiLvlLbl val="0"/>
      </c:catAx>
      <c:valAx>
        <c:axId val="230198880"/>
        <c:scaling>
          <c:orientation val="minMax"/>
          <c:max val="1"/>
          <c:min val="0.25"/>
        </c:scaling>
        <c:delete val="0"/>
        <c:axPos val="l"/>
        <c:numFmt formatCode="0.00" sourceLinked="0"/>
        <c:majorTickMark val="out"/>
        <c:minorTickMark val="none"/>
        <c:tickLblPos val="high"/>
        <c:txPr>
          <a:bodyPr/>
          <a:lstStyle/>
          <a:p>
            <a:pPr>
              <a:defRPr sz="800"/>
            </a:pPr>
            <a:endParaRPr lang="en-US"/>
          </a:p>
        </c:txPr>
        <c:crossAx val="230526912"/>
        <c:crosses val="autoZero"/>
        <c:crossBetween val="between"/>
        <c:majorUnit val="0.25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solidFill>
        <a:srgbClr val="80808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07676833254392E-2"/>
          <c:y val="9.6618886632550888E-2"/>
          <c:w val="0.91356821570458457"/>
          <c:h val="0.79725871561955797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19050">
              <a:solidFill>
                <a:schemeClr val="bg1">
                  <a:lumMod val="95000"/>
                  <a:alpha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EF8EE">
                  <a:alpha val="50000"/>
                </a:srgbClr>
              </a:solidFill>
              <a:ln w="19050" cap="flat" cmpd="sng" algn="ctr">
                <a:solidFill>
                  <a:srgbClr val="0EF8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D16-0749-8103-F23CE13D000B}"/>
              </c:ext>
            </c:extLst>
          </c:dPt>
          <c:dPt>
            <c:idx val="1"/>
            <c:invertIfNegative val="0"/>
            <c:bubble3D val="0"/>
            <c:spPr>
              <a:solidFill>
                <a:srgbClr val="07FCED">
                  <a:alpha val="50000"/>
                </a:srgbClr>
              </a:solidFill>
              <a:ln w="19050" cap="flat" cmpd="sng" algn="ctr">
                <a:solidFill>
                  <a:srgbClr val="07FC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16-0749-8103-F23CE13D000B}"/>
              </c:ext>
            </c:extLst>
          </c:dPt>
          <c:dPt>
            <c:idx val="2"/>
            <c:invertIfNegative val="0"/>
            <c:bubble3D val="0"/>
            <c:spPr>
              <a:solidFill>
                <a:srgbClr val="15F5EE">
                  <a:alpha val="50000"/>
                </a:srgbClr>
              </a:solidFill>
              <a:ln w="19050" cap="flat" cmpd="sng" algn="ctr">
                <a:solidFill>
                  <a:srgbClr val="15F5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16-0749-8103-F23CE13D000B}"/>
              </c:ext>
            </c:extLst>
          </c:dPt>
          <c:dPt>
            <c:idx val="3"/>
            <c:invertIfNegative val="0"/>
            <c:bubble3D val="0"/>
            <c:spPr>
              <a:solidFill>
                <a:srgbClr val="15F5EE">
                  <a:alpha val="50000"/>
                </a:srgbClr>
              </a:solidFill>
              <a:ln w="19050" cap="flat" cmpd="sng" algn="ctr">
                <a:solidFill>
                  <a:srgbClr val="15F5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16-0749-8103-F23CE13D000B}"/>
              </c:ext>
            </c:extLst>
          </c:dPt>
          <c:dPt>
            <c:idx val="4"/>
            <c:invertIfNegative val="0"/>
            <c:bubble3D val="0"/>
            <c:spPr>
              <a:solidFill>
                <a:srgbClr val="00FFED">
                  <a:alpha val="50000"/>
                </a:srgbClr>
              </a:solidFill>
              <a:ln w="19050" cap="flat" cmpd="sng" algn="ctr">
                <a:solidFill>
                  <a:srgbClr val="00FF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D16-0749-8103-F23CE13D000B}"/>
              </c:ext>
            </c:extLst>
          </c:dPt>
          <c:dPt>
            <c:idx val="5"/>
            <c:invertIfNegative val="0"/>
            <c:bubble3D val="0"/>
            <c:spPr>
              <a:solidFill>
                <a:srgbClr val="15F5EE">
                  <a:alpha val="50000"/>
                </a:srgbClr>
              </a:solidFill>
              <a:ln w="19050" cap="flat" cmpd="sng" algn="ctr">
                <a:solidFill>
                  <a:srgbClr val="15F5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D16-0749-8103-F23CE13D000B}"/>
              </c:ext>
            </c:extLst>
          </c:dPt>
          <c:dPt>
            <c:idx val="6"/>
            <c:invertIfNegative val="0"/>
            <c:bubble3D val="0"/>
            <c:spPr>
              <a:solidFill>
                <a:srgbClr val="0EF8EE">
                  <a:alpha val="50000"/>
                </a:srgbClr>
              </a:solidFill>
              <a:ln w="19050" cap="flat" cmpd="sng" algn="ctr">
                <a:solidFill>
                  <a:srgbClr val="0EF8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D16-0749-8103-F23CE13D000B}"/>
              </c:ext>
            </c:extLst>
          </c:dPt>
          <c:dPt>
            <c:idx val="7"/>
            <c:invertIfNegative val="0"/>
            <c:bubble3D val="0"/>
            <c:spPr>
              <a:solidFill>
                <a:srgbClr val="23EEEF">
                  <a:alpha val="50000"/>
                </a:srgbClr>
              </a:solidFill>
              <a:ln w="19050" cap="flat" cmpd="sng" algn="ctr">
                <a:solidFill>
                  <a:srgbClr val="23EE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D16-0749-8103-F23CE13D000B}"/>
              </c:ext>
            </c:extLst>
          </c:dPt>
          <c:dPt>
            <c:idx val="8"/>
            <c:invertIfNegative val="0"/>
            <c:bubble3D val="0"/>
            <c:spPr>
              <a:solidFill>
                <a:srgbClr val="07FCED">
                  <a:alpha val="50000"/>
                </a:srgbClr>
              </a:solidFill>
              <a:ln w="19050" cap="flat" cmpd="sng" algn="ctr">
                <a:solidFill>
                  <a:srgbClr val="07FC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D16-0749-8103-F23CE13D000B}"/>
              </c:ext>
            </c:extLst>
          </c:dPt>
          <c:dPt>
            <c:idx val="9"/>
            <c:invertIfNegative val="0"/>
            <c:bubble3D val="0"/>
            <c:spPr>
              <a:solidFill>
                <a:srgbClr val="4CDBF2">
                  <a:alpha val="50000"/>
                </a:srgbClr>
              </a:solidFill>
              <a:ln w="19050" cap="flat" cmpd="sng" algn="ctr">
                <a:solidFill>
                  <a:srgbClr val="4CDB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D16-0749-8103-F23CE13D000B}"/>
              </c:ext>
            </c:extLst>
          </c:dPt>
          <c:dPt>
            <c:idx val="10"/>
            <c:invertIfNegative val="0"/>
            <c:bubble3D val="0"/>
            <c:spPr>
              <a:solidFill>
                <a:srgbClr val="23EEEF">
                  <a:alpha val="50000"/>
                </a:srgbClr>
              </a:solidFill>
              <a:ln w="19050" cap="flat" cmpd="sng" algn="ctr">
                <a:solidFill>
                  <a:srgbClr val="23EE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D16-0749-8103-F23CE13D000B}"/>
              </c:ext>
            </c:extLst>
          </c:dPt>
          <c:dPt>
            <c:idx val="11"/>
            <c:invertIfNegative val="0"/>
            <c:bubble3D val="0"/>
            <c:spPr>
              <a:solidFill>
                <a:srgbClr val="0EF8EE">
                  <a:alpha val="50000"/>
                </a:srgbClr>
              </a:solidFill>
              <a:ln w="19050" cap="flat" cmpd="sng" algn="ctr">
                <a:solidFill>
                  <a:srgbClr val="0EF8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D16-0749-8103-F23CE13D000B}"/>
              </c:ext>
            </c:extLst>
          </c:dPt>
          <c:dPt>
            <c:idx val="12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9-9D16-0749-8103-F23CE13D000B}"/>
              </c:ext>
            </c:extLst>
          </c:dPt>
          <c:dPt>
            <c:idx val="13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B-9D16-0749-8103-F23CE13D000B}"/>
              </c:ext>
            </c:extLst>
          </c:dPt>
          <c:dPt>
            <c:idx val="14"/>
            <c:invertIfNegative val="0"/>
            <c:bubble3D val="0"/>
            <c:spPr>
              <a:solidFill>
                <a:srgbClr val="23EEEF">
                  <a:alpha val="50000"/>
                </a:srgbClr>
              </a:solidFill>
              <a:ln w="19050" cap="flat" cmpd="sng" algn="ctr">
                <a:solidFill>
                  <a:srgbClr val="23EE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D-9D16-0749-8103-F23CE13D000B}"/>
              </c:ext>
            </c:extLst>
          </c:dPt>
          <c:dPt>
            <c:idx val="15"/>
            <c:invertIfNegative val="0"/>
            <c:bubble3D val="0"/>
            <c:spPr>
              <a:solidFill>
                <a:srgbClr val="6FCAF5">
                  <a:alpha val="50000"/>
                </a:srgbClr>
              </a:solidFill>
              <a:ln w="19050" cap="flat" cmpd="sng" algn="ctr">
                <a:solidFill>
                  <a:srgbClr val="6F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F-9D16-0749-8103-F23CE13D000B}"/>
              </c:ext>
            </c:extLst>
          </c:dPt>
          <c:dPt>
            <c:idx val="16"/>
            <c:invertIfNegative val="0"/>
            <c:bubble3D val="0"/>
            <c:spPr>
              <a:solidFill>
                <a:srgbClr val="1CF2EF">
                  <a:alpha val="50000"/>
                </a:srgbClr>
              </a:solidFill>
              <a:ln w="19050" cap="flat" cmpd="sng" algn="ctr">
                <a:solidFill>
                  <a:srgbClr val="1CF2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1-9D16-0749-8103-F23CE13D000B}"/>
              </c:ext>
            </c:extLst>
          </c:dPt>
          <c:dPt>
            <c:idx val="17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3-9D16-0749-8103-F23CE13D000B}"/>
              </c:ext>
            </c:extLst>
          </c:dPt>
          <c:dPt>
            <c:idx val="18"/>
            <c:invertIfNegative val="0"/>
            <c:bubble3D val="0"/>
            <c:spPr>
              <a:solidFill>
                <a:srgbClr val="37E5F1">
                  <a:alpha val="50000"/>
                </a:srgbClr>
              </a:solidFill>
              <a:ln w="19050" cap="flat" cmpd="sng" algn="ctr">
                <a:solidFill>
                  <a:srgbClr val="37E5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5-9D16-0749-8103-F23CE13D000B}"/>
              </c:ext>
            </c:extLst>
          </c:dPt>
          <c:dPt>
            <c:idx val="19"/>
            <c:invertIfNegative val="0"/>
            <c:bubble3D val="0"/>
            <c:spPr>
              <a:solidFill>
                <a:srgbClr val="15F5EE">
                  <a:alpha val="50000"/>
                </a:srgbClr>
              </a:solidFill>
              <a:ln w="19050" cap="flat" cmpd="sng" algn="ctr">
                <a:solidFill>
                  <a:srgbClr val="15F5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7-9D16-0749-8103-F23CE13D000B}"/>
              </c:ext>
            </c:extLst>
          </c:dPt>
          <c:dPt>
            <c:idx val="20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9-9D16-0749-8103-F23CE13D000B}"/>
              </c:ext>
            </c:extLst>
          </c:dPt>
          <c:dPt>
            <c:idx val="21"/>
            <c:invertIfNegative val="0"/>
            <c:bubble3D val="0"/>
            <c:spPr>
              <a:solidFill>
                <a:srgbClr val="61D1F4">
                  <a:alpha val="50000"/>
                </a:srgbClr>
              </a:solidFill>
              <a:ln w="19050" cap="flat" cmpd="sng" algn="ctr">
                <a:solidFill>
                  <a:srgbClr val="61D1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B-9D16-0749-8103-F23CE13D000B}"/>
              </c:ext>
            </c:extLst>
          </c:dPt>
          <c:dPt>
            <c:idx val="22"/>
            <c:invertIfNegative val="0"/>
            <c:bubble3D val="0"/>
            <c:spPr>
              <a:solidFill>
                <a:srgbClr val="30E8F0">
                  <a:alpha val="50000"/>
                </a:srgbClr>
              </a:solidFill>
              <a:ln w="19050" cap="flat" cmpd="sng" algn="ctr">
                <a:solidFill>
                  <a:srgbClr val="30E8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D-9D16-0749-8103-F23CE13D000B}"/>
              </c:ext>
            </c:extLst>
          </c:dPt>
          <c:dPt>
            <c:idx val="23"/>
            <c:invertIfNegative val="0"/>
            <c:bubble3D val="0"/>
            <c:spPr>
              <a:solidFill>
                <a:srgbClr val="53D7F3">
                  <a:alpha val="50000"/>
                </a:srgbClr>
              </a:solidFill>
              <a:ln w="19050" cap="flat" cmpd="sng" algn="ctr">
                <a:solidFill>
                  <a:srgbClr val="53D7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F-9D16-0749-8103-F23CE13D000B}"/>
              </c:ext>
            </c:extLst>
          </c:dPt>
          <c:dPt>
            <c:idx val="24"/>
            <c:invertIfNegative val="0"/>
            <c:bubble3D val="0"/>
            <c:spPr>
              <a:solidFill>
                <a:srgbClr val="3EE1F1">
                  <a:alpha val="50000"/>
                </a:srgbClr>
              </a:solidFill>
              <a:ln w="19050" cap="flat" cmpd="sng" algn="ctr">
                <a:solidFill>
                  <a:srgbClr val="3EE1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1-9D16-0749-8103-F23CE13D000B}"/>
              </c:ext>
            </c:extLst>
          </c:dPt>
          <c:dPt>
            <c:idx val="25"/>
            <c:invertIfNegative val="0"/>
            <c:bubble3D val="0"/>
            <c:spPr>
              <a:solidFill>
                <a:srgbClr val="53D7F3">
                  <a:alpha val="50000"/>
                </a:srgbClr>
              </a:solidFill>
              <a:ln w="19050" cap="flat" cmpd="sng" algn="ctr">
                <a:solidFill>
                  <a:srgbClr val="53D7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3-9D16-0749-8103-F23CE13D000B}"/>
              </c:ext>
            </c:extLst>
          </c:dPt>
          <c:dPt>
            <c:idx val="26"/>
            <c:invertIfNegative val="0"/>
            <c:bubble3D val="0"/>
            <c:spPr>
              <a:solidFill>
                <a:srgbClr val="68CDF4">
                  <a:alpha val="50000"/>
                </a:srgbClr>
              </a:solidFill>
              <a:ln w="19050" cap="flat" cmpd="sng" algn="ctr">
                <a:solidFill>
                  <a:srgbClr val="68CD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5-9D16-0749-8103-F23CE13D000B}"/>
              </c:ext>
            </c:extLst>
          </c:dPt>
          <c:dPt>
            <c:idx val="27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7-9D16-0749-8103-F23CE13D000B}"/>
              </c:ext>
            </c:extLst>
          </c:dPt>
          <c:dPt>
            <c:idx val="28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9-9D16-0749-8103-F23CE13D000B}"/>
              </c:ext>
            </c:extLst>
          </c:dPt>
          <c:dPt>
            <c:idx val="29"/>
            <c:invertIfNegative val="0"/>
            <c:bubble3D val="0"/>
            <c:spPr>
              <a:solidFill>
                <a:srgbClr val="83C0F6">
                  <a:alpha val="50000"/>
                </a:srgbClr>
              </a:solidFill>
              <a:ln w="19050" cap="flat" cmpd="sng" algn="ctr">
                <a:solidFill>
                  <a:srgbClr val="83C0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B-9D16-0749-8103-F23CE13D000B}"/>
              </c:ext>
            </c:extLst>
          </c:dPt>
          <c:dPt>
            <c:idx val="30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D-9D16-0749-8103-F23CE13D000B}"/>
              </c:ext>
            </c:extLst>
          </c:dPt>
          <c:dPt>
            <c:idx val="31"/>
            <c:invertIfNegative val="0"/>
            <c:bubble3D val="0"/>
            <c:spPr>
              <a:solidFill>
                <a:srgbClr val="6FCAF5">
                  <a:alpha val="50000"/>
                </a:srgbClr>
              </a:solidFill>
              <a:ln w="19050" cap="flat" cmpd="sng" algn="ctr">
                <a:solidFill>
                  <a:srgbClr val="6F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F-9D16-0749-8103-F23CE13D000B}"/>
              </c:ext>
            </c:extLst>
          </c:dPt>
          <c:dPt>
            <c:idx val="32"/>
            <c:invertIfNegative val="0"/>
            <c:bubble3D val="0"/>
            <c:spPr>
              <a:solidFill>
                <a:srgbClr val="53D7F3">
                  <a:alpha val="50000"/>
                </a:srgbClr>
              </a:solidFill>
              <a:ln w="19050" cap="flat" cmpd="sng" algn="ctr">
                <a:solidFill>
                  <a:srgbClr val="53D7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1-9D16-0749-8103-F23CE13D000B}"/>
              </c:ext>
            </c:extLst>
          </c:dPt>
          <c:dPt>
            <c:idx val="33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3-9D16-0749-8103-F23CE13D000B}"/>
              </c:ext>
            </c:extLst>
          </c:dPt>
          <c:dPt>
            <c:idx val="34"/>
            <c:invertIfNegative val="0"/>
            <c:bubble3D val="0"/>
            <c:spPr>
              <a:solidFill>
                <a:srgbClr val="98B6F8">
                  <a:alpha val="50000"/>
                </a:srgbClr>
              </a:solidFill>
              <a:ln w="19050" cap="flat" cmpd="sng" algn="ctr">
                <a:solidFill>
                  <a:srgbClr val="98B6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5-9D16-0749-8103-F23CE13D000B}"/>
              </c:ext>
            </c:extLst>
          </c:dPt>
          <c:dPt>
            <c:idx val="35"/>
            <c:invertIfNegative val="0"/>
            <c:bubble3D val="0"/>
            <c:spPr>
              <a:solidFill>
                <a:srgbClr val="37E5F1">
                  <a:alpha val="50000"/>
                </a:srgbClr>
              </a:solidFill>
              <a:ln w="19050" cap="flat" cmpd="sng" algn="ctr">
                <a:solidFill>
                  <a:srgbClr val="37E5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7-9D16-0749-8103-F23CE13D000B}"/>
              </c:ext>
            </c:extLst>
          </c:dPt>
          <c:dPt>
            <c:idx val="36"/>
            <c:invertIfNegative val="0"/>
            <c:bubble3D val="0"/>
            <c:spPr>
              <a:solidFill>
                <a:srgbClr val="61D1F4">
                  <a:alpha val="50000"/>
                </a:srgbClr>
              </a:solidFill>
              <a:ln w="19050" cap="flat" cmpd="sng" algn="ctr">
                <a:solidFill>
                  <a:srgbClr val="61D1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9-9D16-0749-8103-F23CE13D000B}"/>
              </c:ext>
            </c:extLst>
          </c:dPt>
          <c:dPt>
            <c:idx val="37"/>
            <c:invertIfNegative val="0"/>
            <c:bubble3D val="0"/>
            <c:spPr>
              <a:solidFill>
                <a:srgbClr val="5AD4F3">
                  <a:alpha val="50000"/>
                </a:srgbClr>
              </a:solidFill>
              <a:ln w="19050" cap="flat" cmpd="sng" algn="ctr">
                <a:solidFill>
                  <a:srgbClr val="5AD4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B-9D16-0749-8103-F23CE13D000B}"/>
              </c:ext>
            </c:extLst>
          </c:dPt>
          <c:dPt>
            <c:idx val="38"/>
            <c:invertIfNegative val="0"/>
            <c:bubble3D val="0"/>
            <c:spPr>
              <a:solidFill>
                <a:srgbClr val="6FCAF5">
                  <a:alpha val="50000"/>
                </a:srgbClr>
              </a:solidFill>
              <a:ln w="19050" cap="flat" cmpd="sng" algn="ctr">
                <a:solidFill>
                  <a:srgbClr val="6F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D-9D16-0749-8103-F23CE13D000B}"/>
              </c:ext>
            </c:extLst>
          </c:dPt>
          <c:dPt>
            <c:idx val="39"/>
            <c:invertIfNegative val="0"/>
            <c:bubble3D val="0"/>
            <c:spPr>
              <a:solidFill>
                <a:srgbClr val="7CC3F6">
                  <a:alpha val="50000"/>
                </a:srgbClr>
              </a:solidFill>
              <a:ln w="19050" cap="flat" cmpd="sng" algn="ctr">
                <a:solidFill>
                  <a:srgbClr val="7CC3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F-9D16-0749-8103-F23CE13D000B}"/>
              </c:ext>
            </c:extLst>
          </c:dPt>
          <c:dPt>
            <c:idx val="40"/>
            <c:invertIfNegative val="0"/>
            <c:bubble3D val="0"/>
            <c:spPr>
              <a:solidFill>
                <a:srgbClr val="6FCAF5">
                  <a:alpha val="50000"/>
                </a:srgbClr>
              </a:solidFill>
              <a:ln w="19050" cap="flat" cmpd="sng" algn="ctr">
                <a:solidFill>
                  <a:srgbClr val="6F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1-9D16-0749-8103-F23CE13D000B}"/>
              </c:ext>
            </c:extLst>
          </c:dPt>
          <c:dPt>
            <c:idx val="41"/>
            <c:invertIfNegative val="0"/>
            <c:bubble3D val="0"/>
            <c:spPr>
              <a:solidFill>
                <a:srgbClr val="98B6F8">
                  <a:alpha val="50000"/>
                </a:srgbClr>
              </a:solidFill>
              <a:ln w="19050" cap="flat" cmpd="sng" algn="ctr">
                <a:solidFill>
                  <a:srgbClr val="98B6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3-9D16-0749-8103-F23CE13D000B}"/>
              </c:ext>
            </c:extLst>
          </c:dPt>
          <c:dPt>
            <c:idx val="42"/>
            <c:invertIfNegative val="0"/>
            <c:bubble3D val="0"/>
            <c:spPr>
              <a:solidFill>
                <a:srgbClr val="7CC3F6">
                  <a:alpha val="50000"/>
                </a:srgbClr>
              </a:solidFill>
              <a:ln w="19050" cap="flat" cmpd="sng" algn="ctr">
                <a:solidFill>
                  <a:srgbClr val="7CC3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5-9D16-0749-8103-F23CE13D000B}"/>
              </c:ext>
            </c:extLst>
          </c:dPt>
          <c:dPt>
            <c:idx val="43"/>
            <c:invertIfNegative val="0"/>
            <c:bubble3D val="0"/>
            <c:spPr>
              <a:solidFill>
                <a:srgbClr val="ADACF9">
                  <a:alpha val="50000"/>
                </a:srgbClr>
              </a:solidFill>
              <a:ln w="19050" cap="flat" cmpd="sng" algn="ctr">
                <a:solidFill>
                  <a:srgbClr val="ADAC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7-9D16-0749-8103-F23CE13D000B}"/>
              </c:ext>
            </c:extLst>
          </c:dPt>
          <c:dPt>
            <c:idx val="44"/>
            <c:invertIfNegative val="0"/>
            <c:bubble3D val="0"/>
            <c:spPr>
              <a:solidFill>
                <a:srgbClr val="A6B0F9">
                  <a:alpha val="50000"/>
                </a:srgbClr>
              </a:solidFill>
              <a:ln w="19050" cap="flat" cmpd="sng" algn="ctr">
                <a:solidFill>
                  <a:srgbClr val="A6B0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9-9D16-0749-8103-F23CE13D000B}"/>
              </c:ext>
            </c:extLst>
          </c:dPt>
          <c:dPt>
            <c:idx val="45"/>
            <c:invertIfNegative val="0"/>
            <c:bubble3D val="0"/>
            <c:spPr>
              <a:solidFill>
                <a:srgbClr val="8ABDF7">
                  <a:alpha val="50000"/>
                </a:srgbClr>
              </a:solidFill>
              <a:ln w="19050" cap="flat" cmpd="sng" algn="ctr">
                <a:solidFill>
                  <a:srgbClr val="8ABD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B-9D16-0749-8103-F23CE13D000B}"/>
              </c:ext>
            </c:extLst>
          </c:dPt>
          <c:dPt>
            <c:idx val="46"/>
            <c:invertIfNegative val="0"/>
            <c:bubble3D val="0"/>
            <c:spPr>
              <a:solidFill>
                <a:srgbClr val="6FCAF5">
                  <a:alpha val="50000"/>
                </a:srgbClr>
              </a:solidFill>
              <a:ln w="19050" cap="flat" cmpd="sng" algn="ctr">
                <a:solidFill>
                  <a:srgbClr val="6F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D-9D16-0749-8103-F23CE13D000B}"/>
              </c:ext>
            </c:extLst>
          </c:dPt>
          <c:dPt>
            <c:idx val="47"/>
            <c:invertIfNegative val="0"/>
            <c:bubble3D val="0"/>
            <c:spPr>
              <a:solidFill>
                <a:srgbClr val="ADACF9">
                  <a:alpha val="50000"/>
                </a:srgbClr>
              </a:solidFill>
              <a:ln w="19050" cap="flat" cmpd="sng" algn="ctr">
                <a:solidFill>
                  <a:srgbClr val="ADAC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F-9D16-0749-8103-F23CE13D000B}"/>
              </c:ext>
            </c:extLst>
          </c:dPt>
          <c:dPt>
            <c:idx val="48"/>
            <c:invertIfNegative val="0"/>
            <c:bubble3D val="0"/>
            <c:spPr>
              <a:solidFill>
                <a:srgbClr val="8ABDF7">
                  <a:alpha val="50000"/>
                </a:srgbClr>
              </a:solidFill>
              <a:ln w="19050" cap="flat" cmpd="sng" algn="ctr">
                <a:solidFill>
                  <a:srgbClr val="8ABD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1-9D16-0749-8103-F23CE13D000B}"/>
              </c:ext>
            </c:extLst>
          </c:dPt>
          <c:dPt>
            <c:idx val="49"/>
            <c:invertIfNegative val="0"/>
            <c:bubble3D val="0"/>
            <c:spPr>
              <a:solidFill>
                <a:srgbClr val="7CC3F6">
                  <a:alpha val="50000"/>
                </a:srgbClr>
              </a:solidFill>
              <a:ln w="19050" cap="flat" cmpd="sng" algn="ctr">
                <a:solidFill>
                  <a:srgbClr val="7CC3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3-9D16-0749-8103-F23CE13D000B}"/>
              </c:ext>
            </c:extLst>
          </c:dPt>
          <c:dPt>
            <c:idx val="50"/>
            <c:invertIfNegative val="0"/>
            <c:bubble3D val="0"/>
            <c:spPr>
              <a:solidFill>
                <a:srgbClr val="68CDF4">
                  <a:alpha val="50000"/>
                </a:srgbClr>
              </a:solidFill>
              <a:ln w="19050" cap="flat" cmpd="sng" algn="ctr">
                <a:solidFill>
                  <a:srgbClr val="68CD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5-9D16-0749-8103-F23CE13D000B}"/>
              </c:ext>
            </c:extLst>
          </c:dPt>
          <c:dPt>
            <c:idx val="51"/>
            <c:invertIfNegative val="0"/>
            <c:bubble3D val="0"/>
            <c:spPr>
              <a:solidFill>
                <a:srgbClr val="BBA6FA">
                  <a:alpha val="50000"/>
                </a:srgbClr>
              </a:solidFill>
              <a:ln w="19050" cap="flat" cmpd="sng" algn="ctr">
                <a:solidFill>
                  <a:srgbClr val="BBA6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7-9D16-0749-8103-F23CE13D000B}"/>
              </c:ext>
            </c:extLst>
          </c:dPt>
          <c:dPt>
            <c:idx val="52"/>
            <c:invertIfNegative val="0"/>
            <c:bubble3D val="0"/>
            <c:spPr>
              <a:solidFill>
                <a:srgbClr val="4CDBF2">
                  <a:alpha val="50000"/>
                </a:srgbClr>
              </a:solidFill>
              <a:ln w="19050" cap="flat" cmpd="sng" algn="ctr">
                <a:solidFill>
                  <a:srgbClr val="4CDB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9-9D16-0749-8103-F23CE13D000B}"/>
              </c:ext>
            </c:extLst>
          </c:dPt>
          <c:dPt>
            <c:idx val="53"/>
            <c:invertIfNegative val="0"/>
            <c:bubble3D val="0"/>
            <c:spPr>
              <a:solidFill>
                <a:srgbClr val="B4A9FA">
                  <a:alpha val="50000"/>
                </a:srgbClr>
              </a:solidFill>
              <a:ln w="19050" cap="flat" cmpd="sng" algn="ctr">
                <a:solidFill>
                  <a:srgbClr val="B4A9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B-9D16-0749-8103-F23CE13D000B}"/>
              </c:ext>
            </c:extLst>
          </c:dPt>
          <c:dPt>
            <c:idx val="54"/>
            <c:invertIfNegative val="0"/>
            <c:bubble3D val="0"/>
            <c:spPr>
              <a:solidFill>
                <a:srgbClr val="F28BFE">
                  <a:alpha val="50000"/>
                </a:srgbClr>
              </a:solidFill>
              <a:ln w="19050" cap="flat" cmpd="sng" algn="ctr">
                <a:solidFill>
                  <a:srgbClr val="F28B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D-9D16-0749-8103-F23CE13D000B}"/>
              </c:ext>
            </c:extLst>
          </c:dPt>
          <c:dPt>
            <c:idx val="55"/>
            <c:invertIfNegative val="0"/>
            <c:bubble3D val="0"/>
            <c:spPr>
              <a:solidFill>
                <a:srgbClr val="B4A9FA">
                  <a:alpha val="50000"/>
                </a:srgbClr>
              </a:solidFill>
              <a:ln w="19050" cap="flat" cmpd="sng" algn="ctr">
                <a:solidFill>
                  <a:srgbClr val="B4A9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F-9D16-0749-8103-F23CE13D000B}"/>
              </c:ext>
            </c:extLst>
          </c:dPt>
          <c:dPt>
            <c:idx val="56"/>
            <c:invertIfNegative val="0"/>
            <c:bubble3D val="0"/>
            <c:spPr>
              <a:solidFill>
                <a:srgbClr val="A6B0F9">
                  <a:alpha val="50000"/>
                </a:srgbClr>
              </a:solidFill>
              <a:ln w="19050" cap="flat" cmpd="sng" algn="ctr">
                <a:solidFill>
                  <a:srgbClr val="A6B0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1-9D16-0749-8103-F23CE13D000B}"/>
              </c:ext>
            </c:extLst>
          </c:dPt>
          <c:dPt>
            <c:idx val="57"/>
            <c:invertIfNegative val="0"/>
            <c:bubble3D val="0"/>
            <c:spPr>
              <a:solidFill>
                <a:srgbClr val="FF83F9">
                  <a:alpha val="50000"/>
                </a:srgbClr>
              </a:solidFill>
              <a:ln w="19050" cap="flat" cmpd="sng" algn="ctr">
                <a:solidFill>
                  <a:srgbClr val="FF83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3-9D16-0749-8103-F23CE13D000B}"/>
              </c:ext>
            </c:extLst>
          </c:dPt>
          <c:dPt>
            <c:idx val="58"/>
            <c:invertIfNegative val="0"/>
            <c:bubble3D val="0"/>
            <c:spPr>
              <a:solidFill>
                <a:srgbClr val="98B6F8">
                  <a:alpha val="50000"/>
                </a:srgbClr>
              </a:solidFill>
              <a:ln w="19050" cap="flat" cmpd="sng" algn="ctr">
                <a:solidFill>
                  <a:srgbClr val="98B6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5-9D16-0749-8103-F23CE13D000B}"/>
              </c:ext>
            </c:extLst>
          </c:dPt>
          <c:dPt>
            <c:idx val="59"/>
            <c:invertIfNegative val="0"/>
            <c:bubble3D val="0"/>
            <c:spPr>
              <a:solidFill>
                <a:srgbClr val="83C0F6">
                  <a:alpha val="50000"/>
                </a:srgbClr>
              </a:solidFill>
              <a:ln w="19050" cap="flat" cmpd="sng" algn="ctr">
                <a:solidFill>
                  <a:srgbClr val="83C0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7-9D16-0749-8103-F23CE13D000B}"/>
              </c:ext>
            </c:extLst>
          </c:dPt>
          <c:dPt>
            <c:idx val="60"/>
            <c:invertIfNegative val="0"/>
            <c:bubble3D val="0"/>
            <c:spPr>
              <a:solidFill>
                <a:srgbClr val="ADACF9">
                  <a:alpha val="50000"/>
                </a:srgbClr>
              </a:solidFill>
              <a:ln w="19050" cap="flat" cmpd="sng" algn="ctr">
                <a:solidFill>
                  <a:srgbClr val="ADAC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9-9D16-0749-8103-F23CE13D000B}"/>
              </c:ext>
            </c:extLst>
          </c:dPt>
          <c:dPt>
            <c:idx val="61"/>
            <c:invertIfNegative val="0"/>
            <c:bubble3D val="0"/>
            <c:spPr>
              <a:solidFill>
                <a:srgbClr val="7CC3F6">
                  <a:alpha val="50000"/>
                </a:srgbClr>
              </a:solidFill>
              <a:ln w="19050" cap="flat" cmpd="sng" algn="ctr">
                <a:solidFill>
                  <a:srgbClr val="7CC3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B-9D16-0749-8103-F23CE13D000B}"/>
              </c:ext>
            </c:extLst>
          </c:dPt>
          <c:dPt>
            <c:idx val="62"/>
            <c:invertIfNegative val="0"/>
            <c:bubble3D val="0"/>
            <c:spPr>
              <a:solidFill>
                <a:srgbClr val="C1A2FB">
                  <a:alpha val="50000"/>
                </a:srgbClr>
              </a:solidFill>
              <a:ln w="19050" cap="flat" cmpd="sng" algn="ctr">
                <a:solidFill>
                  <a:srgbClr val="C1A2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D-9D16-0749-8103-F23CE13D000B}"/>
              </c:ext>
            </c:extLst>
          </c:dPt>
          <c:dPt>
            <c:idx val="63"/>
            <c:invertIfNegative val="0"/>
            <c:bubble3D val="0"/>
            <c:spPr>
              <a:solidFill>
                <a:srgbClr val="BBA6FA">
                  <a:alpha val="50000"/>
                </a:srgbClr>
              </a:solidFill>
              <a:ln w="19050" cap="flat" cmpd="sng" algn="ctr">
                <a:solidFill>
                  <a:srgbClr val="BBA6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F-9D16-0749-8103-F23CE13D000B}"/>
              </c:ext>
            </c:extLst>
          </c:dPt>
          <c:dPt>
            <c:idx val="64"/>
            <c:invertIfNegative val="0"/>
            <c:bubble3D val="0"/>
            <c:spPr>
              <a:solidFill>
                <a:srgbClr val="83C0F6">
                  <a:alpha val="50000"/>
                </a:srgbClr>
              </a:solidFill>
              <a:ln w="19050" cap="flat" cmpd="sng" algn="ctr">
                <a:solidFill>
                  <a:srgbClr val="83C0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1-9D16-0749-8103-F23CE13D000B}"/>
              </c:ext>
            </c:extLst>
          </c:dPt>
          <c:dPt>
            <c:idx val="65"/>
            <c:invertIfNegative val="0"/>
            <c:bubble3D val="0"/>
            <c:spPr>
              <a:solidFill>
                <a:srgbClr val="ADACF9">
                  <a:alpha val="50000"/>
                </a:srgbClr>
              </a:solidFill>
              <a:ln w="19050" cap="flat" cmpd="sng" algn="ctr">
                <a:solidFill>
                  <a:srgbClr val="ADAC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3-9D16-0749-8103-F23CE13D000B}"/>
              </c:ext>
            </c:extLst>
          </c:dPt>
          <c:dPt>
            <c:idx val="66"/>
            <c:invertIfNegative val="0"/>
            <c:bubble3D val="0"/>
            <c:spPr>
              <a:solidFill>
                <a:srgbClr val="FF85FE">
                  <a:alpha val="50000"/>
                </a:srgbClr>
              </a:solidFill>
              <a:ln w="19050" cap="flat" cmpd="sng" algn="ctr">
                <a:solidFill>
                  <a:srgbClr val="FF85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5-9D16-0749-8103-F23CE13D000B}"/>
              </c:ext>
            </c:extLst>
          </c:dPt>
          <c:dPt>
            <c:idx val="67"/>
            <c:invertIfNegative val="0"/>
            <c:bubble3D val="0"/>
            <c:spPr>
              <a:solidFill>
                <a:srgbClr val="C1A2FB">
                  <a:alpha val="50000"/>
                </a:srgbClr>
              </a:solidFill>
              <a:ln w="19050" cap="flat" cmpd="sng" algn="ctr">
                <a:solidFill>
                  <a:srgbClr val="C1A2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7-9D16-0749-8103-F23CE13D000B}"/>
              </c:ext>
            </c:extLst>
          </c:dPt>
          <c:dPt>
            <c:idx val="68"/>
            <c:invertIfNegative val="0"/>
            <c:bubble3D val="0"/>
            <c:spPr>
              <a:solidFill>
                <a:srgbClr val="98B6F8">
                  <a:alpha val="50000"/>
                </a:srgbClr>
              </a:solidFill>
              <a:ln w="19050" cap="flat" cmpd="sng" algn="ctr">
                <a:solidFill>
                  <a:srgbClr val="98B6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9-9D16-0749-8103-F23CE13D000B}"/>
              </c:ext>
            </c:extLst>
          </c:dPt>
          <c:dPt>
            <c:idx val="69"/>
            <c:invertIfNegative val="0"/>
            <c:bubble3D val="0"/>
            <c:spPr>
              <a:solidFill>
                <a:srgbClr val="8ABDF7">
                  <a:alpha val="50000"/>
                </a:srgbClr>
              </a:solidFill>
              <a:ln w="19050" cap="flat" cmpd="sng" algn="ctr">
                <a:solidFill>
                  <a:srgbClr val="8ABD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B-9D16-0749-8103-F23CE13D000B}"/>
              </c:ext>
            </c:extLst>
          </c:dPt>
          <c:dPt>
            <c:idx val="70"/>
            <c:invertIfNegative val="0"/>
            <c:bubble3D val="0"/>
            <c:spPr>
              <a:solidFill>
                <a:srgbClr val="F988FF">
                  <a:alpha val="50000"/>
                </a:srgbClr>
              </a:solidFill>
              <a:ln w="19050" cap="flat" cmpd="sng" algn="ctr">
                <a:solidFill>
                  <a:srgbClr val="F988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D-9D16-0749-8103-F23CE13D000B}"/>
              </c:ext>
            </c:extLst>
          </c:dPt>
          <c:dPt>
            <c:idx val="71"/>
            <c:invertIfNegative val="0"/>
            <c:bubble3D val="0"/>
            <c:spPr>
              <a:solidFill>
                <a:srgbClr val="8ABDF7">
                  <a:alpha val="50000"/>
                </a:srgbClr>
              </a:solidFill>
              <a:ln w="19050" cap="flat" cmpd="sng" algn="ctr">
                <a:solidFill>
                  <a:srgbClr val="8ABD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F-9D16-0749-8103-F23CE13D000B}"/>
              </c:ext>
            </c:extLst>
          </c:dPt>
          <c:dPt>
            <c:idx val="72"/>
            <c:invertIfNegative val="0"/>
            <c:bubble3D val="0"/>
            <c:spPr>
              <a:solidFill>
                <a:srgbClr val="E492FD">
                  <a:alpha val="50000"/>
                </a:srgbClr>
              </a:solidFill>
              <a:ln w="19050" cap="flat" cmpd="sng" algn="ctr">
                <a:solidFill>
                  <a:srgbClr val="E492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1-9D16-0749-8103-F23CE13D000B}"/>
              </c:ext>
            </c:extLst>
          </c:dPt>
          <c:dPt>
            <c:idx val="73"/>
            <c:invertIfNegative val="0"/>
            <c:bubble3D val="0"/>
            <c:spPr>
              <a:solidFill>
                <a:srgbClr val="98B6F8">
                  <a:alpha val="50000"/>
                </a:srgbClr>
              </a:solidFill>
              <a:ln w="19050" cap="flat" cmpd="sng" algn="ctr">
                <a:solidFill>
                  <a:srgbClr val="98B6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3-9D16-0749-8103-F23CE13D000B}"/>
              </c:ext>
            </c:extLst>
          </c:dPt>
          <c:dPt>
            <c:idx val="74"/>
            <c:invertIfNegative val="0"/>
            <c:bubble3D val="0"/>
            <c:spPr>
              <a:solidFill>
                <a:srgbClr val="C89FFB">
                  <a:alpha val="50000"/>
                </a:srgbClr>
              </a:solidFill>
              <a:ln w="19050" cap="flat" cmpd="sng" algn="ctr">
                <a:solidFill>
                  <a:srgbClr val="C89F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5-9D16-0749-8103-F23CE13D000B}"/>
              </c:ext>
            </c:extLst>
          </c:dPt>
          <c:dPt>
            <c:idx val="75"/>
            <c:invertIfNegative val="0"/>
            <c:bubble3D val="0"/>
            <c:spPr>
              <a:solidFill>
                <a:srgbClr val="FF85FE">
                  <a:alpha val="50000"/>
                </a:srgbClr>
              </a:solidFill>
              <a:ln w="19050" cap="flat" cmpd="sng" algn="ctr">
                <a:solidFill>
                  <a:srgbClr val="FF85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7-9D16-0749-8103-F23CE13D000B}"/>
              </c:ext>
            </c:extLst>
          </c:dPt>
          <c:dPt>
            <c:idx val="76"/>
            <c:invertIfNegative val="0"/>
            <c:bubble3D val="0"/>
            <c:spPr>
              <a:solidFill>
                <a:srgbClr val="CF9CFC">
                  <a:alpha val="50000"/>
                </a:srgbClr>
              </a:solidFill>
              <a:ln w="19050" cap="flat" cmpd="sng" algn="ctr">
                <a:solidFill>
                  <a:srgbClr val="CF9C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9-9D16-0749-8103-F23CE13D000B}"/>
              </c:ext>
            </c:extLst>
          </c:dPt>
          <c:dPt>
            <c:idx val="77"/>
            <c:invertIfNegative val="0"/>
            <c:bubble3D val="0"/>
            <c:spPr>
              <a:solidFill>
                <a:srgbClr val="CF9CFC">
                  <a:alpha val="50000"/>
                </a:srgbClr>
              </a:solidFill>
              <a:ln w="19050" cap="flat" cmpd="sng" algn="ctr">
                <a:solidFill>
                  <a:srgbClr val="CF9C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B-9D16-0749-8103-F23CE13D000B}"/>
              </c:ext>
            </c:extLst>
          </c:dPt>
          <c:dPt>
            <c:idx val="78"/>
            <c:invertIfNegative val="0"/>
            <c:bubble3D val="0"/>
            <c:spPr>
              <a:solidFill>
                <a:srgbClr val="E492FD">
                  <a:alpha val="50000"/>
                </a:srgbClr>
              </a:solidFill>
              <a:ln w="19050" cap="flat" cmpd="sng" algn="ctr">
                <a:solidFill>
                  <a:srgbClr val="E492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D-9D16-0749-8103-F23CE13D000B}"/>
              </c:ext>
            </c:extLst>
          </c:dPt>
          <c:dPt>
            <c:idx val="79"/>
            <c:invertIfNegative val="0"/>
            <c:bubble3D val="0"/>
            <c:spPr>
              <a:solidFill>
                <a:srgbClr val="C89FFB">
                  <a:alpha val="50000"/>
                </a:srgbClr>
              </a:solidFill>
              <a:ln w="19050" cap="flat" cmpd="sng" algn="ctr">
                <a:solidFill>
                  <a:srgbClr val="C89F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F-9D16-0749-8103-F23CE13D000B}"/>
              </c:ext>
            </c:extLst>
          </c:dPt>
          <c:dPt>
            <c:idx val="80"/>
            <c:invertIfNegative val="0"/>
            <c:bubble3D val="0"/>
            <c:spPr>
              <a:solidFill>
                <a:srgbClr val="D699FC">
                  <a:alpha val="50000"/>
                </a:srgbClr>
              </a:solidFill>
              <a:ln w="19050" cap="flat" cmpd="sng" algn="ctr">
                <a:solidFill>
                  <a:srgbClr val="D699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1-9D16-0749-8103-F23CE13D000B}"/>
              </c:ext>
            </c:extLst>
          </c:dPt>
          <c:dPt>
            <c:idx val="81"/>
            <c:invertIfNegative val="0"/>
            <c:bubble3D val="0"/>
            <c:spPr>
              <a:solidFill>
                <a:srgbClr val="9FB3F8">
                  <a:alpha val="50000"/>
                </a:srgbClr>
              </a:solidFill>
              <a:ln w="19050" cap="flat" cmpd="sng" algn="ctr">
                <a:solidFill>
                  <a:srgbClr val="9FB3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3-9D16-0749-8103-F23CE13D000B}"/>
              </c:ext>
            </c:extLst>
          </c:dPt>
          <c:dPt>
            <c:idx val="82"/>
            <c:invertIfNegative val="0"/>
            <c:bubble3D val="0"/>
            <c:spPr>
              <a:solidFill>
                <a:srgbClr val="FF80F3">
                  <a:alpha val="50000"/>
                </a:srgbClr>
              </a:solidFill>
              <a:ln w="19050" cap="flat" cmpd="sng" algn="ctr">
                <a:solidFill>
                  <a:srgbClr val="FF80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5-9D16-0749-8103-F23CE13D000B}"/>
              </c:ext>
            </c:extLst>
          </c:dPt>
          <c:dPt>
            <c:idx val="83"/>
            <c:invertIfNegative val="0"/>
            <c:bubble3D val="0"/>
            <c:spPr>
              <a:solidFill>
                <a:srgbClr val="F28BFE">
                  <a:alpha val="50000"/>
                </a:srgbClr>
              </a:solidFill>
              <a:ln w="19050" cap="flat" cmpd="sng" algn="ctr">
                <a:solidFill>
                  <a:srgbClr val="F28B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7-9D16-0749-8103-F23CE13D000B}"/>
              </c:ext>
            </c:extLst>
          </c:dPt>
          <c:dPt>
            <c:idx val="84"/>
            <c:invertIfNegative val="0"/>
            <c:bubble3D val="0"/>
            <c:spPr>
              <a:solidFill>
                <a:srgbClr val="ADACF9">
                  <a:alpha val="50000"/>
                </a:srgbClr>
              </a:solidFill>
              <a:ln w="19050" cap="flat" cmpd="sng" algn="ctr">
                <a:solidFill>
                  <a:srgbClr val="ADAC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9-9D16-0749-8103-F23CE13D000B}"/>
              </c:ext>
            </c:extLst>
          </c:dPt>
          <c:dPt>
            <c:idx val="85"/>
            <c:invertIfNegative val="0"/>
            <c:bubble3D val="0"/>
            <c:spPr>
              <a:solidFill>
                <a:srgbClr val="FF65AF">
                  <a:alpha val="50000"/>
                </a:srgbClr>
              </a:solidFill>
              <a:ln w="19050" cap="flat" cmpd="sng" algn="ctr">
                <a:solidFill>
                  <a:srgbClr val="FF65A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B-9D16-0749-8103-F23CE13D000B}"/>
              </c:ext>
            </c:extLst>
          </c:dPt>
          <c:dPt>
            <c:idx val="86"/>
            <c:invertIfNegative val="0"/>
            <c:bubble3D val="0"/>
            <c:spPr>
              <a:solidFill>
                <a:srgbClr val="FF83F9">
                  <a:alpha val="50000"/>
                </a:srgbClr>
              </a:solidFill>
              <a:ln w="19050" cap="flat" cmpd="sng" algn="ctr">
                <a:solidFill>
                  <a:srgbClr val="FF83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D-9D16-0749-8103-F23CE13D000B}"/>
              </c:ext>
            </c:extLst>
          </c:dPt>
          <c:dPt>
            <c:idx val="87"/>
            <c:invertIfNegative val="0"/>
            <c:bubble3D val="0"/>
            <c:spPr>
              <a:solidFill>
                <a:srgbClr val="EB8FFE">
                  <a:alpha val="50000"/>
                </a:srgbClr>
              </a:solidFill>
              <a:ln w="19050" cap="flat" cmpd="sng" algn="ctr">
                <a:solidFill>
                  <a:srgbClr val="EB8F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F-9D16-0749-8103-F23CE13D000B}"/>
              </c:ext>
            </c:extLst>
          </c:dPt>
          <c:dPt>
            <c:idx val="88"/>
            <c:invertIfNegative val="0"/>
            <c:bubble3D val="0"/>
            <c:spPr>
              <a:solidFill>
                <a:srgbClr val="FF80F3">
                  <a:alpha val="50000"/>
                </a:srgbClr>
              </a:solidFill>
              <a:ln w="19050" cap="flat" cmpd="sng" algn="ctr">
                <a:solidFill>
                  <a:srgbClr val="FF80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1-9D16-0749-8103-F23CE13D000B}"/>
              </c:ext>
            </c:extLst>
          </c:dPt>
          <c:dPt>
            <c:idx val="89"/>
            <c:invertIfNegative val="0"/>
            <c:bubble3D val="0"/>
            <c:spPr>
              <a:solidFill>
                <a:srgbClr val="FF7CE8">
                  <a:alpha val="50000"/>
                </a:srgbClr>
              </a:solidFill>
              <a:ln w="19050" cap="flat" cmpd="sng" algn="ctr">
                <a:solidFill>
                  <a:srgbClr val="FF7CE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3-9D16-0749-8103-F23CE13D000B}"/>
              </c:ext>
            </c:extLst>
          </c:dPt>
          <c:dPt>
            <c:idx val="90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5-9D16-0749-8103-F23CE13D000B}"/>
              </c:ext>
            </c:extLst>
          </c:dPt>
          <c:dPt>
            <c:idx val="91"/>
            <c:invertIfNegative val="0"/>
            <c:bubble3D val="0"/>
            <c:spPr>
              <a:solidFill>
                <a:srgbClr val="FF79E2">
                  <a:alpha val="50000"/>
                </a:srgbClr>
              </a:solidFill>
              <a:ln w="19050" cap="flat" cmpd="sng" algn="ctr">
                <a:solidFill>
                  <a:srgbClr val="FF79E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7-9D16-0749-8103-F23CE13D000B}"/>
              </c:ext>
            </c:extLst>
          </c:dPt>
          <c:dPt>
            <c:idx val="92"/>
            <c:invertIfNegative val="0"/>
            <c:bubble3D val="0"/>
            <c:spPr>
              <a:solidFill>
                <a:srgbClr val="FF7EEE">
                  <a:alpha val="50000"/>
                </a:srgbClr>
              </a:solidFill>
              <a:ln w="19050" cap="flat" cmpd="sng" algn="ctr">
                <a:solidFill>
                  <a:srgbClr val="FF7E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9-9D16-0749-8103-F23CE13D000B}"/>
              </c:ext>
            </c:extLst>
          </c:dPt>
          <c:dPt>
            <c:idx val="93"/>
            <c:invertIfNegative val="0"/>
            <c:bubble3D val="0"/>
            <c:spPr>
              <a:solidFill>
                <a:srgbClr val="FF77DD">
                  <a:alpha val="50000"/>
                </a:srgbClr>
              </a:solidFill>
              <a:ln w="19050" cap="flat" cmpd="sng" algn="ctr">
                <a:solidFill>
                  <a:srgbClr val="FF77D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B-9D16-0749-8103-F23CE13D000B}"/>
              </c:ext>
            </c:extLst>
          </c:dPt>
          <c:dPt>
            <c:idx val="94"/>
            <c:invertIfNegative val="0"/>
            <c:bubble3D val="0"/>
            <c:spPr>
              <a:solidFill>
                <a:srgbClr val="FF85FE">
                  <a:alpha val="50000"/>
                </a:srgbClr>
              </a:solidFill>
              <a:ln w="19050" cap="flat" cmpd="sng" algn="ctr">
                <a:solidFill>
                  <a:srgbClr val="FF85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D-9D16-0749-8103-F23CE13D000B}"/>
              </c:ext>
            </c:extLst>
          </c:dPt>
          <c:dPt>
            <c:idx val="95"/>
            <c:invertIfNegative val="0"/>
            <c:bubble3D val="0"/>
            <c:spPr>
              <a:solidFill>
                <a:srgbClr val="FF80F3">
                  <a:alpha val="50000"/>
                </a:srgbClr>
              </a:solidFill>
              <a:ln w="19050" cap="flat" cmpd="sng" algn="ctr">
                <a:solidFill>
                  <a:srgbClr val="FF80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F-9D16-0749-8103-F23CE13D000B}"/>
              </c:ext>
            </c:extLst>
          </c:dPt>
          <c:dPt>
            <c:idx val="96"/>
            <c:invertIfNegative val="0"/>
            <c:bubble3D val="0"/>
            <c:spPr>
              <a:solidFill>
                <a:srgbClr val="FF85FE">
                  <a:alpha val="50000"/>
                </a:srgbClr>
              </a:solidFill>
              <a:ln w="19050" cap="flat" cmpd="sng" algn="ctr">
                <a:solidFill>
                  <a:srgbClr val="FF85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1-9D16-0749-8103-F23CE13D000B}"/>
              </c:ext>
            </c:extLst>
          </c:dPt>
          <c:dPt>
            <c:idx val="97"/>
            <c:invertIfNegative val="0"/>
            <c:bubble3D val="0"/>
            <c:spPr>
              <a:solidFill>
                <a:srgbClr val="FF7CE8">
                  <a:alpha val="50000"/>
                </a:srgbClr>
              </a:solidFill>
              <a:ln w="19050" cap="flat" cmpd="sng" algn="ctr">
                <a:solidFill>
                  <a:srgbClr val="FF7CE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3-9D16-0749-8103-F23CE13D000B}"/>
              </c:ext>
            </c:extLst>
          </c:dPt>
          <c:dPt>
            <c:idx val="98"/>
            <c:invertIfNegative val="0"/>
            <c:bubble3D val="0"/>
            <c:spPr>
              <a:solidFill>
                <a:srgbClr val="DD95FD">
                  <a:alpha val="50000"/>
                </a:srgbClr>
              </a:solidFill>
              <a:ln w="19050" cap="flat" cmpd="sng" algn="ctr">
                <a:solidFill>
                  <a:srgbClr val="DD95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5-9D16-0749-8103-F23CE13D000B}"/>
              </c:ext>
            </c:extLst>
          </c:dPt>
          <c:dPt>
            <c:idx val="99"/>
            <c:invertIfNegative val="0"/>
            <c:bubble3D val="0"/>
            <c:spPr>
              <a:solidFill>
                <a:srgbClr val="FF7CE8">
                  <a:alpha val="50000"/>
                </a:srgbClr>
              </a:solidFill>
              <a:ln w="19050" cap="flat" cmpd="sng" algn="ctr">
                <a:solidFill>
                  <a:srgbClr val="FF7CE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7-9D16-0749-8103-F23CE13D000B}"/>
              </c:ext>
            </c:extLst>
          </c:dPt>
          <c:dPt>
            <c:idx val="100"/>
            <c:invertIfNegative val="0"/>
            <c:bubble3D val="0"/>
            <c:spPr>
              <a:solidFill>
                <a:srgbClr val="FF77DD">
                  <a:alpha val="50000"/>
                </a:srgbClr>
              </a:solidFill>
              <a:ln w="19050" cap="flat" cmpd="sng" algn="ctr">
                <a:solidFill>
                  <a:srgbClr val="FF77D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9-9D16-0749-8103-F23CE13D000B}"/>
              </c:ext>
            </c:extLst>
          </c:dPt>
          <c:dPt>
            <c:idx val="101"/>
            <c:invertIfNegative val="0"/>
            <c:bubble3D val="0"/>
            <c:spPr>
              <a:solidFill>
                <a:srgbClr val="FF67B5">
                  <a:alpha val="50000"/>
                </a:srgbClr>
              </a:solidFill>
              <a:ln w="19050" cap="flat" cmpd="sng" algn="ctr">
                <a:solidFill>
                  <a:srgbClr val="FF67B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B-9D16-0749-8103-F23CE13D000B}"/>
              </c:ext>
            </c:extLst>
          </c:dPt>
          <c:dPt>
            <c:idx val="102"/>
            <c:invertIfNegative val="0"/>
            <c:bubble3D val="0"/>
            <c:spPr>
              <a:solidFill>
                <a:srgbClr val="FF70CC">
                  <a:alpha val="50000"/>
                </a:srgbClr>
              </a:solidFill>
              <a:ln w="19050" cap="flat" cmpd="sng" algn="ctr">
                <a:solidFill>
                  <a:srgbClr val="FF70C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D-9D16-0749-8103-F23CE13D000B}"/>
              </c:ext>
            </c:extLst>
          </c:dPt>
          <c:dPt>
            <c:idx val="103"/>
            <c:invertIfNegative val="0"/>
            <c:bubble3D val="0"/>
            <c:spPr>
              <a:solidFill>
                <a:srgbClr val="FF75D7">
                  <a:alpha val="50000"/>
                </a:srgbClr>
              </a:solidFill>
              <a:ln w="19050" cap="flat" cmpd="sng" algn="ctr">
                <a:solidFill>
                  <a:srgbClr val="FF75D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F-9D16-0749-8103-F23CE13D000B}"/>
              </c:ext>
            </c:extLst>
          </c:dPt>
          <c:dPt>
            <c:idx val="104"/>
            <c:invertIfNegative val="0"/>
            <c:bubble3D val="0"/>
            <c:spPr>
              <a:solidFill>
                <a:srgbClr val="FF77DD">
                  <a:alpha val="50000"/>
                </a:srgbClr>
              </a:solidFill>
              <a:ln w="19050" cap="flat" cmpd="sng" algn="ctr">
                <a:solidFill>
                  <a:srgbClr val="FF77D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1-9D16-0749-8103-F23CE13D000B}"/>
              </c:ext>
            </c:extLst>
          </c:dPt>
          <c:dPt>
            <c:idx val="105"/>
            <c:invertIfNegative val="0"/>
            <c:bubble3D val="0"/>
            <c:spPr>
              <a:solidFill>
                <a:srgbClr val="F988FF">
                  <a:alpha val="50000"/>
                </a:srgbClr>
              </a:solidFill>
              <a:ln w="19050" cap="flat" cmpd="sng" algn="ctr">
                <a:solidFill>
                  <a:srgbClr val="F988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3-9D16-0749-8103-F23CE13D000B}"/>
              </c:ext>
            </c:extLst>
          </c:dPt>
          <c:dPt>
            <c:idx val="106"/>
            <c:invertIfNegative val="0"/>
            <c:bubble3D val="0"/>
            <c:spPr>
              <a:solidFill>
                <a:srgbClr val="FF70CC">
                  <a:alpha val="50000"/>
                </a:srgbClr>
              </a:solidFill>
              <a:ln w="19050" cap="flat" cmpd="sng" algn="ctr">
                <a:solidFill>
                  <a:srgbClr val="FF70C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5-9D16-0749-8103-F23CE13D000B}"/>
              </c:ext>
            </c:extLst>
          </c:dPt>
          <c:dPt>
            <c:idx val="107"/>
            <c:invertIfNegative val="0"/>
            <c:bubble3D val="0"/>
            <c:spPr>
              <a:solidFill>
                <a:srgbClr val="FF73D1">
                  <a:alpha val="50000"/>
                </a:srgbClr>
              </a:solidFill>
              <a:ln w="19050" cap="flat" cmpd="sng" algn="ctr">
                <a:solidFill>
                  <a:srgbClr val="FF73D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7-9D16-0749-8103-F23CE13D000B}"/>
              </c:ext>
            </c:extLst>
          </c:dPt>
          <c:dPt>
            <c:idx val="108"/>
            <c:invertIfNegative val="0"/>
            <c:bubble3D val="0"/>
            <c:spPr>
              <a:solidFill>
                <a:srgbClr val="FF5C99">
                  <a:alpha val="50000"/>
                </a:srgbClr>
              </a:solidFill>
              <a:ln w="19050" cap="flat" cmpd="sng" algn="ctr">
                <a:solidFill>
                  <a:srgbClr val="FF5C9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9-9D16-0749-8103-F23CE13D000B}"/>
              </c:ext>
            </c:extLst>
          </c:dPt>
          <c:dPt>
            <c:idx val="109"/>
            <c:invertIfNegative val="0"/>
            <c:bubble3D val="0"/>
            <c:spPr>
              <a:solidFill>
                <a:srgbClr val="E492FD">
                  <a:alpha val="50000"/>
                </a:srgbClr>
              </a:solidFill>
              <a:ln w="19050" cap="flat" cmpd="sng" algn="ctr">
                <a:solidFill>
                  <a:srgbClr val="E492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B-9D16-0749-8103-F23CE13D000B}"/>
              </c:ext>
            </c:extLst>
          </c:dPt>
          <c:dPt>
            <c:idx val="110"/>
            <c:invertIfNegative val="0"/>
            <c:bubble3D val="0"/>
            <c:spPr>
              <a:solidFill>
                <a:srgbClr val="FF60A4">
                  <a:alpha val="50000"/>
                </a:srgbClr>
              </a:solidFill>
              <a:ln w="19050" cap="flat" cmpd="sng" algn="ctr">
                <a:solidFill>
                  <a:srgbClr val="FF60A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D-9D16-0749-8103-F23CE13D000B}"/>
              </c:ext>
            </c:extLst>
          </c:dPt>
          <c:dPt>
            <c:idx val="111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F-9D16-0749-8103-F23CE13D000B}"/>
              </c:ext>
            </c:extLst>
          </c:dPt>
          <c:dPt>
            <c:idx val="112"/>
            <c:invertIfNegative val="0"/>
            <c:bubble3D val="0"/>
            <c:spPr>
              <a:solidFill>
                <a:srgbClr val="FF70CC">
                  <a:alpha val="50000"/>
                </a:srgbClr>
              </a:solidFill>
              <a:ln w="19050" cap="flat" cmpd="sng" algn="ctr">
                <a:solidFill>
                  <a:srgbClr val="FF70C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1-9D16-0749-8103-F23CE13D000B}"/>
              </c:ext>
            </c:extLst>
          </c:dPt>
          <c:dPt>
            <c:idx val="113"/>
            <c:invertIfNegative val="0"/>
            <c:bubble3D val="0"/>
            <c:spPr>
              <a:solidFill>
                <a:srgbClr val="FF77DD">
                  <a:alpha val="50000"/>
                </a:srgbClr>
              </a:solidFill>
              <a:ln w="19050" cap="flat" cmpd="sng" algn="ctr">
                <a:solidFill>
                  <a:srgbClr val="FF77D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3-9D16-0749-8103-F23CE13D000B}"/>
              </c:ext>
            </c:extLst>
          </c:dPt>
          <c:dPt>
            <c:idx val="114"/>
            <c:invertIfNegative val="0"/>
            <c:bubble3D val="0"/>
            <c:spPr>
              <a:solidFill>
                <a:srgbClr val="FF4C71">
                  <a:alpha val="50000"/>
                </a:srgbClr>
              </a:solidFill>
              <a:ln w="19050" cap="flat" cmpd="sng" algn="ctr">
                <a:solidFill>
                  <a:srgbClr val="FF4C7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5-9D16-0749-8103-F23CE13D000B}"/>
              </c:ext>
            </c:extLst>
          </c:dPt>
          <c:dPt>
            <c:idx val="115"/>
            <c:invertIfNegative val="0"/>
            <c:bubble3D val="0"/>
            <c:spPr>
              <a:solidFill>
                <a:srgbClr val="FF63AA">
                  <a:alpha val="50000"/>
                </a:srgbClr>
              </a:solidFill>
              <a:ln w="19050" cap="flat" cmpd="sng" algn="ctr">
                <a:solidFill>
                  <a:srgbClr val="FF63A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7-9D16-0749-8103-F23CE13D000B}"/>
              </c:ext>
            </c:extLst>
          </c:dPt>
          <c:dPt>
            <c:idx val="116"/>
            <c:invertIfNegative val="0"/>
            <c:bubble3D val="0"/>
            <c:spPr>
              <a:solidFill>
                <a:srgbClr val="F988FF">
                  <a:alpha val="50000"/>
                </a:srgbClr>
              </a:solidFill>
              <a:ln w="19050" cap="flat" cmpd="sng" algn="ctr">
                <a:solidFill>
                  <a:srgbClr val="F988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9-9D16-0749-8103-F23CE13D000B}"/>
              </c:ext>
            </c:extLst>
          </c:dPt>
          <c:dPt>
            <c:idx val="117"/>
            <c:invertIfNegative val="0"/>
            <c:bubble3D val="0"/>
            <c:spPr>
              <a:solidFill>
                <a:srgbClr val="FF63AA">
                  <a:alpha val="50000"/>
                </a:srgbClr>
              </a:solidFill>
              <a:ln w="19050" cap="flat" cmpd="sng" algn="ctr">
                <a:solidFill>
                  <a:srgbClr val="FF63A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B-9D16-0749-8103-F23CE13D000B}"/>
              </c:ext>
            </c:extLst>
          </c:dPt>
          <c:dPt>
            <c:idx val="118"/>
            <c:invertIfNegative val="0"/>
            <c:bubble3D val="0"/>
            <c:spPr>
              <a:solidFill>
                <a:srgbClr val="E492FD">
                  <a:alpha val="50000"/>
                </a:srgbClr>
              </a:solidFill>
              <a:ln w="19050" cap="flat" cmpd="sng" algn="ctr">
                <a:solidFill>
                  <a:srgbClr val="E492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D-9D16-0749-8103-F23CE13D000B}"/>
              </c:ext>
            </c:extLst>
          </c:dPt>
          <c:dPt>
            <c:idx val="119"/>
            <c:invertIfNegative val="0"/>
            <c:bubble3D val="0"/>
            <c:spPr>
              <a:solidFill>
                <a:srgbClr val="FF79E2">
                  <a:alpha val="50000"/>
                </a:srgbClr>
              </a:solidFill>
              <a:ln w="19050" cap="flat" cmpd="sng" algn="ctr">
                <a:solidFill>
                  <a:srgbClr val="FF79E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F-9D16-0749-8103-F23CE13D000B}"/>
              </c:ext>
            </c:extLst>
          </c:dPt>
          <c:dPt>
            <c:idx val="120"/>
            <c:invertIfNegative val="0"/>
            <c:bubble3D val="0"/>
            <c:spPr>
              <a:solidFill>
                <a:srgbClr val="FF80F3">
                  <a:alpha val="50000"/>
                </a:srgbClr>
              </a:solidFill>
              <a:ln w="19050" cap="flat" cmpd="sng" algn="ctr">
                <a:solidFill>
                  <a:srgbClr val="FF80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1-9D16-0749-8103-F23CE13D000B}"/>
              </c:ext>
            </c:extLst>
          </c:dPt>
          <c:dPt>
            <c:idx val="121"/>
            <c:invertIfNegative val="0"/>
            <c:bubble3D val="0"/>
            <c:spPr>
              <a:solidFill>
                <a:srgbClr val="FF65AF">
                  <a:alpha val="50000"/>
                </a:srgbClr>
              </a:solidFill>
              <a:ln w="19050" cap="flat" cmpd="sng" algn="ctr">
                <a:solidFill>
                  <a:srgbClr val="FF65A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3-9D16-0749-8103-F23CE13D000B}"/>
              </c:ext>
            </c:extLst>
          </c:dPt>
          <c:dPt>
            <c:idx val="122"/>
            <c:invertIfNegative val="0"/>
            <c:bubble3D val="0"/>
            <c:spPr>
              <a:solidFill>
                <a:srgbClr val="FF7EEE">
                  <a:alpha val="50000"/>
                </a:srgbClr>
              </a:solidFill>
              <a:ln w="19050" cap="flat" cmpd="sng" algn="ctr">
                <a:solidFill>
                  <a:srgbClr val="FF7E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5-9D16-0749-8103-F23CE13D000B}"/>
              </c:ext>
            </c:extLst>
          </c:dPt>
          <c:dPt>
            <c:idx val="123"/>
            <c:invertIfNegative val="0"/>
            <c:bubble3D val="0"/>
            <c:spPr>
              <a:solidFill>
                <a:srgbClr val="FF65AF">
                  <a:alpha val="50000"/>
                </a:srgbClr>
              </a:solidFill>
              <a:ln w="19050" cap="flat" cmpd="sng" algn="ctr">
                <a:solidFill>
                  <a:srgbClr val="FF65A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7-9D16-0749-8103-F23CE13D000B}"/>
              </c:ext>
            </c:extLst>
          </c:dPt>
          <c:dPt>
            <c:idx val="124"/>
            <c:invertIfNegative val="0"/>
            <c:bubble3D val="0"/>
            <c:spPr>
              <a:solidFill>
                <a:srgbClr val="FF73D1">
                  <a:alpha val="50000"/>
                </a:srgbClr>
              </a:solidFill>
              <a:ln w="19050" cap="flat" cmpd="sng" algn="ctr">
                <a:solidFill>
                  <a:srgbClr val="FF73D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9-9D16-0749-8103-F23CE13D000B}"/>
              </c:ext>
            </c:extLst>
          </c:dPt>
          <c:dPt>
            <c:idx val="125"/>
            <c:invertIfNegative val="0"/>
            <c:bubble3D val="0"/>
            <c:spPr>
              <a:solidFill>
                <a:srgbClr val="FF67B5">
                  <a:alpha val="50000"/>
                </a:srgbClr>
              </a:solidFill>
              <a:ln w="19050" cap="flat" cmpd="sng" algn="ctr">
                <a:solidFill>
                  <a:srgbClr val="FF67B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B-9D16-0749-8103-F23CE13D000B}"/>
              </c:ext>
            </c:extLst>
          </c:dPt>
          <c:dPt>
            <c:idx val="126"/>
            <c:invertIfNegative val="0"/>
            <c:bubble3D val="0"/>
            <c:spPr>
              <a:solidFill>
                <a:srgbClr val="FF5A93">
                  <a:alpha val="50000"/>
                </a:srgbClr>
              </a:solidFill>
              <a:ln w="19050" cap="flat" cmpd="sng" algn="ctr">
                <a:solidFill>
                  <a:srgbClr val="FF5A9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D-9D16-0749-8103-F23CE13D000B}"/>
              </c:ext>
            </c:extLst>
          </c:dPt>
          <c:dPt>
            <c:idx val="127"/>
            <c:invertIfNegative val="0"/>
            <c:bubble3D val="0"/>
            <c:spPr>
              <a:solidFill>
                <a:srgbClr val="FF80F3">
                  <a:alpha val="50000"/>
                </a:srgbClr>
              </a:solidFill>
              <a:ln w="19050" cap="flat" cmpd="sng" algn="ctr">
                <a:solidFill>
                  <a:srgbClr val="FF80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F-9D16-0749-8103-F23CE13D000B}"/>
              </c:ext>
            </c:extLst>
          </c:dPt>
          <c:dPt>
            <c:idx val="128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1-9D16-0749-8103-F23CE13D000B}"/>
              </c:ext>
            </c:extLst>
          </c:dPt>
          <c:dPt>
            <c:idx val="129"/>
            <c:invertIfNegative val="0"/>
            <c:bubble3D val="0"/>
            <c:spPr>
              <a:solidFill>
                <a:srgbClr val="FF60A4">
                  <a:alpha val="50000"/>
                </a:srgbClr>
              </a:solidFill>
              <a:ln w="19050" cap="flat" cmpd="sng" algn="ctr">
                <a:solidFill>
                  <a:srgbClr val="FF60A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3-9D16-0749-8103-F23CE13D000B}"/>
              </c:ext>
            </c:extLst>
          </c:dPt>
          <c:dPt>
            <c:idx val="130"/>
            <c:invertIfNegative val="0"/>
            <c:bubble3D val="0"/>
            <c:spPr>
              <a:solidFill>
                <a:srgbClr val="FF7EEE">
                  <a:alpha val="50000"/>
                </a:srgbClr>
              </a:solidFill>
              <a:ln w="19050" cap="flat" cmpd="sng" algn="ctr">
                <a:solidFill>
                  <a:srgbClr val="FF7E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5-9D16-0749-8103-F23CE13D000B}"/>
              </c:ext>
            </c:extLst>
          </c:dPt>
          <c:dPt>
            <c:idx val="131"/>
            <c:invertIfNegative val="0"/>
            <c:bubble3D val="0"/>
            <c:spPr>
              <a:solidFill>
                <a:srgbClr val="FF6CC0">
                  <a:alpha val="50000"/>
                </a:srgbClr>
              </a:solidFill>
              <a:ln w="19050" cap="flat" cmpd="sng" algn="ctr">
                <a:solidFill>
                  <a:srgbClr val="FF6CC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7-9D16-0749-8103-F23CE13D000B}"/>
              </c:ext>
            </c:extLst>
          </c:dPt>
          <c:dPt>
            <c:idx val="132"/>
            <c:invertIfNegative val="0"/>
            <c:bubble3D val="0"/>
            <c:spPr>
              <a:solidFill>
                <a:srgbClr val="FF60A4">
                  <a:alpha val="50000"/>
                </a:srgbClr>
              </a:solidFill>
              <a:ln w="19050" cap="flat" cmpd="sng" algn="ctr">
                <a:solidFill>
                  <a:srgbClr val="FF60A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9-9D16-0749-8103-F23CE13D000B}"/>
              </c:ext>
            </c:extLst>
          </c:dPt>
          <c:dPt>
            <c:idx val="133"/>
            <c:invertIfNegative val="0"/>
            <c:bubble3D val="0"/>
            <c:spPr>
              <a:solidFill>
                <a:srgbClr val="FF5A93">
                  <a:alpha val="50000"/>
                </a:srgbClr>
              </a:solidFill>
              <a:ln w="19050" cap="flat" cmpd="sng" algn="ctr">
                <a:solidFill>
                  <a:srgbClr val="FF5A9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B-9D16-0749-8103-F23CE13D000B}"/>
              </c:ext>
            </c:extLst>
          </c:dPt>
          <c:dPt>
            <c:idx val="134"/>
            <c:invertIfNegative val="0"/>
            <c:bubble3D val="0"/>
            <c:spPr>
              <a:solidFill>
                <a:srgbClr val="FF65AF">
                  <a:alpha val="50000"/>
                </a:srgbClr>
              </a:solidFill>
              <a:ln w="19050" cap="flat" cmpd="sng" algn="ctr">
                <a:solidFill>
                  <a:srgbClr val="FF65A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D-9D16-0749-8103-F23CE13D000B}"/>
              </c:ext>
            </c:extLst>
          </c:dPt>
          <c:dPt>
            <c:idx val="135"/>
            <c:invertIfNegative val="0"/>
            <c:bubble3D val="0"/>
            <c:spPr>
              <a:solidFill>
                <a:srgbClr val="FF79E2">
                  <a:alpha val="50000"/>
                </a:srgbClr>
              </a:solidFill>
              <a:ln w="19050" cap="flat" cmpd="sng" algn="ctr">
                <a:solidFill>
                  <a:srgbClr val="FF79E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F-9D16-0749-8103-F23CE13D000B}"/>
              </c:ext>
            </c:extLst>
          </c:dPt>
          <c:dPt>
            <c:idx val="136"/>
            <c:invertIfNegative val="0"/>
            <c:bubble3D val="0"/>
            <c:spPr>
              <a:solidFill>
                <a:srgbClr val="FF60A4">
                  <a:alpha val="50000"/>
                </a:srgbClr>
              </a:solidFill>
              <a:ln w="19050" cap="flat" cmpd="sng" algn="ctr">
                <a:solidFill>
                  <a:srgbClr val="FF60A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1-9D16-0749-8103-F23CE13D000B}"/>
              </c:ext>
            </c:extLst>
          </c:dPt>
          <c:dPt>
            <c:idx val="137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3-9D16-0749-8103-F23CE13D000B}"/>
              </c:ext>
            </c:extLst>
          </c:dPt>
          <c:dPt>
            <c:idx val="138"/>
            <c:invertIfNegative val="0"/>
            <c:bubble3D val="0"/>
            <c:spPr>
              <a:solidFill>
                <a:srgbClr val="FF5588">
                  <a:alpha val="50000"/>
                </a:srgbClr>
              </a:solidFill>
              <a:ln w="19050" cap="flat" cmpd="sng" algn="ctr">
                <a:solidFill>
                  <a:srgbClr val="FF558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5-9D16-0749-8103-F23CE13D000B}"/>
              </c:ext>
            </c:extLst>
          </c:dPt>
          <c:dPt>
            <c:idx val="139"/>
            <c:invertIfNegative val="0"/>
            <c:bubble3D val="0"/>
            <c:spPr>
              <a:solidFill>
                <a:srgbClr val="FF6CC0">
                  <a:alpha val="50000"/>
                </a:srgbClr>
              </a:solidFill>
              <a:ln w="19050" cap="flat" cmpd="sng" algn="ctr">
                <a:solidFill>
                  <a:srgbClr val="FF6CC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7-9D16-0749-8103-F23CE13D000B}"/>
              </c:ext>
            </c:extLst>
          </c:dPt>
          <c:dPt>
            <c:idx val="140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9-9D16-0749-8103-F23CE13D000B}"/>
              </c:ext>
            </c:extLst>
          </c:dPt>
          <c:dPt>
            <c:idx val="141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B-9D16-0749-8103-F23CE13D000B}"/>
              </c:ext>
            </c:extLst>
          </c:dPt>
          <c:dPt>
            <c:idx val="142"/>
            <c:invertIfNegative val="0"/>
            <c:bubble3D val="0"/>
            <c:spPr>
              <a:solidFill>
                <a:srgbClr val="FF65AF">
                  <a:alpha val="50000"/>
                </a:srgbClr>
              </a:solidFill>
              <a:ln w="19050" cap="flat" cmpd="sng" algn="ctr">
                <a:solidFill>
                  <a:srgbClr val="FF65A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D-9D16-0749-8103-F23CE13D000B}"/>
              </c:ext>
            </c:extLst>
          </c:dPt>
          <c:dPt>
            <c:idx val="143"/>
            <c:invertIfNegative val="0"/>
            <c:bubble3D val="0"/>
            <c:spPr>
              <a:solidFill>
                <a:srgbClr val="FF517C">
                  <a:alpha val="50000"/>
                </a:srgbClr>
              </a:solidFill>
              <a:ln w="19050" cap="flat" cmpd="sng" algn="ctr">
                <a:solidFill>
                  <a:srgbClr val="FF517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F-9D16-0749-8103-F23CE13D000B}"/>
              </c:ext>
            </c:extLst>
          </c:dPt>
          <c:dPt>
            <c:idx val="144"/>
            <c:invertIfNegative val="0"/>
            <c:bubble3D val="0"/>
            <c:spPr>
              <a:solidFill>
                <a:srgbClr val="FF65AF">
                  <a:alpha val="50000"/>
                </a:srgbClr>
              </a:solidFill>
              <a:ln w="19050" cap="flat" cmpd="sng" algn="ctr">
                <a:solidFill>
                  <a:srgbClr val="FF65A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1-9D16-0749-8103-F23CE13D000B}"/>
              </c:ext>
            </c:extLst>
          </c:dPt>
          <c:dPt>
            <c:idx val="145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3-9D16-0749-8103-F23CE13D000B}"/>
              </c:ext>
            </c:extLst>
          </c:dPt>
          <c:dPt>
            <c:idx val="146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5-9D16-0749-8103-F23CE13D000B}"/>
              </c:ext>
            </c:extLst>
          </c:dPt>
          <c:dPt>
            <c:idx val="147"/>
            <c:invertIfNegative val="0"/>
            <c:bubble3D val="0"/>
            <c:spPr>
              <a:solidFill>
                <a:srgbClr val="FF4766">
                  <a:alpha val="50000"/>
                </a:srgbClr>
              </a:solidFill>
              <a:ln w="19050" cap="flat" cmpd="sng" algn="ctr">
                <a:solidFill>
                  <a:srgbClr val="FF476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7-9D16-0749-8103-F23CE13D000B}"/>
              </c:ext>
            </c:extLst>
          </c:dPt>
          <c:dPt>
            <c:idx val="148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9-9D16-0749-8103-F23CE13D000B}"/>
              </c:ext>
            </c:extLst>
          </c:dPt>
          <c:dPt>
            <c:idx val="149"/>
            <c:invertIfNegative val="0"/>
            <c:bubble3D val="0"/>
            <c:spPr>
              <a:solidFill>
                <a:srgbClr val="FF4E77">
                  <a:alpha val="50000"/>
                </a:srgbClr>
              </a:solidFill>
              <a:ln w="19050" cap="flat" cmpd="sng" algn="ctr">
                <a:solidFill>
                  <a:srgbClr val="FF4E7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B-9D16-0749-8103-F23CE13D000B}"/>
              </c:ext>
            </c:extLst>
          </c:dPt>
          <c:dPt>
            <c:idx val="150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D-9D16-0749-8103-F23CE13D000B}"/>
              </c:ext>
            </c:extLst>
          </c:dPt>
          <c:dPt>
            <c:idx val="151"/>
            <c:invertIfNegative val="0"/>
            <c:bubble3D val="0"/>
            <c:spPr>
              <a:solidFill>
                <a:srgbClr val="FF5382">
                  <a:alpha val="50000"/>
                </a:srgbClr>
              </a:solidFill>
              <a:ln w="19050" cap="flat" cmpd="sng" algn="ctr">
                <a:solidFill>
                  <a:srgbClr val="FF538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F-9D16-0749-8103-F23CE13D000B}"/>
              </c:ext>
            </c:extLst>
          </c:dPt>
          <c:dPt>
            <c:idx val="152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1-9D16-0749-8103-F23CE13D000B}"/>
              </c:ext>
            </c:extLst>
          </c:dPt>
          <c:dPt>
            <c:idx val="153"/>
            <c:invertIfNegative val="0"/>
            <c:bubble3D val="0"/>
            <c:spPr>
              <a:solidFill>
                <a:srgbClr val="FF60A4">
                  <a:alpha val="50000"/>
                </a:srgbClr>
              </a:solidFill>
              <a:ln w="19050" cap="flat" cmpd="sng" algn="ctr">
                <a:solidFill>
                  <a:srgbClr val="FF60A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3-9D16-0749-8103-F23CE13D000B}"/>
              </c:ext>
            </c:extLst>
          </c:dPt>
          <c:dPt>
            <c:idx val="154"/>
            <c:invertIfNegative val="0"/>
            <c:bubble3D val="0"/>
            <c:spPr>
              <a:solidFill>
                <a:srgbClr val="FF3C4A">
                  <a:alpha val="50000"/>
                </a:srgbClr>
              </a:solidFill>
              <a:ln w="19050" cap="flat" cmpd="sng" algn="ctr">
                <a:solidFill>
                  <a:srgbClr val="FF3C4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5-9D16-0749-8103-F23CE13D000B}"/>
              </c:ext>
            </c:extLst>
          </c:dPt>
          <c:dPt>
            <c:idx val="155"/>
            <c:invertIfNegative val="0"/>
            <c:bubble3D val="0"/>
            <c:spPr>
              <a:solidFill>
                <a:srgbClr val="FF63AA">
                  <a:alpha val="50000"/>
                </a:srgbClr>
              </a:solidFill>
              <a:ln w="19050" cap="flat" cmpd="sng" algn="ctr">
                <a:solidFill>
                  <a:srgbClr val="FF63A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7-9D16-0749-8103-F23CE13D000B}"/>
              </c:ext>
            </c:extLst>
          </c:dPt>
          <c:dPt>
            <c:idx val="156"/>
            <c:invertIfNegative val="0"/>
            <c:bubble3D val="0"/>
            <c:spPr>
              <a:solidFill>
                <a:srgbClr val="FF4E77">
                  <a:alpha val="50000"/>
                </a:srgbClr>
              </a:solidFill>
              <a:ln w="19050" cap="flat" cmpd="sng" algn="ctr">
                <a:solidFill>
                  <a:srgbClr val="FF4E7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9-9D16-0749-8103-F23CE13D000B}"/>
              </c:ext>
            </c:extLst>
          </c:dPt>
          <c:dPt>
            <c:idx val="157"/>
            <c:invertIfNegative val="0"/>
            <c:bubble3D val="0"/>
            <c:spPr>
              <a:solidFill>
                <a:srgbClr val="FF4A6C">
                  <a:alpha val="50000"/>
                </a:srgbClr>
              </a:solidFill>
              <a:ln w="19050" cap="flat" cmpd="sng" algn="ctr">
                <a:solidFill>
                  <a:srgbClr val="FF4A6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B-9D16-0749-8103-F23CE13D000B}"/>
              </c:ext>
            </c:extLst>
          </c:dPt>
          <c:dPt>
            <c:idx val="158"/>
            <c:invertIfNegative val="0"/>
            <c:bubble3D val="0"/>
            <c:spPr>
              <a:solidFill>
                <a:srgbClr val="FF6ABB">
                  <a:alpha val="50000"/>
                </a:srgbClr>
              </a:solidFill>
              <a:ln w="19050" cap="flat" cmpd="sng" algn="ctr">
                <a:solidFill>
                  <a:srgbClr val="FF6AB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D-9D16-0749-8103-F23CE13D000B}"/>
              </c:ext>
            </c:extLst>
          </c:dPt>
          <c:dPt>
            <c:idx val="159"/>
            <c:invertIfNegative val="0"/>
            <c:bubble3D val="0"/>
            <c:spPr>
              <a:solidFill>
                <a:srgbClr val="FF4766">
                  <a:alpha val="50000"/>
                </a:srgbClr>
              </a:solidFill>
              <a:ln w="19050" cap="flat" cmpd="sng" algn="ctr">
                <a:solidFill>
                  <a:srgbClr val="FF476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F-9D16-0749-8103-F23CE13D000B}"/>
              </c:ext>
            </c:extLst>
          </c:dPt>
          <c:dPt>
            <c:idx val="160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1-9D16-0749-8103-F23CE13D000B}"/>
              </c:ext>
            </c:extLst>
          </c:dPt>
          <c:dPt>
            <c:idx val="161"/>
            <c:invertIfNegative val="0"/>
            <c:bubble3D val="0"/>
            <c:spPr>
              <a:solidFill>
                <a:srgbClr val="FF5588">
                  <a:alpha val="50000"/>
                </a:srgbClr>
              </a:solidFill>
              <a:ln w="19050" cap="flat" cmpd="sng" algn="ctr">
                <a:solidFill>
                  <a:srgbClr val="FF558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3-9D16-0749-8103-F23CE13D000B}"/>
              </c:ext>
            </c:extLst>
          </c:dPt>
          <c:dPt>
            <c:idx val="162"/>
            <c:invertIfNegative val="0"/>
            <c:bubble3D val="0"/>
            <c:spPr>
              <a:solidFill>
                <a:srgbClr val="FF3E4F">
                  <a:alpha val="50000"/>
                </a:srgbClr>
              </a:solidFill>
              <a:ln w="19050" cap="flat" cmpd="sng" algn="ctr">
                <a:solidFill>
                  <a:srgbClr val="FF3E4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5-9D16-0749-8103-F23CE13D000B}"/>
              </c:ext>
            </c:extLst>
          </c:dPt>
          <c:dPt>
            <c:idx val="163"/>
            <c:invertIfNegative val="0"/>
            <c:bubble3D val="0"/>
            <c:spPr>
              <a:solidFill>
                <a:srgbClr val="FF5588">
                  <a:alpha val="50000"/>
                </a:srgbClr>
              </a:solidFill>
              <a:ln w="19050" cap="flat" cmpd="sng" algn="ctr">
                <a:solidFill>
                  <a:srgbClr val="FF558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7-9D16-0749-8103-F23CE13D000B}"/>
              </c:ext>
            </c:extLst>
          </c:dPt>
          <c:dPt>
            <c:idx val="164"/>
            <c:invertIfNegative val="0"/>
            <c:bubble3D val="0"/>
            <c:spPr>
              <a:solidFill>
                <a:srgbClr val="FF63AA">
                  <a:alpha val="50000"/>
                </a:srgbClr>
              </a:solidFill>
              <a:ln w="19050" cap="flat" cmpd="sng" algn="ctr">
                <a:solidFill>
                  <a:srgbClr val="FF63A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9-9D16-0749-8103-F23CE13D000B}"/>
              </c:ext>
            </c:extLst>
          </c:dPt>
          <c:dPt>
            <c:idx val="165"/>
            <c:invertIfNegative val="0"/>
            <c:bubble3D val="0"/>
            <c:spPr>
              <a:solidFill>
                <a:srgbClr val="FF5588">
                  <a:alpha val="50000"/>
                </a:srgbClr>
              </a:solidFill>
              <a:ln w="19050" cap="flat" cmpd="sng" algn="ctr">
                <a:solidFill>
                  <a:srgbClr val="FF558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B-9D16-0749-8103-F23CE13D000B}"/>
              </c:ext>
            </c:extLst>
          </c:dPt>
          <c:dPt>
            <c:idx val="166"/>
            <c:invertIfNegative val="0"/>
            <c:bubble3D val="0"/>
            <c:spPr>
              <a:solidFill>
                <a:srgbClr val="FF65AF">
                  <a:alpha val="50000"/>
                </a:srgbClr>
              </a:solidFill>
              <a:ln w="19050" cap="flat" cmpd="sng" algn="ctr">
                <a:solidFill>
                  <a:srgbClr val="FF65A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D-9D16-0749-8103-F23CE13D000B}"/>
              </c:ext>
            </c:extLst>
          </c:dPt>
          <c:dPt>
            <c:idx val="167"/>
            <c:invertIfNegative val="0"/>
            <c:bubble3D val="0"/>
            <c:spPr>
              <a:solidFill>
                <a:srgbClr val="FF4155">
                  <a:alpha val="50000"/>
                </a:srgbClr>
              </a:solidFill>
              <a:ln w="19050" cap="flat" cmpd="sng" algn="ctr">
                <a:solidFill>
                  <a:srgbClr val="FF415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F-9D16-0749-8103-F23CE13D000B}"/>
              </c:ext>
            </c:extLst>
          </c:dPt>
          <c:dPt>
            <c:idx val="168"/>
            <c:invertIfNegative val="0"/>
            <c:bubble3D val="0"/>
            <c:spPr>
              <a:solidFill>
                <a:srgbClr val="FF67B5">
                  <a:alpha val="50000"/>
                </a:srgbClr>
              </a:solidFill>
              <a:ln w="19050" cap="flat" cmpd="sng" algn="ctr">
                <a:solidFill>
                  <a:srgbClr val="FF67B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1-9D16-0749-8103-F23CE13D000B}"/>
              </c:ext>
            </c:extLst>
          </c:dPt>
          <c:dPt>
            <c:idx val="169"/>
            <c:invertIfNegative val="0"/>
            <c:bubble3D val="0"/>
            <c:spPr>
              <a:solidFill>
                <a:srgbClr val="FF4E77">
                  <a:alpha val="50000"/>
                </a:srgbClr>
              </a:solidFill>
              <a:ln w="19050" cap="flat" cmpd="sng" algn="ctr">
                <a:solidFill>
                  <a:srgbClr val="FF4E7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3-9D16-0749-8103-F23CE13D000B}"/>
              </c:ext>
            </c:extLst>
          </c:dPt>
          <c:dPt>
            <c:idx val="170"/>
            <c:invertIfNegative val="0"/>
            <c:bubble3D val="0"/>
            <c:spPr>
              <a:solidFill>
                <a:srgbClr val="FF4A6C">
                  <a:alpha val="50000"/>
                </a:srgbClr>
              </a:solidFill>
              <a:ln w="19050" cap="flat" cmpd="sng" algn="ctr">
                <a:solidFill>
                  <a:srgbClr val="FF4A6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5-9D16-0749-8103-F23CE13D000B}"/>
              </c:ext>
            </c:extLst>
          </c:dPt>
          <c:dPt>
            <c:idx val="171"/>
            <c:invertIfNegative val="0"/>
            <c:bubble3D val="0"/>
            <c:spPr>
              <a:solidFill>
                <a:srgbClr val="FF3A44">
                  <a:alpha val="50000"/>
                </a:srgbClr>
              </a:solidFill>
              <a:ln w="19050" cap="flat" cmpd="sng" algn="ctr">
                <a:solidFill>
                  <a:srgbClr val="FF3A4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7-9D16-0749-8103-F23CE13D000B}"/>
              </c:ext>
            </c:extLst>
          </c:dPt>
          <c:dPt>
            <c:idx val="172"/>
            <c:invertIfNegative val="0"/>
            <c:bubble3D val="0"/>
            <c:spPr>
              <a:solidFill>
                <a:srgbClr val="FF5A93">
                  <a:alpha val="50000"/>
                </a:srgbClr>
              </a:solidFill>
              <a:ln w="19050" cap="flat" cmpd="sng" algn="ctr">
                <a:solidFill>
                  <a:srgbClr val="FF5A9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9-9D16-0749-8103-F23CE13D000B}"/>
              </c:ext>
            </c:extLst>
          </c:dPt>
          <c:dPt>
            <c:idx val="173"/>
            <c:invertIfNegative val="0"/>
            <c:bubble3D val="0"/>
            <c:spPr>
              <a:solidFill>
                <a:srgbClr val="FF3C4A">
                  <a:alpha val="50000"/>
                </a:srgbClr>
              </a:solidFill>
              <a:ln w="19050" cap="flat" cmpd="sng" algn="ctr">
                <a:solidFill>
                  <a:srgbClr val="FF3C4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B-9D16-0749-8103-F23CE13D000B}"/>
              </c:ext>
            </c:extLst>
          </c:dPt>
          <c:dPt>
            <c:idx val="174"/>
            <c:invertIfNegative val="0"/>
            <c:bubble3D val="0"/>
            <c:spPr>
              <a:solidFill>
                <a:srgbClr val="FF4E77">
                  <a:alpha val="50000"/>
                </a:srgbClr>
              </a:solidFill>
              <a:ln w="19050" cap="flat" cmpd="sng" algn="ctr">
                <a:solidFill>
                  <a:srgbClr val="FF4E7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D-9D16-0749-8103-F23CE13D000B}"/>
              </c:ext>
            </c:extLst>
          </c:dPt>
          <c:dPt>
            <c:idx val="175"/>
            <c:invertIfNegative val="0"/>
            <c:bubble3D val="0"/>
            <c:spPr>
              <a:solidFill>
                <a:srgbClr val="FF435B">
                  <a:alpha val="50000"/>
                </a:srgbClr>
              </a:solidFill>
              <a:ln w="19050" cap="flat" cmpd="sng" algn="ctr">
                <a:solidFill>
                  <a:srgbClr val="FF435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F-9D16-0749-8103-F23CE13D000B}"/>
              </c:ext>
            </c:extLst>
          </c:dPt>
          <c:dPt>
            <c:idx val="176"/>
            <c:invertIfNegative val="0"/>
            <c:bubble3D val="0"/>
            <c:spPr>
              <a:solidFill>
                <a:srgbClr val="FF5C99">
                  <a:alpha val="50000"/>
                </a:srgbClr>
              </a:solidFill>
              <a:ln w="19050" cap="flat" cmpd="sng" algn="ctr">
                <a:solidFill>
                  <a:srgbClr val="FF5C9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1-9D16-0749-8103-F23CE13D000B}"/>
              </c:ext>
            </c:extLst>
          </c:dPt>
          <c:dPt>
            <c:idx val="177"/>
            <c:invertIfNegative val="0"/>
            <c:bubble3D val="0"/>
            <c:spPr>
              <a:solidFill>
                <a:srgbClr val="FF3E4F">
                  <a:alpha val="50000"/>
                </a:srgbClr>
              </a:solidFill>
              <a:ln w="19050" cap="flat" cmpd="sng" algn="ctr">
                <a:solidFill>
                  <a:srgbClr val="FF3E4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3-9D16-0749-8103-F23CE13D000B}"/>
              </c:ext>
            </c:extLst>
          </c:dPt>
          <c:dPt>
            <c:idx val="178"/>
            <c:invertIfNegative val="0"/>
            <c:bubble3D val="0"/>
            <c:spPr>
              <a:solidFill>
                <a:srgbClr val="FF5A93">
                  <a:alpha val="50000"/>
                </a:srgbClr>
              </a:solidFill>
              <a:ln w="19050" cap="flat" cmpd="sng" algn="ctr">
                <a:solidFill>
                  <a:srgbClr val="FF5A9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5-9D16-0749-8103-F23CE13D000B}"/>
              </c:ext>
            </c:extLst>
          </c:dPt>
          <c:dPt>
            <c:idx val="179"/>
            <c:invertIfNegative val="0"/>
            <c:bubble3D val="0"/>
            <c:spPr>
              <a:solidFill>
                <a:srgbClr val="FF435B">
                  <a:alpha val="50000"/>
                </a:srgbClr>
              </a:solidFill>
              <a:ln w="19050" cap="flat" cmpd="sng" algn="ctr">
                <a:solidFill>
                  <a:srgbClr val="FF435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7-9D16-0749-8103-F23CE13D000B}"/>
              </c:ext>
            </c:extLst>
          </c:dPt>
          <c:dPt>
            <c:idx val="180"/>
            <c:invertIfNegative val="0"/>
            <c:bubble3D val="0"/>
            <c:spPr>
              <a:solidFill>
                <a:srgbClr val="FF4766">
                  <a:alpha val="50000"/>
                </a:srgbClr>
              </a:solidFill>
              <a:ln w="19050" cap="flat" cmpd="sng" algn="ctr">
                <a:solidFill>
                  <a:srgbClr val="FF476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9-9D16-0749-8103-F23CE13D000B}"/>
              </c:ext>
            </c:extLst>
          </c:dPt>
          <c:dPt>
            <c:idx val="181"/>
            <c:invertIfNegative val="0"/>
            <c:bubble3D val="0"/>
            <c:spPr>
              <a:solidFill>
                <a:srgbClr val="FF4560">
                  <a:alpha val="50000"/>
                </a:srgbClr>
              </a:solidFill>
              <a:ln w="19050" cap="flat" cmpd="sng" algn="ctr">
                <a:solidFill>
                  <a:srgbClr val="FF456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B-9D16-0749-8103-F23CE13D000B}"/>
              </c:ext>
            </c:extLst>
          </c:dPt>
          <c:dPt>
            <c:idx val="182"/>
            <c:invertIfNegative val="0"/>
            <c:bubble3D val="0"/>
            <c:spPr>
              <a:solidFill>
                <a:srgbClr val="FF4560">
                  <a:alpha val="50000"/>
                </a:srgbClr>
              </a:solidFill>
              <a:ln w="19050" cap="flat" cmpd="sng" algn="ctr">
                <a:solidFill>
                  <a:srgbClr val="FF456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D-9D16-0749-8103-F23CE13D000B}"/>
              </c:ext>
            </c:extLst>
          </c:dPt>
          <c:dPt>
            <c:idx val="183"/>
            <c:invertIfNegative val="0"/>
            <c:bubble3D val="0"/>
            <c:spPr>
              <a:solidFill>
                <a:srgbClr val="FF435B">
                  <a:alpha val="50000"/>
                </a:srgbClr>
              </a:solidFill>
              <a:ln w="19050" cap="flat" cmpd="sng" algn="ctr">
                <a:solidFill>
                  <a:srgbClr val="FF435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F-9D16-0749-8103-F23CE13D000B}"/>
              </c:ext>
            </c:extLst>
          </c:dPt>
          <c:dPt>
            <c:idx val="184"/>
            <c:invertIfNegative val="0"/>
            <c:bubble3D val="0"/>
            <c:spPr>
              <a:solidFill>
                <a:srgbClr val="FF4C71">
                  <a:alpha val="50000"/>
                </a:srgbClr>
              </a:solidFill>
              <a:ln w="19050" cap="flat" cmpd="sng" algn="ctr">
                <a:solidFill>
                  <a:srgbClr val="FF4C7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1-9D16-0749-8103-F23CE13D000B}"/>
              </c:ext>
            </c:extLst>
          </c:dPt>
          <c:dPt>
            <c:idx val="185"/>
            <c:invertIfNegative val="0"/>
            <c:bubble3D val="0"/>
            <c:spPr>
              <a:solidFill>
                <a:srgbClr val="FF3E4F">
                  <a:alpha val="50000"/>
                </a:srgbClr>
              </a:solidFill>
              <a:ln w="19050" cap="flat" cmpd="sng" algn="ctr">
                <a:solidFill>
                  <a:srgbClr val="FF3E4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3-9D16-0749-8103-F23CE13D000B}"/>
              </c:ext>
            </c:extLst>
          </c:dPt>
          <c:dPt>
            <c:idx val="186"/>
            <c:invertIfNegative val="0"/>
            <c:bubble3D val="0"/>
            <c:spPr>
              <a:solidFill>
                <a:srgbClr val="FF578D">
                  <a:alpha val="50000"/>
                </a:srgbClr>
              </a:solidFill>
              <a:ln w="19050" cap="flat" cmpd="sng" algn="ctr">
                <a:solidFill>
                  <a:srgbClr val="FF578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5-9D16-0749-8103-F23CE13D000B}"/>
              </c:ext>
            </c:extLst>
          </c:dPt>
          <c:dPt>
            <c:idx val="187"/>
            <c:invertIfNegative val="0"/>
            <c:bubble3D val="0"/>
            <c:spPr>
              <a:solidFill>
                <a:srgbClr val="FF4155">
                  <a:alpha val="50000"/>
                </a:srgbClr>
              </a:solidFill>
              <a:ln w="19050" cap="flat" cmpd="sng" algn="ctr">
                <a:solidFill>
                  <a:srgbClr val="FF415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7-9D16-0749-8103-F23CE13D000B}"/>
              </c:ext>
            </c:extLst>
          </c:dPt>
          <c:dPt>
            <c:idx val="188"/>
            <c:invertIfNegative val="0"/>
            <c:bubble3D val="0"/>
            <c:spPr>
              <a:solidFill>
                <a:srgbClr val="FF517C">
                  <a:alpha val="50000"/>
                </a:srgbClr>
              </a:solidFill>
              <a:ln w="19050" cap="flat" cmpd="sng" algn="ctr">
                <a:solidFill>
                  <a:srgbClr val="FF517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9-9D16-0749-8103-F23CE13D000B}"/>
              </c:ext>
            </c:extLst>
          </c:dPt>
          <c:dPt>
            <c:idx val="189"/>
            <c:invertIfNegative val="0"/>
            <c:bubble3D val="0"/>
            <c:spPr>
              <a:solidFill>
                <a:srgbClr val="FF3539">
                  <a:alpha val="50000"/>
                </a:srgbClr>
              </a:solidFill>
              <a:ln w="19050" cap="flat" cmpd="sng" algn="ctr">
                <a:solidFill>
                  <a:srgbClr val="FF353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B-9D16-0749-8103-F23CE13D000B}"/>
              </c:ext>
            </c:extLst>
          </c:dPt>
          <c:dPt>
            <c:idx val="19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D-9D16-0749-8103-F23CE13D000B}"/>
              </c:ext>
            </c:extLst>
          </c:dPt>
          <c:dPt>
            <c:idx val="19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F-9D16-0749-8103-F23CE13D000B}"/>
              </c:ext>
            </c:extLst>
          </c:dPt>
          <c:dPt>
            <c:idx val="192"/>
            <c:invertIfNegative val="0"/>
            <c:bubble3D val="0"/>
            <c:spPr>
              <a:solidFill>
                <a:srgbClr val="FF3539">
                  <a:alpha val="50000"/>
                </a:srgbClr>
              </a:solidFill>
              <a:ln w="19050" cap="flat" cmpd="sng" algn="ctr">
                <a:solidFill>
                  <a:srgbClr val="FF353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1-9D16-0749-8103-F23CE13D000B}"/>
              </c:ext>
            </c:extLst>
          </c:dPt>
          <c:dPt>
            <c:idx val="19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3-9D16-0749-8103-F23CE13D000B}"/>
              </c:ext>
            </c:extLst>
          </c:dPt>
          <c:dPt>
            <c:idx val="19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5-9D16-0749-8103-F23CE13D000B}"/>
              </c:ext>
            </c:extLst>
          </c:dPt>
          <c:dPt>
            <c:idx val="19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7-9D16-0749-8103-F23CE13D000B}"/>
              </c:ext>
            </c:extLst>
          </c:dPt>
          <c:dPt>
            <c:idx val="19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9-9D16-0749-8103-F23CE13D000B}"/>
              </c:ext>
            </c:extLst>
          </c:dPt>
          <c:dPt>
            <c:idx val="19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B-9D16-0749-8103-F23CE13D000B}"/>
              </c:ext>
            </c:extLst>
          </c:dPt>
          <c:dPt>
            <c:idx val="19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D-9D16-0749-8103-F23CE13D000B}"/>
              </c:ext>
            </c:extLst>
          </c:dPt>
          <c:dPt>
            <c:idx val="19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F-9D16-0749-8103-F23CE13D000B}"/>
              </c:ext>
            </c:extLst>
          </c:dPt>
          <c:dPt>
            <c:idx val="20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1-9D16-0749-8103-F23CE13D000B}"/>
              </c:ext>
            </c:extLst>
          </c:dPt>
          <c:dPt>
            <c:idx val="20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3-9D16-0749-8103-F23CE13D000B}"/>
              </c:ext>
            </c:extLst>
          </c:dPt>
          <c:dPt>
            <c:idx val="20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5-9D16-0749-8103-F23CE13D000B}"/>
              </c:ext>
            </c:extLst>
          </c:dPt>
          <c:dPt>
            <c:idx val="20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7-9D16-0749-8103-F23CE13D000B}"/>
              </c:ext>
            </c:extLst>
          </c:dPt>
          <c:dPt>
            <c:idx val="20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9-9D16-0749-8103-F23CE13D000B}"/>
              </c:ext>
            </c:extLst>
          </c:dPt>
          <c:dPt>
            <c:idx val="20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B-9D16-0749-8103-F23CE13D000B}"/>
              </c:ext>
            </c:extLst>
          </c:dPt>
          <c:dPt>
            <c:idx val="20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D-9D16-0749-8103-F23CE13D000B}"/>
              </c:ext>
            </c:extLst>
          </c:dPt>
          <c:dPt>
            <c:idx val="20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F-9D16-0749-8103-F23CE13D000B}"/>
              </c:ext>
            </c:extLst>
          </c:dPt>
          <c:dPt>
            <c:idx val="20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1-9D16-0749-8103-F23CE13D000B}"/>
              </c:ext>
            </c:extLst>
          </c:dPt>
          <c:dPt>
            <c:idx val="20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3-9D16-0749-8103-F23CE13D000B}"/>
              </c:ext>
            </c:extLst>
          </c:dPt>
          <c:dPt>
            <c:idx val="21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5-9D16-0749-8103-F23CE13D000B}"/>
              </c:ext>
            </c:extLst>
          </c:dPt>
          <c:dPt>
            <c:idx val="21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7-9D16-0749-8103-F23CE13D000B}"/>
              </c:ext>
            </c:extLst>
          </c:dPt>
          <c:dPt>
            <c:idx val="21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9-9D16-0749-8103-F23CE13D000B}"/>
              </c:ext>
            </c:extLst>
          </c:dPt>
          <c:dPt>
            <c:idx val="21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B-9D16-0749-8103-F23CE13D000B}"/>
              </c:ext>
            </c:extLst>
          </c:dPt>
          <c:dPt>
            <c:idx val="21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D-9D16-0749-8103-F23CE13D000B}"/>
              </c:ext>
            </c:extLst>
          </c:dPt>
          <c:dPt>
            <c:idx val="21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F-9D16-0749-8103-F23CE13D000B}"/>
              </c:ext>
            </c:extLst>
          </c:dPt>
          <c:dPt>
            <c:idx val="21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1-9D16-0749-8103-F23CE13D000B}"/>
              </c:ext>
            </c:extLst>
          </c:dPt>
          <c:dPt>
            <c:idx val="21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3-9D16-0749-8103-F23CE13D000B}"/>
              </c:ext>
            </c:extLst>
          </c:dPt>
          <c:dPt>
            <c:idx val="21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5-9D16-0749-8103-F23CE13D000B}"/>
              </c:ext>
            </c:extLst>
          </c:dPt>
          <c:dPt>
            <c:idx val="21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7-9D16-0749-8103-F23CE13D000B}"/>
              </c:ext>
            </c:extLst>
          </c:dPt>
          <c:dPt>
            <c:idx val="22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9-9D16-0749-8103-F23CE13D000B}"/>
              </c:ext>
            </c:extLst>
          </c:dPt>
          <c:dPt>
            <c:idx val="22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B-9D16-0749-8103-F23CE13D000B}"/>
              </c:ext>
            </c:extLst>
          </c:dPt>
          <c:dPt>
            <c:idx val="22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D-9D16-0749-8103-F23CE13D000B}"/>
              </c:ext>
            </c:extLst>
          </c:dPt>
          <c:dPt>
            <c:idx val="22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F-9D16-0749-8103-F23CE13D000B}"/>
              </c:ext>
            </c:extLst>
          </c:dPt>
          <c:dPt>
            <c:idx val="22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1-9D16-0749-8103-F23CE13D000B}"/>
              </c:ext>
            </c:extLst>
          </c:dPt>
          <c:dPt>
            <c:idx val="22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3-9D16-0749-8103-F23CE13D000B}"/>
              </c:ext>
            </c:extLst>
          </c:dPt>
          <c:dPt>
            <c:idx val="22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5-9D16-0749-8103-F23CE13D000B}"/>
              </c:ext>
            </c:extLst>
          </c:dPt>
          <c:dPt>
            <c:idx val="22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7-9D16-0749-8103-F23CE13D000B}"/>
              </c:ext>
            </c:extLst>
          </c:dPt>
          <c:dPt>
            <c:idx val="22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9-9D16-0749-8103-F23CE13D000B}"/>
              </c:ext>
            </c:extLst>
          </c:dPt>
          <c:dPt>
            <c:idx val="22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B-9D16-0749-8103-F23CE13D000B}"/>
              </c:ext>
            </c:extLst>
          </c:dPt>
          <c:dPt>
            <c:idx val="23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D-9D16-0749-8103-F23CE13D000B}"/>
              </c:ext>
            </c:extLst>
          </c:dPt>
          <c:dPt>
            <c:idx val="23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F-9D16-0749-8103-F23CE13D000B}"/>
              </c:ext>
            </c:extLst>
          </c:dPt>
          <c:dPt>
            <c:idx val="23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1-9D16-0749-8103-F23CE13D000B}"/>
              </c:ext>
            </c:extLst>
          </c:dPt>
          <c:dPt>
            <c:idx val="23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3-9D16-0749-8103-F23CE13D000B}"/>
              </c:ext>
            </c:extLst>
          </c:dPt>
          <c:dPt>
            <c:idx val="23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5-9D16-0749-8103-F23CE13D000B}"/>
              </c:ext>
            </c:extLst>
          </c:dPt>
          <c:dPt>
            <c:idx val="23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7-9D16-0749-8103-F23CE13D000B}"/>
              </c:ext>
            </c:extLst>
          </c:dPt>
          <c:dPt>
            <c:idx val="23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9-9D16-0749-8103-F23CE13D000B}"/>
              </c:ext>
            </c:extLst>
          </c:dPt>
          <c:dPt>
            <c:idx val="23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B-9D16-0749-8103-F23CE13D000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A3CBA20-8855-E043-9EA1-23A698419916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16-0749-8103-F23CE13D000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5" b="0" i="0" u="none" strike="noStrike" kern="1200" baseline="0">
                        <a:solidFill>
                          <a:srgbClr val="63636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C834DD0-28A5-1845-85DA-EBFC1A6EFC71}" type="CELLRANGE">
                      <a:rPr lang="en-GB"/>
                      <a:pPr>
                        <a:defRPr sz="895">
                          <a:solidFill>
                            <a:srgbClr val="63636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5" b="0" i="0" u="none" strike="noStrike" kern="1200" baseline="0">
                      <a:solidFill>
                        <a:srgbClr val="63636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6-0749-8103-F23CE13D000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8DDDEE1-5C33-2C4F-97CF-8769F79C3097}" type="CELLRANGE">
                      <a:rPr lang="en-GB"/>
                      <a:pPr>
                        <a:defRPr sz="820">
                          <a:solidFill>
                            <a:srgbClr val="93939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6-0749-8103-F23CE13D000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46F56BA-8703-334F-91BA-8152E77FA98C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6-0749-8103-F23CE13D000B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E2717C3-CCB2-8249-8611-C007328C6A58}" type="CELLRANGE">
                      <a:rPr lang="en-GB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6-0749-8103-F23CE13D000B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0" b="0" i="0" u="none" strike="noStrike" kern="1200" baseline="0">
                        <a:solidFill>
                          <a:srgbClr val="66666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249F776-2DC7-7045-98A8-3F0D34338C49}" type="CELLRANGE">
                      <a:rPr lang="en-GB"/>
                      <a:pPr>
                        <a:defRPr sz="890">
                          <a:solidFill>
                            <a:srgbClr val="66666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0" b="0" i="0" u="none" strike="noStrike" kern="1200" baseline="0">
                      <a:solidFill>
                        <a:srgbClr val="66666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6-0749-8103-F23CE13D000B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640708C-0A5E-0043-9A8A-D9336BBC1A41}" type="CELLRANGE">
                      <a:rPr lang="en-US"/>
                      <a:pPr>
                        <a:defRPr sz="98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2.7856492163407329E-2"/>
                      <c:h val="3.804088694716634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D16-0749-8103-F23CE13D000B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B6B6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2A88AA0-4ED7-7849-93A1-602111AAE399}" type="CELLRANGE">
                      <a:rPr lang="en-GB"/>
                      <a:pPr>
                        <a:defRPr sz="880">
                          <a:solidFill>
                            <a:srgbClr val="6B6B6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B6B6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6-0749-8103-F23CE13D000B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2FD21C0-0CFB-4B4D-90B7-29A1C301754D}" type="CELLRANGE">
                      <a:rPr lang="en-GB"/>
                      <a:pPr>
                        <a:defRPr sz="101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6-0749-8103-F23CE13D000B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232947D-0B0A-1847-A5C7-E36783A502BD}" type="CELLRANGE">
                      <a:rPr lang="en-GB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6-0749-8103-F23CE13D000B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695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1082806-606C-734B-9F4D-2E8A9A877C73}" type="CELLRANGE">
                      <a:rPr lang="en-GB"/>
                      <a:pPr>
                        <a:defRPr sz="1695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95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6-0749-8103-F23CE13D000B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5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FA32682-C45E-7847-A813-06860A9E9EA3}" type="CELLRANGE">
                      <a:rPr lang="en-GB"/>
                      <a:pPr>
                        <a:defRPr sz="985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5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6-0749-8103-F23CE13D000B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D6F3C85-B3A4-CD4A-B514-221D128FE3F3}" type="CELLRANGE">
                      <a:rPr lang="en-GB"/>
                      <a:pPr>
                        <a:defRPr sz="99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6-0749-8103-F23CE13D000B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DB464C1-FFF8-9E4C-92A8-ACAC5E4E5BD9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6-0749-8103-F23CE13D000B}"/>
                </c:ext>
              </c:extLst>
            </c:dLbl>
            <c:dLbl>
              <c:idx val="14"/>
              <c:layout>
                <c:manualLayout>
                  <c:x val="-5.0258011434949193E-2"/>
                  <c:y val="1.3379772733495651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9312DED-C25E-424B-9CD0-7D96BA6544BA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9D16-0749-8103-F23CE13D000B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5A634EF-13DC-D446-9F30-D99C33905C40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6-0749-8103-F23CE13D000B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120" b="0" i="0" u="none" strike="noStrike" kern="1200" baseline="0">
                        <a:solidFill>
                          <a:srgbClr val="313131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62B2835-316D-4344-934A-9DC8090CFA65}" type="CELLRANGE">
                      <a:rPr lang="en-GB"/>
                      <a:pPr>
                        <a:defRPr sz="1120">
                          <a:solidFill>
                            <a:srgbClr val="313131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20" b="0" i="0" u="none" strike="noStrike" kern="1200" baseline="0">
                      <a:solidFill>
                        <a:srgbClr val="31313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6-0749-8103-F23CE13D000B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F1D9074-8D62-A344-ABA5-92D8F0DF44A6}" type="CELLRANGE">
                      <a:rPr lang="en-GB"/>
                      <a:pPr>
                        <a:defRPr sz="885">
                          <a:solidFill>
                            <a:srgbClr val="68686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6-0749-8103-F23CE13D000B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7676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7CC5E4B-1E49-724C-B18F-2004D8324BE9}" type="CELLRANGE">
                      <a:rPr lang="en-GB"/>
                      <a:pPr>
                        <a:defRPr sz="885">
                          <a:solidFill>
                            <a:srgbClr val="67676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7676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6-0749-8103-F23CE13D000B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D348031-9ADE-A948-AD3E-47F0614E7F49}" type="CELLRANGE">
                      <a:rPr lang="en-GB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6-0749-8103-F23CE13D000B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55" b="0" i="0" u="none" strike="noStrike" kern="1200" baseline="0">
                        <a:solidFill>
                          <a:srgbClr val="37373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D36B4E5-ACE0-C147-93AC-9985D5E9C1CA}" type="CELLRANGE">
                      <a:rPr lang="en-GB"/>
                      <a:pPr>
                        <a:defRPr sz="1055">
                          <a:solidFill>
                            <a:srgbClr val="37373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5" b="0" i="0" u="none" strike="noStrike" kern="1200" baseline="0">
                      <a:solidFill>
                        <a:srgbClr val="37373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6-0749-8103-F23CE13D000B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936FBA1-092D-AA44-9BEC-08BAAC988283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6-0749-8103-F23CE13D000B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19191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BCE934F-E4DA-DA46-97FB-D15E761D763A}" type="CELLRANGE">
                      <a:rPr lang="en-GB"/>
                      <a:pPr>
                        <a:defRPr sz="820">
                          <a:solidFill>
                            <a:srgbClr val="919191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1919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6-0749-8103-F23CE13D000B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9CD5731-6551-0F4B-A6FE-81AF38AD1A90}" type="CELLRANGE">
                      <a:rPr lang="en-GB"/>
                      <a:pPr>
                        <a:defRPr sz="97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6-0749-8103-F23CE13D000B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86BFF3C-3D34-5647-9673-AA4F2C9769C6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6-0749-8103-F23CE13D000B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1F0EFFF-A9B6-1A4B-8821-B5771A629438}" type="CELLRANGE">
                      <a:rPr lang="en-GB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6-0749-8103-F23CE13D000B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4844EA2-F2C9-7540-B480-92911DBBBB80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6-0749-8103-F23CE13D000B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C7C7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8164024-2DC8-9C4C-A1DB-BEF5D054A7A5}" type="CELLRANGE">
                      <a:rPr lang="en-GB"/>
                      <a:pPr>
                        <a:defRPr sz="855">
                          <a:solidFill>
                            <a:srgbClr val="7C7C7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C7C7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6-0749-8103-F23CE13D000B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C6C6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F017EC9-1A15-8240-AB86-A48096844C56}" type="CELLRANGE">
                      <a:rPr lang="en-GB"/>
                      <a:pPr>
                        <a:defRPr sz="880">
                          <a:solidFill>
                            <a:srgbClr val="6C6C6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C6C6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6-0749-8103-F23CE13D000B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B9B9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04A405B-8639-6849-BC0A-D042E224B777}" type="CELLRANGE">
                      <a:rPr lang="en-GB"/>
                      <a:pPr>
                        <a:defRPr sz="805">
                          <a:solidFill>
                            <a:srgbClr val="9B9B9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B9B9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6-0749-8103-F23CE13D000B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60" b="0" i="0" u="none" strike="noStrike" kern="1200" baseline="0">
                        <a:solidFill>
                          <a:srgbClr val="78787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698ABEE-614C-1B43-BFEA-F794A56B34A2}" type="CELLRANGE">
                      <a:rPr lang="en-GB"/>
                      <a:pPr>
                        <a:defRPr sz="860">
                          <a:solidFill>
                            <a:srgbClr val="78787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60" b="0" i="0" u="none" strike="noStrike" kern="1200" baseline="0">
                      <a:solidFill>
                        <a:srgbClr val="78787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6-0749-8103-F23CE13D000B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83C5B2B-C6CA-334C-A0BB-F0D70FA348DD}" type="CELLRANGE">
                      <a:rPr lang="en-GB"/>
                      <a:pPr>
                        <a:defRPr sz="830">
                          <a:solidFill>
                            <a:srgbClr val="8A8A8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6-0749-8103-F23CE13D000B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53D1BED-8743-0D49-932D-711F284DA78D}" type="CELLRANGE">
                      <a:rPr lang="en-GB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6-0749-8103-F23CE13D000B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2E286C8-8ED8-734D-9CAE-B48D605AF726}" type="CELLRANGE">
                      <a:rPr lang="en-GB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6-0749-8103-F23CE13D000B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F4133F0-A20D-3146-BA89-8F5046FA0FCE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6-0749-8103-F23CE13D000B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5" b="0" i="0" u="none" strike="noStrike" kern="1200" baseline="0">
                        <a:solidFill>
                          <a:srgbClr val="5B5B5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32AADE7-54FC-2D4F-884D-B5D6BFE384FC}" type="CELLRANGE">
                      <a:rPr lang="en-GB"/>
                      <a:pPr>
                        <a:defRPr sz="905">
                          <a:solidFill>
                            <a:srgbClr val="5B5B5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5" b="0" i="0" u="none" strike="noStrike" kern="1200" baseline="0">
                      <a:solidFill>
                        <a:srgbClr val="5B5B5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6-0749-8103-F23CE13D000B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902C61D-4BE4-4B44-9703-5464711EEED3}" type="CELLRANGE">
                      <a:rPr lang="en-GB"/>
                      <a:pPr>
                        <a:defRPr sz="98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6-0749-8103-F23CE13D000B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0" b="0" i="0" u="none" strike="noStrike" kern="1200" baseline="0">
                        <a:solidFill>
                          <a:srgbClr val="46464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C2E468C-C810-4442-9540-529EA9611416}" type="CELLRANGE">
                      <a:rPr lang="en-GB"/>
                      <a:pPr>
                        <a:defRPr sz="940">
                          <a:solidFill>
                            <a:srgbClr val="46464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0" b="0" i="0" u="none" strike="noStrike" kern="1200" baseline="0">
                      <a:solidFill>
                        <a:srgbClr val="46464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6-0749-8103-F23CE13D000B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5" b="0" i="0" u="none" strike="noStrike" kern="1200" baseline="0">
                        <a:solidFill>
                          <a:srgbClr val="43434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A3E3BDF-65F8-174B-A998-802C4E69B2FF}" type="CELLRANGE">
                      <a:rPr lang="en-GB"/>
                      <a:pPr>
                        <a:defRPr sz="945">
                          <a:solidFill>
                            <a:srgbClr val="43434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5" b="0" i="0" u="none" strike="noStrike" kern="1200" baseline="0">
                      <a:solidFill>
                        <a:srgbClr val="43434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6-0749-8103-F23CE13D000B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0BF580F-EE21-8841-8BF3-36DF5E07F602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6-0749-8103-F23CE13D000B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0" b="0" i="0" u="none" strike="noStrike" kern="1200" baseline="0">
                        <a:solidFill>
                          <a:srgbClr val="7D7D7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60CFC09-BE22-0441-A59B-5E4C093DEF4A}" type="CELLRANGE">
                      <a:rPr lang="en-GB"/>
                      <a:pPr>
                        <a:defRPr sz="850">
                          <a:solidFill>
                            <a:srgbClr val="7D7D7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0" b="0" i="0" u="none" strike="noStrike" kern="1200" baseline="0">
                      <a:solidFill>
                        <a:srgbClr val="7D7D7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6-0749-8103-F23CE13D000B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4949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6B51379-104A-5548-A31A-00EABF52A5B9}" type="CELLRANGE">
                      <a:rPr lang="en-GB"/>
                      <a:pPr>
                        <a:defRPr sz="815">
                          <a:solidFill>
                            <a:srgbClr val="94949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4949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6-0749-8103-F23CE13D000B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C0F678C-785A-BB42-B384-B0CAFA1989E1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6-0749-8103-F23CE13D000B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7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D30C02E-6A45-D244-AF8E-1F3023B9AFF4}" type="CELLRANGE">
                      <a:rPr lang="en-GB"/>
                      <a:pPr>
                        <a:defRPr sz="17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7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6-0749-8103-F23CE13D000B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EA15612-5062-5947-A8FD-8D9CB9239AAB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6-0749-8103-F23CE13D000B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97E336F-CE6A-B34E-AAEF-EB8CD7BCB1A4}" type="CELLRANGE">
                      <a:rPr lang="en-GB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6-0749-8103-F23CE13D000B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5" b="0" i="0" u="none" strike="noStrike" kern="1200" baseline="0">
                        <a:solidFill>
                          <a:srgbClr val="8E8E8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64785DA-7D6A-8B43-9603-0A9A548A164A}" type="CELLRANGE">
                      <a:rPr lang="en-GB"/>
                      <a:pPr>
                        <a:defRPr sz="825">
                          <a:solidFill>
                            <a:srgbClr val="8E8E8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5" b="0" i="0" u="none" strike="noStrike" kern="1200" baseline="0">
                      <a:solidFill>
                        <a:srgbClr val="8E8E8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6-0749-8103-F23CE13D000B}"/>
                </c:ext>
              </c:extLst>
            </c:dLbl>
            <c:dLbl>
              <c:idx val="4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70" b="0" i="0" u="none" strike="noStrike" kern="1200" baseline="0">
                        <a:solidFill>
                          <a:srgbClr val="72727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58E017C-0E08-0D47-B808-C09C6E8EC310}" type="CELLRANGE">
                      <a:rPr lang="en-GB"/>
                      <a:pPr>
                        <a:defRPr sz="870">
                          <a:solidFill>
                            <a:srgbClr val="727272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70" b="0" i="0" u="none" strike="noStrike" kern="1200" baseline="0">
                      <a:solidFill>
                        <a:srgbClr val="72727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6-0749-8103-F23CE13D000B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05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852D4F4-3D5B-C646-A392-50FAB2EDB471}" type="CELLRANGE">
                      <a:rPr lang="en-GB"/>
                      <a:pPr>
                        <a:defRPr sz="1005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5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6-0749-8103-F23CE13D000B}"/>
                </c:ext>
              </c:extLst>
            </c:dLbl>
            <c:dLbl>
              <c:idx val="4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ACB0659-A39F-3547-96AA-9FE400953E02}" type="CELLRANGE">
                      <a:rPr lang="en-GB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6-0749-8103-F23CE13D000B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90" b="0" i="0" u="none" strike="noStrike" kern="1200" baseline="0">
                        <a:solidFill>
                          <a:srgbClr val="34343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C80B5B2-1C1D-E74D-A3C9-127F3E96A60D}" type="CELLRANGE">
                      <a:rPr lang="en-GB"/>
                      <a:pPr>
                        <a:defRPr sz="1090">
                          <a:solidFill>
                            <a:srgbClr val="34343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90" b="0" i="0" u="none" strike="noStrike" kern="1200" baseline="0">
                      <a:solidFill>
                        <a:srgbClr val="34343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16-0749-8103-F23CE13D000B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1EFBA2F-A9E6-B64F-8127-B2B28229FB19}" type="CELLRANGE">
                      <a:rPr lang="en-GB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16-0749-8103-F23CE13D000B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5534848-5699-1743-B5D5-B1E12F8AB62E}" type="CELLRANGE">
                      <a:rPr lang="en-GB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16-0749-8103-F23CE13D000B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2ADD69F-8551-5946-8E3D-E82A04636C32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16-0749-8103-F23CE13D000B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0370768-2E54-794C-98F0-C41F0141FAE5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16-0749-8103-F23CE13D000B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20" b="0" i="0" u="none" strike="noStrike" kern="1200" baseline="0">
                        <a:solidFill>
                          <a:srgbClr val="3A3A3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F9C1E2D-7A1D-F442-B4D9-9F0EBCA4C1D7}" type="CELLRANGE">
                      <a:rPr lang="en-GB"/>
                      <a:pPr>
                        <a:defRPr sz="1020">
                          <a:solidFill>
                            <a:srgbClr val="3A3A3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20" b="0" i="0" u="none" strike="noStrike" kern="1200" baseline="0">
                      <a:solidFill>
                        <a:srgbClr val="3A3A3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16-0749-8103-F23CE13D000B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D5D5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1FC24C5-390E-6946-8A4D-CEAA73D7CF76}" type="CELLRANGE">
                      <a:rPr lang="en-GB"/>
                      <a:pPr>
                        <a:defRPr sz="900">
                          <a:solidFill>
                            <a:srgbClr val="5D5D5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D5D5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16-0749-8103-F23CE13D000B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2828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352E771-8115-4F45-B255-A17A9C496323}" type="CELLRANGE">
                      <a:rPr lang="en-GB"/>
                      <a:pPr>
                        <a:defRPr sz="845">
                          <a:solidFill>
                            <a:srgbClr val="828282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2828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16-0749-8103-F23CE13D000B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0B9D8ED-B8FA-D641-A2F0-52D1D45A3186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16-0749-8103-F23CE13D000B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D2AA91B-5B01-D348-B8B7-FB828A341C48}" type="CELLRANGE">
                      <a:rPr lang="en-GB"/>
                      <a:pPr>
                        <a:defRPr sz="101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16-0749-8103-F23CE13D000B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A76F034-F92D-8B4B-B3B4-BFBD9169BF7A}" type="CELLRANGE">
                      <a:rPr lang="en-GB"/>
                      <a:pPr>
                        <a:defRPr sz="97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16-0749-8103-F23CE13D000B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FEFEB16-B195-D748-B819-8987C14FF46F}" type="CELLRANGE">
                      <a:rPr lang="en-GB"/>
                      <a:pPr>
                        <a:defRPr sz="98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16-0749-8103-F23CE13D000B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28CF7B6-996C-4E44-A088-7E6A20FFA4D9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16-0749-8103-F23CE13D000B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B26BB1C-1987-524F-9FA8-AE279786047B}" type="CELLRANGE">
                      <a:rPr lang="en-GB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16-0749-8103-F23CE13D000B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3778E46-E03D-DC4F-85C8-7682CD5EE684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16-0749-8103-F23CE13D000B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16-0749-8103-F23CE13D000B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798023F-6C04-D64A-A680-9BCFBE46B273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16-0749-8103-F23CE13D000B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35" b="0" i="0" u="none" strike="noStrike" kern="1200" baseline="0">
                        <a:solidFill>
                          <a:srgbClr val="39393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9C6A575-559E-3243-AE69-47C4A1206C84}" type="CELLRANGE">
                      <a:rPr lang="en-GB"/>
                      <a:pPr>
                        <a:defRPr sz="1035">
                          <a:solidFill>
                            <a:srgbClr val="39393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35" b="0" i="0" u="none" strike="noStrike" kern="1200" baseline="0">
                      <a:solidFill>
                        <a:srgbClr val="39393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16-0749-8103-F23CE13D000B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4E27FDA-43F0-CF4C-989B-5BA7B749F0E8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16-0749-8103-F23CE13D000B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0" b="0" i="0" u="none" strike="noStrike" kern="1200" baseline="0">
                        <a:solidFill>
                          <a:srgbClr val="85858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DEAECD4-B4D3-C847-A3ED-7246BD3715E1}" type="CELLRANGE">
                      <a:rPr lang="en-GB"/>
                      <a:pPr>
                        <a:defRPr sz="840">
                          <a:solidFill>
                            <a:srgbClr val="858585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0" b="0" i="0" u="none" strike="noStrike" kern="1200" baseline="0">
                      <a:solidFill>
                        <a:srgbClr val="85858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16-0749-8103-F23CE13D000B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6BAB912-7FD5-EF40-9937-1B3F6DEF7BB3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16-0749-8103-F23CE13D000B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A6A6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CD903D0-1E61-B840-B58E-C7EE005C3D85}" type="CELLRANGE">
                      <a:rPr lang="en-GB"/>
                      <a:pPr>
                        <a:defRPr sz="880">
                          <a:solidFill>
                            <a:srgbClr val="6A6A6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A6A6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16-0749-8103-F23CE13D000B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B402FC7-E2C3-8842-8F42-C80F3EF7B1C0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16-0749-8103-F23CE13D000B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DCDEE3C-F6CF-EF46-B515-03F16F6CA66E}" type="CELLRANGE">
                      <a:rPr lang="en-GB"/>
                      <a:pPr>
                        <a:defRPr sz="885">
                          <a:solidFill>
                            <a:srgbClr val="68686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16-0749-8103-F23CE13D000B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5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A943ADC-BB92-6644-8420-FFE7159FA173}" type="CELLRANGE">
                      <a:rPr lang="en-GB"/>
                      <a:pPr>
                        <a:defRPr sz="995">
                          <a:solidFill>
                            <a:srgbClr val="3C3C3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5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16-0749-8103-F23CE13D000B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70" b="0" i="0" u="none" strike="noStrike" kern="1200" baseline="0">
                        <a:solidFill>
                          <a:srgbClr val="36363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6C7AB53-0E3D-064D-B771-E2D24FAB5AD8}" type="CELLRANGE">
                      <a:rPr lang="en-GB"/>
                      <a:pPr>
                        <a:defRPr sz="1070">
                          <a:solidFill>
                            <a:srgbClr val="36363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70" b="0" i="0" u="none" strike="noStrike" kern="1200" baseline="0">
                      <a:solidFill>
                        <a:srgbClr val="36363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16-0749-8103-F23CE13D000B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BA49277-1006-724D-8C48-31A414900310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16-0749-8103-F23CE13D000B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0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C0B3219-00AF-304C-9144-D1F65A5B1905}" type="CELLRANGE">
                      <a:rPr lang="en-GB"/>
                      <a:pPr>
                        <a:defRPr sz="100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16-0749-8103-F23CE13D000B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2DC9457-D665-FB4E-9DD9-47806361FEE5}" type="CELLRANGE">
                      <a:rPr lang="en-GB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16-0749-8103-F23CE13D000B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5" b="0" i="0" u="none" strike="noStrike" kern="1200" baseline="0">
                        <a:solidFill>
                          <a:srgbClr val="55555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A4DD117-CC2E-3142-B64C-1E0D138810DA}" type="CELLRANGE">
                      <a:rPr lang="en-GB"/>
                      <a:pPr>
                        <a:defRPr sz="915">
                          <a:solidFill>
                            <a:srgbClr val="555555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5" b="0" i="0" u="none" strike="noStrike" kern="1200" baseline="0">
                      <a:solidFill>
                        <a:srgbClr val="55555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16-0749-8103-F23CE13D000B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2DB83FB-252E-F349-94E1-F23E905BE268}" type="CELLRANGE">
                      <a:rPr lang="en-GB"/>
                      <a:pPr>
                        <a:defRPr sz="830">
                          <a:solidFill>
                            <a:srgbClr val="8A8A8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16-0749-8103-F23CE13D000B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147D30C-ED20-9F49-A942-6455E6009094}" type="CELLRANGE">
                      <a:rPr lang="en-GB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16-0749-8103-F23CE13D000B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95E366E-F945-BA44-95D6-B1347694F550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16-0749-8103-F23CE13D000B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70" b="0" i="0" u="none" strike="noStrike" kern="1200" baseline="0">
                        <a:solidFill>
                          <a:srgbClr val="73737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EAF740C-339A-394A-8BA0-E25BF8306CCB}" type="CELLRANGE">
                      <a:rPr lang="en-GB"/>
                      <a:pPr>
                        <a:defRPr sz="870">
                          <a:solidFill>
                            <a:srgbClr val="73737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70" b="0" i="0" u="none" strike="noStrike" kern="1200" baseline="0">
                      <a:solidFill>
                        <a:srgbClr val="73737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16-0749-8103-F23CE13D000B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6DB71AC-D9CC-1942-B8CA-69E87359E713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16-0749-8103-F23CE13D000B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65" b="0" i="0" u="none" strike="noStrike" kern="1200" baseline="0">
                        <a:solidFill>
                          <a:srgbClr val="74747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0A0F8FC-2F3F-1446-8960-C9C65596F39F}" type="CELLRANGE">
                      <a:rPr lang="en-GB"/>
                      <a:pPr>
                        <a:defRPr sz="865">
                          <a:solidFill>
                            <a:srgbClr val="74747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65" b="0" i="0" u="none" strike="noStrike" kern="1200" baseline="0">
                      <a:solidFill>
                        <a:srgbClr val="74747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16-0749-8103-F23CE13D000B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B9B9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4324FF9-1722-0D46-8622-A1E8325771B9}" type="CELLRANGE">
                      <a:rPr lang="en-GB"/>
                      <a:pPr>
                        <a:defRPr sz="805">
                          <a:solidFill>
                            <a:srgbClr val="9B9B9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B9B9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16-0749-8103-F23CE13D000B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53964D2-1148-554B-A28C-DA2BC91AD82B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16-0749-8103-F23CE13D000B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5" b="0" i="0" u="none" strike="noStrike" kern="1200" baseline="0">
                        <a:solidFill>
                          <a:srgbClr val="5B5B5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8D864BC-E7B4-E14F-B143-995A90DE3E70}" type="CELLRANGE">
                      <a:rPr lang="en-GB"/>
                      <a:pPr>
                        <a:defRPr sz="905">
                          <a:solidFill>
                            <a:srgbClr val="5B5B5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5" b="0" i="0" u="none" strike="noStrike" kern="1200" baseline="0">
                      <a:solidFill>
                        <a:srgbClr val="5B5B5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16-0749-8103-F23CE13D000B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A7B948A-1356-D14D-8C25-3B2204C6FDB6}" type="CELLRANGE">
                      <a:rPr lang="en-GB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16-0749-8103-F23CE13D000B}"/>
                </c:ext>
              </c:extLst>
            </c:dLbl>
            <c:dLbl>
              <c:idx val="9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2929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E66F3C-2A7D-5548-A209-2D3D13B806C5}" type="CELLRANGE">
                      <a:rPr lang="en-GB"/>
                      <a:pPr>
                        <a:defRPr sz="820">
                          <a:solidFill>
                            <a:srgbClr val="929292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2929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16-0749-8103-F23CE13D000B}"/>
                </c:ext>
              </c:extLst>
            </c:dLbl>
            <c:dLbl>
              <c:idx val="9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30650CC-9153-834A-BBE4-C7CE1E2A0F1F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16-0749-8103-F23CE13D000B}"/>
                </c:ext>
              </c:extLst>
            </c:dLbl>
            <c:dLbl>
              <c:idx val="9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095FFFC-BC9B-4249-9644-A1F075A3F788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16-0749-8103-F23CE13D000B}"/>
                </c:ext>
              </c:extLst>
            </c:dLbl>
            <c:dLbl>
              <c:idx val="9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6A9BA44-5DA9-7D4B-BB48-B04E9FCD837B}" type="CELLRANGE">
                      <a:rPr lang="en-GB"/>
                      <a:pPr>
                        <a:defRPr sz="820">
                          <a:solidFill>
                            <a:srgbClr val="93939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16-0749-8103-F23CE13D000B}"/>
                </c:ext>
              </c:extLst>
            </c:dLbl>
            <c:dLbl>
              <c:idx val="9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8989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719B4C3-0B9D-FD49-A140-ECDFC68AFDC8}" type="CELLRANGE">
                      <a:rPr lang="en-GB"/>
                      <a:pPr>
                        <a:defRPr sz="810">
                          <a:solidFill>
                            <a:srgbClr val="98989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8989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16-0749-8103-F23CE13D000B}"/>
                </c:ext>
              </c:extLst>
            </c:dLbl>
            <c:dLbl>
              <c:idx val="9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6795656-DB1B-FA4F-998E-C42CBBC11871}" type="CELLRANGE">
                      <a:rPr lang="en-GB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16-0749-8103-F23CE13D000B}"/>
                </c:ext>
              </c:extLst>
            </c:dLbl>
            <c:dLbl>
              <c:idx val="9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95F3AD3-9A13-654B-B730-37E3AD68866D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16-0749-8103-F23CE13D000B}"/>
                </c:ext>
              </c:extLst>
            </c:dLbl>
            <c:dLbl>
              <c:idx val="9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733C75A-7ABC-084C-8034-5EAC53667257}" type="CELLRANGE">
                      <a:rPr lang="en-GB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16-0749-8103-F23CE13D000B}"/>
                </c:ext>
              </c:extLst>
            </c:dLbl>
            <c:dLbl>
              <c:idx val="9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A7A7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18CB985-2BE7-884B-8F9B-1A7DB4AFC0D1}" type="CELLRANGE">
                      <a:rPr lang="en-GB"/>
                      <a:pPr>
                        <a:defRPr sz="855">
                          <a:solidFill>
                            <a:srgbClr val="7A7A7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A7A7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16-0749-8103-F23CE13D000B}"/>
                </c:ext>
              </c:extLst>
            </c:dLbl>
            <c:dLbl>
              <c:idx val="9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1BACD18-8B60-3C4C-BE47-36EDEAFA9DBE}" type="CELLRANGE">
                      <a:rPr lang="en-GB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16-0749-8103-F23CE13D000B}"/>
                </c:ext>
              </c:extLst>
            </c:dLbl>
            <c:dLbl>
              <c:idx val="10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631ACC5-259C-7D4E-973B-73666BE4BE59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16-0749-8103-F23CE13D000B}"/>
                </c:ext>
              </c:extLst>
            </c:dLbl>
            <c:dLbl>
              <c:idx val="10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64CDA15-3285-6441-99E7-77BAC023B696}" type="CELLRANGE">
                      <a:rPr lang="en-GB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16-0749-8103-F23CE13D000B}"/>
                </c:ext>
              </c:extLst>
            </c:dLbl>
            <c:dLbl>
              <c:idx val="10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60" b="0" i="0" u="none" strike="noStrike" kern="1200" baseline="0">
                        <a:solidFill>
                          <a:srgbClr val="36363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9C51CC2-87D9-7345-B3BF-AC16D6A5AF9B}" type="CELLRANGE">
                      <a:rPr lang="en-GB"/>
                      <a:pPr>
                        <a:defRPr sz="1060">
                          <a:solidFill>
                            <a:srgbClr val="36363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60" b="0" i="0" u="none" strike="noStrike" kern="1200" baseline="0">
                      <a:solidFill>
                        <a:srgbClr val="36363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16-0749-8103-F23CE13D000B}"/>
                </c:ext>
              </c:extLst>
            </c:dLbl>
            <c:dLbl>
              <c:idx val="10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7979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CB0F66B-8AE9-654A-B589-6DDED19BCDDA}" type="CELLRANGE">
                      <a:rPr lang="en-GB"/>
                      <a:pPr>
                        <a:defRPr sz="810">
                          <a:solidFill>
                            <a:srgbClr val="97979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7979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16-0749-8103-F23CE13D000B}"/>
                </c:ext>
              </c:extLst>
            </c:dLbl>
            <c:dLbl>
              <c:idx val="10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3254C72-2A0F-6F4B-90FA-805098EA55BE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16-0749-8103-F23CE13D000B}"/>
                </c:ext>
              </c:extLst>
            </c:dLbl>
            <c:dLbl>
              <c:idx val="10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E223B5D-FF90-4B4F-B2A4-603CCB59CAFE}" type="CELLRANGE">
                      <a:rPr lang="en-GB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16-0749-8103-F23CE13D000B}"/>
                </c:ext>
              </c:extLst>
            </c:dLbl>
            <c:dLbl>
              <c:idx val="10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F2453FE-9F7D-0C48-9F5B-A8AF3CBACD13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16-0749-8103-F23CE13D000B}"/>
                </c:ext>
              </c:extLst>
            </c:dLbl>
            <c:dLbl>
              <c:idx val="10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D5D5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BAEDCBF-6729-0E4C-9882-DA5712B36466}" type="CELLRANGE">
                      <a:rPr lang="en-GB"/>
                      <a:pPr>
                        <a:defRPr sz="900">
                          <a:solidFill>
                            <a:srgbClr val="5D5D5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D5D5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16-0749-8103-F23CE13D000B}"/>
                </c:ext>
              </c:extLst>
            </c:dLbl>
            <c:dLbl>
              <c:idx val="10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8A2EA6C-6868-4F41-BDB7-E4EEA842E118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16-0749-8103-F23CE13D000B}"/>
                </c:ext>
              </c:extLst>
            </c:dLbl>
            <c:dLbl>
              <c:idx val="10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0" b="0" i="0" u="none" strike="noStrike" kern="1200" baseline="0">
                        <a:solidFill>
                          <a:srgbClr val="7F7F7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7907FC6-0404-8247-812A-44F5D98BDBF0}" type="CELLRANGE">
                      <a:rPr lang="en-GB"/>
                      <a:pPr>
                        <a:defRPr sz="850">
                          <a:solidFill>
                            <a:srgbClr val="7F7F7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0" b="0" i="0" u="none" strike="noStrike" kern="1200" baseline="0">
                      <a:solidFill>
                        <a:srgbClr val="7F7F7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16-0749-8103-F23CE13D000B}"/>
                </c:ext>
              </c:extLst>
            </c:dLbl>
            <c:dLbl>
              <c:idx val="1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0" b="0" i="0" u="none" strike="noStrike" kern="1200" baseline="0">
                        <a:solidFill>
                          <a:srgbClr val="86868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C0A0909-B5E3-A54C-80F2-BA3AF50A00AF}" type="CELLRANGE">
                      <a:rPr lang="en-GB"/>
                      <a:pPr>
                        <a:defRPr sz="840">
                          <a:solidFill>
                            <a:srgbClr val="86868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0" b="0" i="0" u="none" strike="noStrike" kern="1200" baseline="0">
                      <a:solidFill>
                        <a:srgbClr val="86868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16-0749-8103-F23CE13D000B}"/>
                </c:ext>
              </c:extLst>
            </c:dLbl>
            <c:dLbl>
              <c:idx val="1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D9D9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873C122-AB07-9543-8E17-0FC6074C30D5}" type="CELLRANGE">
                      <a:rPr lang="en-GB"/>
                      <a:pPr>
                        <a:defRPr sz="800">
                          <a:solidFill>
                            <a:srgbClr val="9D9D9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D9D9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16-0749-8103-F23CE13D000B}"/>
                </c:ext>
              </c:extLst>
            </c:dLbl>
            <c:dLbl>
              <c:idx val="1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9999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0002583-5CD4-044E-A4A8-95650674723C}" type="CELLRANGE">
                      <a:rPr lang="en-GB"/>
                      <a:pPr>
                        <a:defRPr sz="810">
                          <a:solidFill>
                            <a:srgbClr val="99999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9999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16-0749-8103-F23CE13D000B}"/>
                </c:ext>
              </c:extLst>
            </c:dLbl>
            <c:dLbl>
              <c:idx val="1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FAD52FC-4764-D146-86CD-937117DAE09B}" type="CELLRANGE">
                      <a:rPr lang="en-GB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16-0749-8103-F23CE13D000B}"/>
                </c:ext>
              </c:extLst>
            </c:dLbl>
            <c:dLbl>
              <c:idx val="1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16-0749-8103-F23CE13D000B}"/>
                </c:ext>
              </c:extLst>
            </c:dLbl>
            <c:dLbl>
              <c:idx val="1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8D96F2D-A57F-5C4E-90C2-F747C30587E6}" type="CELLRANGE">
                      <a:rPr lang="en-GB"/>
                      <a:pPr>
                        <a:defRPr sz="805">
                          <a:solidFill>
                            <a:srgbClr val="9A9A9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16-0749-8103-F23CE13D000B}"/>
                </c:ext>
              </c:extLst>
            </c:dLbl>
            <c:dLbl>
              <c:idx val="1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0D50F13-5AB2-0945-8A92-E7ECB2BB15B0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16-0749-8103-F23CE13D000B}"/>
                </c:ext>
              </c:extLst>
            </c:dLbl>
            <c:dLbl>
              <c:idx val="1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1A118D0-AB96-2D47-9BEC-9FB5F1332D1D}" type="CELLRANGE">
                      <a:rPr lang="en-GB"/>
                      <a:pPr>
                        <a:defRPr sz="97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16-0749-8103-F23CE13D000B}"/>
                </c:ext>
              </c:extLst>
            </c:dLbl>
            <c:dLbl>
              <c:idx val="1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16-0749-8103-F23CE13D000B}"/>
                </c:ext>
              </c:extLst>
            </c:dLbl>
            <c:dLbl>
              <c:idx val="119"/>
              <c:layout>
                <c:manualLayout>
                  <c:x val="-4.0319459599625615E-2"/>
                  <c:y val="1.337977273349810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5BC4BE9-38B3-054D-A47B-737A35BFC1A1}" type="CELLRANGE">
                      <a:rPr lang="en-US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F-9D16-0749-8103-F23CE13D000B}"/>
                </c:ext>
              </c:extLst>
            </c:dLbl>
            <c:dLbl>
              <c:idx val="1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D9D9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E65EC4E-4A1C-2040-9D6C-FAE25CA36AD6}" type="CELLRANGE">
                      <a:rPr lang="en-GB"/>
                      <a:pPr>
                        <a:defRPr sz="800">
                          <a:solidFill>
                            <a:srgbClr val="9D9D9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D9D9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16-0749-8103-F23CE13D000B}"/>
                </c:ext>
              </c:extLst>
            </c:dLbl>
            <c:dLbl>
              <c:idx val="1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6072A3B-9752-F845-ABDB-5A139376B78B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16-0749-8103-F23CE13D000B}"/>
                </c:ext>
              </c:extLst>
            </c:dLbl>
            <c:dLbl>
              <c:idx val="1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2E31550-2C8F-1945-A1FA-34F10873D788}" type="CELLRANGE">
                      <a:rPr lang="en-GB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16-0749-8103-F23CE13D000B}"/>
                </c:ext>
              </c:extLst>
            </c:dLbl>
            <c:dLbl>
              <c:idx val="1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7167233-93B9-3449-9D71-431160A0579D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16-0749-8103-F23CE13D000B}"/>
                </c:ext>
              </c:extLst>
            </c:dLbl>
            <c:dLbl>
              <c:idx val="1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4949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6CF238E-96C7-3C44-8B37-85884462630C}" type="CELLRANGE">
                      <a:rPr lang="en-GB"/>
                      <a:pPr>
                        <a:defRPr sz="815">
                          <a:solidFill>
                            <a:srgbClr val="94949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4949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16-0749-8103-F23CE13D000B}"/>
                </c:ext>
              </c:extLst>
            </c:dLbl>
            <c:dLbl>
              <c:idx val="1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9B51045-4E87-EA43-89CD-F584F565CDC8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16-0749-8103-F23CE13D000B}"/>
                </c:ext>
              </c:extLst>
            </c:dLbl>
            <c:dLbl>
              <c:idx val="1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0" b="0" i="0" u="none" strike="noStrike" kern="1200" baseline="0">
                        <a:solidFill>
                          <a:srgbClr val="58585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C58AEC9-8A89-EA44-96B9-C0D9367FEFE4}" type="CELLRANGE">
                      <a:rPr lang="en-GB"/>
                      <a:pPr>
                        <a:defRPr sz="910">
                          <a:solidFill>
                            <a:srgbClr val="58585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0" b="0" i="0" u="none" strike="noStrike" kern="1200" baseline="0">
                      <a:solidFill>
                        <a:srgbClr val="58585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16-0749-8103-F23CE13D000B}"/>
                </c:ext>
              </c:extLst>
            </c:dLbl>
            <c:dLbl>
              <c:idx val="1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9696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86DF75E-C951-B545-9F03-24F0A3007BBC}" type="CELLRANGE">
                      <a:rPr lang="en-GB"/>
                      <a:pPr>
                        <a:defRPr sz="885">
                          <a:solidFill>
                            <a:srgbClr val="69696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9696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16-0749-8103-F23CE13D000B}"/>
                </c:ext>
              </c:extLst>
            </c:dLbl>
            <c:dLbl>
              <c:idx val="128"/>
              <c:layout>
                <c:manualLayout>
                  <c:x val="1.2710169406551496E-4"/>
                  <c:y val="1.337977273349810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F9051D4-ABD9-7245-9769-61533EA1B7E3}" type="CELLRANGE">
                      <a:rPr lang="en-US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1-9D16-0749-8103-F23CE13D000B}"/>
                </c:ext>
              </c:extLst>
            </c:dLbl>
            <c:dLbl>
              <c:idx val="1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9B98D65-E039-9644-8C21-6A679AA27FFA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16-0749-8103-F23CE13D000B}"/>
                </c:ext>
              </c:extLst>
            </c:dLbl>
            <c:dLbl>
              <c:idx val="1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35" b="0" i="0" u="none" strike="noStrike" kern="1200" baseline="0">
                        <a:solidFill>
                          <a:srgbClr val="48484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CDB0CBF-A989-0E49-B95E-E74C4A565C5D}" type="CELLRANGE">
                      <a:rPr lang="en-GB"/>
                      <a:pPr>
                        <a:defRPr sz="935">
                          <a:solidFill>
                            <a:srgbClr val="48484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35" b="0" i="0" u="none" strike="noStrike" kern="1200" baseline="0">
                      <a:solidFill>
                        <a:srgbClr val="48484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16-0749-8103-F23CE13D000B}"/>
                </c:ext>
              </c:extLst>
            </c:dLbl>
            <c:dLbl>
              <c:idx val="1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1716A54-6904-C94D-8C58-54AD998E1967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16-0749-8103-F23CE13D000B}"/>
                </c:ext>
              </c:extLst>
            </c:dLbl>
            <c:dLbl>
              <c:idx val="1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6BE11FD-795B-504D-BED3-20675B3B9F72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16-0749-8103-F23CE13D000B}"/>
                </c:ext>
              </c:extLst>
            </c:dLbl>
            <c:dLbl>
              <c:idx val="1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E3AD13F-8B98-C940-9C09-3103DD56E7E7}" type="CELLRANGE">
                      <a:rPr lang="en-GB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16-0749-8103-F23CE13D000B}"/>
                </c:ext>
              </c:extLst>
            </c:dLbl>
            <c:dLbl>
              <c:idx val="1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4BAC93E-9682-9C4B-9B3B-414ED8B631A3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16-0749-8103-F23CE13D000B}"/>
                </c:ext>
              </c:extLst>
            </c:dLbl>
            <c:dLbl>
              <c:idx val="1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835E252-07E7-974B-8AA0-979031CA8FAD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16-0749-8103-F23CE13D000B}"/>
                </c:ext>
              </c:extLst>
            </c:dLbl>
            <c:dLbl>
              <c:idx val="1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7878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56359F2-E4F3-AD4A-A1EA-BA3622209E13}" type="CELLRANGE">
                      <a:rPr lang="en-GB"/>
                      <a:pPr>
                        <a:defRPr sz="835">
                          <a:solidFill>
                            <a:srgbClr val="87878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7878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16-0749-8103-F23CE13D000B}"/>
                </c:ext>
              </c:extLst>
            </c:dLbl>
            <c:dLbl>
              <c:idx val="1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A517B27-B5A7-074B-835D-400EC1B0E4E3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16-0749-8103-F23CE13D000B}"/>
                </c:ext>
              </c:extLst>
            </c:dLbl>
            <c:dLbl>
              <c:idx val="13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75D6E47-F0B9-5A4D-82A7-C1445DECD7DE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16-0749-8103-F23CE13D000B}"/>
                </c:ext>
              </c:extLst>
            </c:dLbl>
            <c:dLbl>
              <c:idx val="13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1813920-7C15-E94B-9757-634FE4482B9C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16-0749-8103-F23CE13D000B}"/>
                </c:ext>
              </c:extLst>
            </c:dLbl>
            <c:dLbl>
              <c:idx val="14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C840EE4-AC0C-4945-AA8C-691945ECFD80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16-0749-8103-F23CE13D000B}"/>
                </c:ext>
              </c:extLst>
            </c:dLbl>
            <c:dLbl>
              <c:idx val="14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0" b="0" i="0" u="none" strike="noStrike" kern="1200" baseline="0">
                        <a:solidFill>
                          <a:srgbClr val="46464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32821DE-8D1A-0D48-B176-DA09953DC57E}" type="CELLRANGE">
                      <a:rPr lang="en-GB"/>
                      <a:pPr>
                        <a:defRPr sz="940">
                          <a:solidFill>
                            <a:srgbClr val="46464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0" b="0" i="0" u="none" strike="noStrike" kern="1200" baseline="0">
                      <a:solidFill>
                        <a:srgbClr val="46464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16-0749-8103-F23CE13D000B}"/>
                </c:ext>
              </c:extLst>
            </c:dLbl>
            <c:dLbl>
              <c:idx val="14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3F2C7B1-B0C7-1845-AFE3-2B174571C5BE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16-0749-8103-F23CE13D000B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0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D0A714F-75D7-B149-A5AE-E533368DFFB7}" type="CELLRANGE">
                      <a:rPr lang="en-GB"/>
                      <a:pPr>
                        <a:defRPr sz="990">
                          <a:solidFill>
                            <a:srgbClr val="3C3C3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0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16-0749-8103-F23CE13D000B}"/>
                </c:ext>
              </c:extLst>
            </c:dLbl>
            <c:dLbl>
              <c:idx val="14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572410C-912A-574E-86BA-E5F824B10BAB}" type="CELLRANGE">
                      <a:rPr lang="en-GB"/>
                      <a:pPr>
                        <a:defRPr sz="800">
                          <a:solidFill>
                            <a:srgbClr val="9E9E9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16-0749-8103-F23CE13D000B}"/>
                </c:ext>
              </c:extLst>
            </c:dLbl>
            <c:dLbl>
              <c:idx val="14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919B088-E053-304C-B9F5-5C33A6A5CE72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16-0749-8103-F23CE13D000B}"/>
                </c:ext>
              </c:extLst>
            </c:dLbl>
            <c:dLbl>
              <c:idx val="14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9BF4E60-ECEF-AE41-A1FA-191CAE318C4E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16-0749-8103-F23CE13D000B}"/>
                </c:ext>
              </c:extLst>
            </c:dLbl>
            <c:dLbl>
              <c:idx val="14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16-0749-8103-F23CE13D000B}"/>
                </c:ext>
              </c:extLst>
            </c:dLbl>
            <c:dLbl>
              <c:idx val="14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8989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A757272-456C-CF47-B0CC-ED86D841292E}" type="CELLRANGE">
                      <a:rPr lang="en-GB"/>
                      <a:pPr>
                        <a:defRPr sz="810">
                          <a:solidFill>
                            <a:srgbClr val="98989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8989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16-0749-8103-F23CE13D000B}"/>
                </c:ext>
              </c:extLst>
            </c:dLbl>
            <c:dLbl>
              <c:idx val="14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74322D6-5B8E-1B44-AFFB-D5DAE81ECF6B}" type="CELLRANGE">
                      <a:rPr lang="en-GB"/>
                      <a:pPr>
                        <a:defRPr sz="101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16-0749-8103-F23CE13D000B}"/>
                </c:ext>
              </c:extLst>
            </c:dLbl>
            <c:dLbl>
              <c:idx val="15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581F356-7212-6B4F-8AF6-13AF732C70D7}" type="CELLRANGE">
                      <a:rPr lang="en-GB"/>
                      <a:pPr>
                        <a:defRPr sz="820">
                          <a:solidFill>
                            <a:srgbClr val="93939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9D16-0749-8103-F23CE13D000B}"/>
                </c:ext>
              </c:extLst>
            </c:dLbl>
            <c:dLbl>
              <c:idx val="15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54C2590-5041-554F-BD63-EFF579F07D1C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9D16-0749-8103-F23CE13D000B}"/>
                </c:ext>
              </c:extLst>
            </c:dLbl>
            <c:dLbl>
              <c:idx val="15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384C814-12C1-024B-B07E-E33FDED95D82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9D16-0749-8103-F23CE13D000B}"/>
                </c:ext>
              </c:extLst>
            </c:dLbl>
            <c:dLbl>
              <c:idx val="15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7D251EB-D14D-294A-8A44-73E89B0763AF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9D16-0749-8103-F23CE13D000B}"/>
                </c:ext>
              </c:extLst>
            </c:dLbl>
            <c:dLbl>
              <c:idx val="15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2AA7BB1-A37E-DA4B-BC6E-E2ACF984C5CF}" type="CELLRANGE">
                      <a:rPr lang="en-GB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9D16-0749-8103-F23CE13D000B}"/>
                </c:ext>
              </c:extLst>
            </c:dLbl>
            <c:dLbl>
              <c:idx val="15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20" b="0" i="0" u="none" strike="noStrike" kern="1200" baseline="0">
                        <a:solidFill>
                          <a:srgbClr val="53535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8C7D639-AF20-6048-BE74-8655CC173477}" type="CELLRANGE">
                      <a:rPr lang="en-GB"/>
                      <a:pPr>
                        <a:defRPr sz="920">
                          <a:solidFill>
                            <a:srgbClr val="53535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20" b="0" i="0" u="none" strike="noStrike" kern="1200" baseline="0">
                      <a:solidFill>
                        <a:srgbClr val="53535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9D16-0749-8103-F23CE13D000B}"/>
                </c:ext>
              </c:extLst>
            </c:dLbl>
            <c:dLbl>
              <c:idx val="15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19A1E62-E15A-DD4F-A102-4E76D7F77460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9D16-0749-8103-F23CE13D000B}"/>
                </c:ext>
              </c:extLst>
            </c:dLbl>
            <c:dLbl>
              <c:idx val="15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A670EC5-F1CC-1D45-AE1E-1480509B0057}" type="CELLRANGE">
                      <a:rPr lang="en-GB"/>
                      <a:pPr>
                        <a:defRPr sz="800">
                          <a:solidFill>
                            <a:srgbClr val="9E9E9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9D16-0749-8103-F23CE13D000B}"/>
                </c:ext>
              </c:extLst>
            </c:dLbl>
            <c:dLbl>
              <c:idx val="15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0FD9A5D-9E87-5541-B81F-0400C4192D03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9D16-0749-8103-F23CE13D000B}"/>
                </c:ext>
              </c:extLst>
            </c:dLbl>
            <c:dLbl>
              <c:idx val="15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8888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3C665F6-FE33-4641-AC32-14BFD47ABF76}" type="CELLRANGE">
                      <a:rPr lang="en-GB"/>
                      <a:pPr>
                        <a:defRPr sz="835">
                          <a:solidFill>
                            <a:srgbClr val="88888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8888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9D16-0749-8103-F23CE13D000B}"/>
                </c:ext>
              </c:extLst>
            </c:dLbl>
            <c:dLbl>
              <c:idx val="16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9B96DCA-D8BC-A24A-9898-1A75BBD5EBEF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9D16-0749-8103-F23CE13D000B}"/>
                </c:ext>
              </c:extLst>
            </c:dLbl>
            <c:dLbl>
              <c:idx val="16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F9C5B6B-A7D3-3440-9E24-4B610571C193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9D16-0749-8103-F23CE13D000B}"/>
                </c:ext>
              </c:extLst>
            </c:dLbl>
            <c:dLbl>
              <c:idx val="16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FCFBF7A-6E55-5446-BCF1-E59DBAE8B0E1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9D16-0749-8103-F23CE13D000B}"/>
                </c:ext>
              </c:extLst>
            </c:dLbl>
            <c:dLbl>
              <c:idx val="16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9861FBD-E351-DC47-BF21-CACCBBDE008C}" type="CELLRANGE">
                      <a:rPr lang="en-GB"/>
                      <a:pPr>
                        <a:defRPr sz="800">
                          <a:solidFill>
                            <a:srgbClr val="A0A0A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9D16-0749-8103-F23CE13D000B}"/>
                </c:ext>
              </c:extLst>
            </c:dLbl>
            <c:dLbl>
              <c:idx val="16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C71E648-92C9-D144-B563-BB815C1B7C66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9D16-0749-8103-F23CE13D000B}"/>
                </c:ext>
              </c:extLst>
            </c:dLbl>
            <c:dLbl>
              <c:idx val="16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9898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61E2C31-FC97-764E-992F-5D9ADF230572}" type="CELLRANGE">
                      <a:rPr lang="en-GB"/>
                      <a:pPr>
                        <a:defRPr sz="835">
                          <a:solidFill>
                            <a:srgbClr val="89898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9898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9D16-0749-8103-F23CE13D000B}"/>
                </c:ext>
              </c:extLst>
            </c:dLbl>
            <c:dLbl>
              <c:idx val="16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CEC53D6-E681-014B-8AAA-85FEF2450AB1}" type="CELLRANGE">
                      <a:rPr lang="en-GB"/>
                      <a:pPr>
                        <a:defRPr sz="800">
                          <a:solidFill>
                            <a:srgbClr val="A0A0A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9D16-0749-8103-F23CE13D000B}"/>
                </c:ext>
              </c:extLst>
            </c:dLbl>
            <c:dLbl>
              <c:idx val="16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0" b="0" i="0" u="none" strike="noStrike" kern="1200" baseline="0">
                        <a:solidFill>
                          <a:srgbClr val="64646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30C3B39-FA24-7941-B695-98F8FF2199D5}" type="CELLRANGE">
                      <a:rPr lang="en-GB"/>
                      <a:pPr>
                        <a:defRPr sz="890">
                          <a:solidFill>
                            <a:srgbClr val="646464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0" b="0" i="0" u="none" strike="noStrike" kern="1200" baseline="0">
                      <a:solidFill>
                        <a:srgbClr val="64646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9D16-0749-8103-F23CE13D000B}"/>
                </c:ext>
              </c:extLst>
            </c:dLbl>
            <c:dLbl>
              <c:idx val="16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D0E135E-105B-9D4F-9785-FA11EE6E445B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9D16-0749-8103-F23CE13D000B}"/>
                </c:ext>
              </c:extLst>
            </c:dLbl>
            <c:dLbl>
              <c:idx val="16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565E97D-E35E-DE4B-8063-8F6C51D0A5A8}" type="CELLRANGE">
                      <a:rPr lang="en-GB"/>
                      <a:pPr>
                        <a:defRPr sz="885">
                          <a:solidFill>
                            <a:srgbClr val="68686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9D16-0749-8103-F23CE13D000B}"/>
                </c:ext>
              </c:extLst>
            </c:dLbl>
            <c:dLbl>
              <c:idx val="17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9602177-FBD0-8046-9A78-988C043A181E}" type="CELLRANGE">
                      <a:rPr lang="en-GB"/>
                      <a:pPr>
                        <a:defRPr sz="800">
                          <a:solidFill>
                            <a:srgbClr val="9F9F9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9D16-0749-8103-F23CE13D000B}"/>
                </c:ext>
              </c:extLst>
            </c:dLbl>
            <c:dLbl>
              <c:idx val="17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F5F5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2052A6C-1C55-CA41-A2BE-65C29E596C3E}" type="CELLRANGE">
                      <a:rPr lang="en-GB"/>
                      <a:pPr>
                        <a:defRPr sz="900">
                          <a:solidFill>
                            <a:srgbClr val="5F5F5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F5F5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9D16-0749-8103-F23CE13D000B}"/>
                </c:ext>
              </c:extLst>
            </c:dLbl>
            <c:dLbl>
              <c:idx val="17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9D16-0749-8103-F23CE13D000B}"/>
                </c:ext>
              </c:extLst>
            </c:dLbl>
            <c:dLbl>
              <c:idx val="17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696958C-C047-324B-AEE3-4C57213D9D29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9D16-0749-8103-F23CE13D000B}"/>
                </c:ext>
              </c:extLst>
            </c:dLbl>
            <c:dLbl>
              <c:idx val="17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7C8B0B8-E95A-B14C-B637-67922D832B6A}" type="CELLRANGE">
                      <a:rPr lang="en-GB"/>
                      <a:pPr>
                        <a:defRPr sz="800">
                          <a:solidFill>
                            <a:srgbClr val="9E9E9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9D16-0749-8103-F23CE13D000B}"/>
                </c:ext>
              </c:extLst>
            </c:dLbl>
            <c:dLbl>
              <c:idx val="17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5959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429B043-CC49-4B46-A547-0EAC9530A3EC}" type="CELLRANGE">
                      <a:rPr lang="en-GB"/>
                      <a:pPr>
                        <a:defRPr sz="815">
                          <a:solidFill>
                            <a:srgbClr val="959595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5959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9D16-0749-8103-F23CE13D000B}"/>
                </c:ext>
              </c:extLst>
            </c:dLbl>
            <c:dLbl>
              <c:idx val="17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5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E08D294-33BF-2642-9FE0-4E1C04D222DA}" type="CELLRANGE">
                      <a:rPr lang="en-GB"/>
                      <a:pPr>
                        <a:defRPr sz="995">
                          <a:solidFill>
                            <a:srgbClr val="3C3C3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5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9D16-0749-8103-F23CE13D000B}"/>
                </c:ext>
              </c:extLst>
            </c:dLbl>
            <c:dLbl>
              <c:idx val="17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96541F6-D3F1-6A4D-BE57-E20415FEF8B9}" type="CELLRANGE">
                      <a:rPr lang="en-GB"/>
                      <a:pPr>
                        <a:defRPr sz="800">
                          <a:solidFill>
                            <a:srgbClr val="A0A0A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9D16-0749-8103-F23CE13D000B}"/>
                </c:ext>
              </c:extLst>
            </c:dLbl>
            <c:dLbl>
              <c:idx val="17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5" b="0" i="0" u="none" strike="noStrike" kern="1200" baseline="0">
                        <a:solidFill>
                          <a:srgbClr val="8F8F8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DB2B57F-4973-C346-A587-A6AA35FFF128}" type="CELLRANGE">
                      <a:rPr lang="en-GB"/>
                      <a:pPr>
                        <a:defRPr sz="825">
                          <a:solidFill>
                            <a:srgbClr val="8F8F8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5" b="0" i="0" u="none" strike="noStrike" kern="1200" baseline="0">
                      <a:solidFill>
                        <a:srgbClr val="8F8F8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9D16-0749-8103-F23CE13D000B}"/>
                </c:ext>
              </c:extLst>
            </c:dLbl>
            <c:dLbl>
              <c:idx val="17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7EB85-7FFE-CE4A-8835-5AA2A2E156FB}" type="CELLRANGE">
                      <a:rPr lang="en-GB"/>
                      <a:pPr>
                        <a:defRPr sz="965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9D16-0749-8103-F23CE13D000B}"/>
                </c:ext>
              </c:extLst>
            </c:dLbl>
            <c:dLbl>
              <c:idx val="18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C6C6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33C144B-7D5D-A745-A9E4-40B639C60451}" type="CELLRANGE">
                      <a:rPr lang="en-GB"/>
                      <a:pPr>
                        <a:defRPr sz="880">
                          <a:solidFill>
                            <a:srgbClr val="6C6C6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C6C6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9D16-0749-8103-F23CE13D000B}"/>
                </c:ext>
              </c:extLst>
            </c:dLbl>
            <c:dLbl>
              <c:idx val="18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2A6F7BB-5105-EE4A-A251-272D37BEDD63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9D16-0749-8103-F23CE13D000B}"/>
                </c:ext>
              </c:extLst>
            </c:dLbl>
            <c:dLbl>
              <c:idx val="18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6947CFD-DAE4-3848-B9DC-F2206DF78973}" type="CELLRANGE">
                      <a:rPr lang="en-GB"/>
                      <a:pPr>
                        <a:defRPr sz="96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9D16-0749-8103-F23CE13D000B}"/>
                </c:ext>
              </c:extLst>
            </c:dLbl>
            <c:dLbl>
              <c:idx val="18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D0E95CC-B851-3C48-98B5-53287570CFBD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9D16-0749-8103-F23CE13D000B}"/>
                </c:ext>
              </c:extLst>
            </c:dLbl>
            <c:dLbl>
              <c:idx val="18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F05D8DA-1C81-2C4D-B3F4-A0CBE4AECCBE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9D16-0749-8103-F23CE13D000B}"/>
                </c:ext>
              </c:extLst>
            </c:dLbl>
            <c:dLbl>
              <c:idx val="18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152C5B2-0BAA-324A-8870-D255DD149BCB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9D16-0749-8103-F23CE13D000B}"/>
                </c:ext>
              </c:extLst>
            </c:dLbl>
            <c:dLbl>
              <c:idx val="18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6BFB3BE-0754-6641-B68D-89301A9483C7}" type="CELLRANGE">
                      <a:rPr lang="en-GB"/>
                      <a:pPr>
                        <a:defRPr sz="830">
                          <a:solidFill>
                            <a:srgbClr val="8A8A8A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9D16-0749-8103-F23CE13D000B}"/>
                </c:ext>
              </c:extLst>
            </c:dLbl>
            <c:dLbl>
              <c:idx val="18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7676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0200DB4-73F3-D04A-AD2D-F1B1AA094C95}" type="CELLRANGE">
                      <a:rPr lang="en-GB"/>
                      <a:pPr>
                        <a:defRPr sz="885">
                          <a:solidFill>
                            <a:srgbClr val="67676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7676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9D16-0749-8103-F23CE13D000B}"/>
                </c:ext>
              </c:extLst>
            </c:dLbl>
            <c:dLbl>
              <c:idx val="18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6082B96-E38B-DE4D-A7AC-768FE9CFC318}" type="CELLRANGE">
                      <a:rPr lang="en-GB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9D16-0749-8103-F23CE13D000B}"/>
                </c:ext>
              </c:extLst>
            </c:dLbl>
            <c:dLbl>
              <c:idx val="18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0" b="0" i="0" u="none" strike="noStrike" kern="1200" baseline="0">
                        <a:solidFill>
                          <a:srgbClr val="59595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5F38263-01E9-074F-9F34-C09B2140F347}" type="CELLRANGE">
                      <a:rPr lang="en-GB"/>
                      <a:pPr>
                        <a:defRPr sz="910">
                          <a:solidFill>
                            <a:srgbClr val="595959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0" b="0" i="0" u="none" strike="noStrike" kern="1200" baseline="0">
                      <a:solidFill>
                        <a:srgbClr val="59595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9D16-0749-8103-F23CE13D000B}"/>
                </c:ext>
              </c:extLst>
            </c:dLbl>
            <c:dLbl>
              <c:idx val="19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58B5D74-29F0-DE49-94AA-C483CEA33C52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9D16-0749-8103-F23CE13D000B}"/>
                </c:ext>
              </c:extLst>
            </c:dLbl>
            <c:dLbl>
              <c:idx val="19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7979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55017AA-1B63-C642-9E5B-FBACA260F16C}" type="CELLRANGE">
                      <a:rPr lang="en-GB"/>
                      <a:pPr>
                        <a:defRPr sz="810">
                          <a:solidFill>
                            <a:srgbClr val="97979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7979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9D16-0749-8103-F23CE13D000B}"/>
                </c:ext>
              </c:extLst>
            </c:dLbl>
            <c:dLbl>
              <c:idx val="19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A7A7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A7A7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9D16-0749-8103-F23CE13D000B}"/>
                </c:ext>
              </c:extLst>
            </c:dLbl>
            <c:dLbl>
              <c:idx val="19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9D16-0749-8103-F23CE13D000B}"/>
                </c:ext>
              </c:extLst>
            </c:dLbl>
            <c:dLbl>
              <c:idx val="19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9D16-0749-8103-F23CE13D000B}"/>
                </c:ext>
              </c:extLst>
            </c:dLbl>
            <c:dLbl>
              <c:idx val="19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9D16-0749-8103-F23CE13D000B}"/>
                </c:ext>
              </c:extLst>
            </c:dLbl>
            <c:dLbl>
              <c:idx val="19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9D16-0749-8103-F23CE13D000B}"/>
                </c:ext>
              </c:extLst>
            </c:dLbl>
            <c:dLbl>
              <c:idx val="19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9D16-0749-8103-F23CE13D000B}"/>
                </c:ext>
              </c:extLst>
            </c:dLbl>
            <c:dLbl>
              <c:idx val="19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9D16-0749-8103-F23CE13D000B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9D16-0749-8103-F23CE13D000B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9D16-0749-8103-F23CE13D000B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9D16-0749-8103-F23CE13D000B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9D16-0749-8103-F23CE13D000B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9D16-0749-8103-F23CE13D000B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9D16-0749-8103-F23CE13D000B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9D16-0749-8103-F23CE13D000B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9D16-0749-8103-F23CE13D000B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9D16-0749-8103-F23CE13D000B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9D16-0749-8103-F23CE13D000B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9D16-0749-8103-F23CE13D000B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9D16-0749-8103-F23CE13D000B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9D16-0749-8103-F23CE13D000B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9D16-0749-8103-F23CE13D000B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9D16-0749-8103-F23CE13D000B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9D16-0749-8103-F23CE13D000B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9D16-0749-8103-F23CE13D000B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9D16-0749-8103-F23CE13D000B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9D16-0749-8103-F23CE13D000B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9D16-0749-8103-F23CE13D000B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9D16-0749-8103-F23CE13D000B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9D16-0749-8103-F23CE13D000B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9D16-0749-8103-F23CE13D000B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9D16-0749-8103-F23CE13D000B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9D16-0749-8103-F23CE13D000B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9D16-0749-8103-F23CE13D000B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9D16-0749-8103-F23CE13D000B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9D16-0749-8103-F23CE13D000B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D16-0749-8103-F23CE13D000B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D16-0749-8103-F23CE13D000B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D16-0749-8103-F23CE13D000B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D16-0749-8103-F23CE13D000B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D16-0749-8103-F23CE13D000B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D16-0749-8103-F23CE13D000B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D16-0749-8103-F23CE13D000B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D16-0749-8103-F23CE13D000B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D16-0749-8103-F23CE13D000B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D16-0749-8103-F23CE13D000B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D16-0749-8103-F23CE13D00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OSI!$D$2:$D$239</c:f>
              <c:numCache>
                <c:formatCode>General</c:formatCode>
                <c:ptCount val="238"/>
                <c:pt idx="0">
                  <c:v>44740</c:v>
                </c:pt>
                <c:pt idx="1">
                  <c:v>68300</c:v>
                </c:pt>
                <c:pt idx="2">
                  <c:v>38110</c:v>
                </c:pt>
                <c:pt idx="3">
                  <c:v>46120</c:v>
                </c:pt>
                <c:pt idx="4">
                  <c:v>14480</c:v>
                </c:pt>
                <c:pt idx="5">
                  <c:v>116500</c:v>
                </c:pt>
                <c:pt idx="6">
                  <c:v>53070</c:v>
                </c:pt>
                <c:pt idx="7">
                  <c:v>48830</c:v>
                </c:pt>
                <c:pt idx="8">
                  <c:v>44600</c:v>
                </c:pt>
                <c:pt idx="9">
                  <c:v>26940</c:v>
                </c:pt>
                <c:pt idx="10">
                  <c:v>18140</c:v>
                </c:pt>
                <c:pt idx="11">
                  <c:v>58370</c:v>
                </c:pt>
                <c:pt idx="12">
                  <c:v>32730</c:v>
                </c:pt>
                <c:pt idx="13">
                  <c:v>55100</c:v>
                </c:pt>
                <c:pt idx="14">
                  <c:v>61000</c:v>
                </c:pt>
                <c:pt idx="15">
                  <c:v>74410</c:v>
                </c:pt>
                <c:pt idx="16">
                  <c:v>70480</c:v>
                </c:pt>
                <c:pt idx="17">
                  <c:v>74940</c:v>
                </c:pt>
                <c:pt idx="18">
                  <c:v>53040</c:v>
                </c:pt>
                <c:pt idx="19">
                  <c:v>55220</c:v>
                </c:pt>
                <c:pt idx="20">
                  <c:v>15600</c:v>
                </c:pt>
                <c:pt idx="21">
                  <c:v>42520</c:v>
                </c:pt>
                <c:pt idx="22">
                  <c:v>47850</c:v>
                </c:pt>
                <c:pt idx="23">
                  <c:v>13360</c:v>
                </c:pt>
                <c:pt idx="24">
                  <c:v>11500</c:v>
                </c:pt>
                <c:pt idx="25">
                  <c:v>42510</c:v>
                </c:pt>
                <c:pt idx="26">
                  <c:v>58780</c:v>
                </c:pt>
                <c:pt idx="27">
                  <c:v>25660</c:v>
                </c:pt>
                <c:pt idx="28">
                  <c:v>99240</c:v>
                </c:pt>
                <c:pt idx="29">
                  <c:v>54910</c:v>
                </c:pt>
                <c:pt idx="30">
                  <c:v>34740</c:v>
                </c:pt>
                <c:pt idx="31">
                  <c:v>43770</c:v>
                </c:pt>
                <c:pt idx="32">
                  <c:v>25670</c:v>
                </c:pt>
                <c:pt idx="33">
                  <c:v>55970</c:v>
                </c:pt>
                <c:pt idx="34">
                  <c:v>44740</c:v>
                </c:pt>
                <c:pt idx="35">
                  <c:v>23170</c:v>
                </c:pt>
                <c:pt idx="36">
                  <c:v>50660</c:v>
                </c:pt>
                <c:pt idx="37">
                  <c:v>74250</c:v>
                </c:pt>
                <c:pt idx="38">
                  <c:v>60840</c:v>
                </c:pt>
                <c:pt idx="39">
                  <c:v>12480</c:v>
                </c:pt>
                <c:pt idx="40">
                  <c:v>13350</c:v>
                </c:pt>
                <c:pt idx="41">
                  <c:v>42230</c:v>
                </c:pt>
                <c:pt idx="42">
                  <c:v>2370</c:v>
                </c:pt>
                <c:pt idx="43">
                  <c:v>7130</c:v>
                </c:pt>
                <c:pt idx="44">
                  <c:v>32160</c:v>
                </c:pt>
                <c:pt idx="45">
                  <c:v>16000</c:v>
                </c:pt>
                <c:pt idx="46">
                  <c:v>35230</c:v>
                </c:pt>
                <c:pt idx="47">
                  <c:v>39840</c:v>
                </c:pt>
                <c:pt idx="48">
                  <c:v>9820</c:v>
                </c:pt>
                <c:pt idx="49">
                  <c:v>37710</c:v>
                </c:pt>
                <c:pt idx="50">
                  <c:v>12310</c:v>
                </c:pt>
                <c:pt idx="51">
                  <c:v>22270</c:v>
                </c:pt>
                <c:pt idx="52">
                  <c:v>16950</c:v>
                </c:pt>
                <c:pt idx="53">
                  <c:v>38730</c:v>
                </c:pt>
                <c:pt idx="54">
                  <c:v>5150</c:v>
                </c:pt>
                <c:pt idx="55">
                  <c:v>28710</c:v>
                </c:pt>
                <c:pt idx="56">
                  <c:v>27800</c:v>
                </c:pt>
                <c:pt idx="57">
                  <c:v>88070</c:v>
                </c:pt>
                <c:pt idx="58">
                  <c:v>9470</c:v>
                </c:pt>
                <c:pt idx="59">
                  <c:v>20960</c:v>
                </c:pt>
                <c:pt idx="60">
                  <c:v>47190</c:v>
                </c:pt>
                <c:pt idx="61">
                  <c:v>19110</c:v>
                </c:pt>
                <c:pt idx="62">
                  <c:v>11980</c:v>
                </c:pt>
                <c:pt idx="63">
                  <c:v>82230</c:v>
                </c:pt>
                <c:pt idx="64">
                  <c:v>16580</c:v>
                </c:pt>
                <c:pt idx="66">
                  <c:v>14540</c:v>
                </c:pt>
                <c:pt idx="67">
                  <c:v>6530</c:v>
                </c:pt>
                <c:pt idx="68">
                  <c:v>28650</c:v>
                </c:pt>
                <c:pt idx="69">
                  <c:v>14260</c:v>
                </c:pt>
                <c:pt idx="70">
                  <c:v>54640</c:v>
                </c:pt>
                <c:pt idx="71">
                  <c:v>23340</c:v>
                </c:pt>
                <c:pt idx="72">
                  <c:v>35540</c:v>
                </c:pt>
                <c:pt idx="73">
                  <c:v>38540</c:v>
                </c:pt>
                <c:pt idx="74">
                  <c:v>11260</c:v>
                </c:pt>
                <c:pt idx="75">
                  <c:v>5860</c:v>
                </c:pt>
                <c:pt idx="76">
                  <c:v>45130</c:v>
                </c:pt>
                <c:pt idx="77">
                  <c:v>14000</c:v>
                </c:pt>
                <c:pt idx="78">
                  <c:v>7000</c:v>
                </c:pt>
                <c:pt idx="79">
                  <c:v>13990</c:v>
                </c:pt>
                <c:pt idx="80">
                  <c:v>18210</c:v>
                </c:pt>
                <c:pt idx="81">
                  <c:v>34520</c:v>
                </c:pt>
                <c:pt idx="82">
                  <c:v>9110</c:v>
                </c:pt>
                <c:pt idx="83">
                  <c:v>30990</c:v>
                </c:pt>
                <c:pt idx="84">
                  <c:v>20640</c:v>
                </c:pt>
                <c:pt idx="85">
                  <c:v>74630</c:v>
                </c:pt>
                <c:pt idx="86">
                  <c:v>19150</c:v>
                </c:pt>
                <c:pt idx="87">
                  <c:v>6220</c:v>
                </c:pt>
                <c:pt idx="88">
                  <c:v>5300</c:v>
                </c:pt>
                <c:pt idx="89">
                  <c:v>2370</c:v>
                </c:pt>
                <c:pt idx="90">
                  <c:v>26730</c:v>
                </c:pt>
                <c:pt idx="91">
                  <c:v>8550</c:v>
                </c:pt>
                <c:pt idx="92">
                  <c:v>11870</c:v>
                </c:pt>
                <c:pt idx="93">
                  <c:v>24310</c:v>
                </c:pt>
                <c:pt idx="94">
                  <c:v>10840</c:v>
                </c:pt>
                <c:pt idx="95">
                  <c:v>83530</c:v>
                </c:pt>
                <c:pt idx="96">
                  <c:v>20080</c:v>
                </c:pt>
                <c:pt idx="97">
                  <c:v>10990</c:v>
                </c:pt>
                <c:pt idx="98">
                  <c:v>18170</c:v>
                </c:pt>
                <c:pt idx="99">
                  <c:v>9230</c:v>
                </c:pt>
                <c:pt idx="100">
                  <c:v>12570</c:v>
                </c:pt>
                <c:pt idx="101">
                  <c:v>34860</c:v>
                </c:pt>
                <c:pt idx="102">
                  <c:v>5000</c:v>
                </c:pt>
                <c:pt idx="103">
                  <c:v>12080</c:v>
                </c:pt>
                <c:pt idx="104">
                  <c:v>6090</c:v>
                </c:pt>
                <c:pt idx="105">
                  <c:v>22940</c:v>
                </c:pt>
                <c:pt idx="106">
                  <c:v>3740</c:v>
                </c:pt>
                <c:pt idx="107">
                  <c:v>9000</c:v>
                </c:pt>
                <c:pt idx="108">
                  <c:v>17460</c:v>
                </c:pt>
                <c:pt idx="109">
                  <c:v>17650</c:v>
                </c:pt>
                <c:pt idx="110">
                  <c:v>9650</c:v>
                </c:pt>
                <c:pt idx="111">
                  <c:v>17450</c:v>
                </c:pt>
                <c:pt idx="112">
                  <c:v>2700</c:v>
                </c:pt>
                <c:pt idx="113">
                  <c:v>3630</c:v>
                </c:pt>
                <c:pt idx="115">
                  <c:v>15120</c:v>
                </c:pt>
                <c:pt idx="116">
                  <c:v>3000</c:v>
                </c:pt>
                <c:pt idx="117">
                  <c:v>3000</c:v>
                </c:pt>
                <c:pt idx="119">
                  <c:v>4090</c:v>
                </c:pt>
                <c:pt idx="120">
                  <c:v>3310</c:v>
                </c:pt>
                <c:pt idx="121">
                  <c:v>26320</c:v>
                </c:pt>
                <c:pt idx="122">
                  <c:v>1500</c:v>
                </c:pt>
                <c:pt idx="123">
                  <c:v>6500</c:v>
                </c:pt>
                <c:pt idx="124">
                  <c:v>9550</c:v>
                </c:pt>
                <c:pt idx="125">
                  <c:v>4580</c:v>
                </c:pt>
                <c:pt idx="126">
                  <c:v>5790</c:v>
                </c:pt>
                <c:pt idx="127">
                  <c:v>11800</c:v>
                </c:pt>
                <c:pt idx="128">
                  <c:v>4190</c:v>
                </c:pt>
                <c:pt idx="129">
                  <c:v>4170</c:v>
                </c:pt>
                <c:pt idx="130">
                  <c:v>2800</c:v>
                </c:pt>
                <c:pt idx="131">
                  <c:v>21840</c:v>
                </c:pt>
                <c:pt idx="132">
                  <c:v>2150</c:v>
                </c:pt>
                <c:pt idx="133">
                  <c:v>9420</c:v>
                </c:pt>
                <c:pt idx="134">
                  <c:v>1600</c:v>
                </c:pt>
                <c:pt idx="135">
                  <c:v>4090</c:v>
                </c:pt>
                <c:pt idx="136">
                  <c:v>17220</c:v>
                </c:pt>
                <c:pt idx="137">
                  <c:v>6090</c:v>
                </c:pt>
                <c:pt idx="138">
                  <c:v>1520</c:v>
                </c:pt>
                <c:pt idx="139">
                  <c:v>14990</c:v>
                </c:pt>
                <c:pt idx="140">
                  <c:v>2530</c:v>
                </c:pt>
                <c:pt idx="141">
                  <c:v>1660</c:v>
                </c:pt>
                <c:pt idx="142">
                  <c:v>12740</c:v>
                </c:pt>
                <c:pt idx="143">
                  <c:v>16790</c:v>
                </c:pt>
                <c:pt idx="144">
                  <c:v>6310</c:v>
                </c:pt>
                <c:pt idx="145">
                  <c:v>6310</c:v>
                </c:pt>
                <c:pt idx="146">
                  <c:v>17440</c:v>
                </c:pt>
                <c:pt idx="148">
                  <c:v>20540</c:v>
                </c:pt>
                <c:pt idx="149">
                  <c:v>2370</c:v>
                </c:pt>
                <c:pt idx="150">
                  <c:v>4170</c:v>
                </c:pt>
                <c:pt idx="151">
                  <c:v>4230</c:v>
                </c:pt>
                <c:pt idx="152">
                  <c:v>2420</c:v>
                </c:pt>
                <c:pt idx="153">
                  <c:v>2540</c:v>
                </c:pt>
                <c:pt idx="154">
                  <c:v>11430</c:v>
                </c:pt>
                <c:pt idx="155">
                  <c:v>12122</c:v>
                </c:pt>
                <c:pt idx="156">
                  <c:v>5140</c:v>
                </c:pt>
                <c:pt idx="157">
                  <c:v>13740</c:v>
                </c:pt>
                <c:pt idx="158">
                  <c:v>6070</c:v>
                </c:pt>
                <c:pt idx="159">
                  <c:v>14970</c:v>
                </c:pt>
                <c:pt idx="160">
                  <c:v>840</c:v>
                </c:pt>
                <c:pt idx="161">
                  <c:v>1830</c:v>
                </c:pt>
                <c:pt idx="162">
                  <c:v>4610</c:v>
                </c:pt>
                <c:pt idx="163">
                  <c:v>25940</c:v>
                </c:pt>
                <c:pt idx="164">
                  <c:v>0</c:v>
                </c:pt>
                <c:pt idx="165">
                  <c:v>2740</c:v>
                </c:pt>
                <c:pt idx="166">
                  <c:v>14370</c:v>
                </c:pt>
                <c:pt idx="167">
                  <c:v>4170</c:v>
                </c:pt>
                <c:pt idx="168">
                  <c:v>920</c:v>
                </c:pt>
                <c:pt idx="169">
                  <c:v>1620</c:v>
                </c:pt>
                <c:pt idx="170">
                  <c:v>3740</c:v>
                </c:pt>
                <c:pt idx="171">
                  <c:v>16050</c:v>
                </c:pt>
                <c:pt idx="173">
                  <c:v>8920</c:v>
                </c:pt>
                <c:pt idx="174">
                  <c:v>4170</c:v>
                </c:pt>
                <c:pt idx="175">
                  <c:v>4900</c:v>
                </c:pt>
                <c:pt idx="176">
                  <c:v>1270</c:v>
                </c:pt>
                <c:pt idx="177">
                  <c:v>7790</c:v>
                </c:pt>
                <c:pt idx="178">
                  <c:v>17330</c:v>
                </c:pt>
                <c:pt idx="179">
                  <c:v>14160</c:v>
                </c:pt>
                <c:pt idx="180">
                  <c:v>5860</c:v>
                </c:pt>
                <c:pt idx="181">
                  <c:v>1200</c:v>
                </c:pt>
                <c:pt idx="182">
                  <c:v>1500</c:v>
                </c:pt>
                <c:pt idx="183">
                  <c:v>2110</c:v>
                </c:pt>
                <c:pt idx="184">
                  <c:v>1840</c:v>
                </c:pt>
                <c:pt idx="185">
                  <c:v>3870</c:v>
                </c:pt>
                <c:pt idx="186">
                  <c:v>2370</c:v>
                </c:pt>
                <c:pt idx="187">
                  <c:v>980</c:v>
                </c:pt>
                <c:pt idx="188">
                  <c:v>2280</c:v>
                </c:pt>
                <c:pt idx="189">
                  <c:v>13910</c:v>
                </c:pt>
                <c:pt idx="190">
                  <c:v>840</c:v>
                </c:pt>
                <c:pt idx="191">
                  <c:v>3620</c:v>
                </c:pt>
              </c:numCache>
            </c:numRef>
          </c:xVal>
          <c:yVal>
            <c:numRef>
              <c:f>OSI!$C$2:$C$239</c:f>
              <c:numCache>
                <c:formatCode>General</c:formatCode>
                <c:ptCount val="238"/>
                <c:pt idx="0">
                  <c:v>1</c:v>
                </c:pt>
                <c:pt idx="1">
                  <c:v>0.99924000000000002</c:v>
                </c:pt>
                <c:pt idx="2">
                  <c:v>0.99534999999999996</c:v>
                </c:pt>
                <c:pt idx="3">
                  <c:v>0.98995</c:v>
                </c:pt>
                <c:pt idx="4">
                  <c:v>0.98536000000000001</c:v>
                </c:pt>
                <c:pt idx="5">
                  <c:v>0.98306000000000004</c:v>
                </c:pt>
                <c:pt idx="6">
                  <c:v>0.95348999999999995</c:v>
                </c:pt>
                <c:pt idx="7">
                  <c:v>0.94530000000000003</c:v>
                </c:pt>
                <c:pt idx="8">
                  <c:v>0.94274000000000002</c:v>
                </c:pt>
                <c:pt idx="9">
                  <c:v>0.93903000000000003</c:v>
                </c:pt>
                <c:pt idx="10">
                  <c:v>0.92576000000000003</c:v>
                </c:pt>
                <c:pt idx="11">
                  <c:v>0.92383999999999999</c:v>
                </c:pt>
                <c:pt idx="12">
                  <c:v>0.92252999999999996</c:v>
                </c:pt>
                <c:pt idx="13">
                  <c:v>0.92218999999999995</c:v>
                </c:pt>
                <c:pt idx="14">
                  <c:v>0.92118</c:v>
                </c:pt>
                <c:pt idx="15">
                  <c:v>0.91627000000000003</c:v>
                </c:pt>
                <c:pt idx="16">
                  <c:v>0.91357999999999995</c:v>
                </c:pt>
                <c:pt idx="17">
                  <c:v>0.91171999999999997</c:v>
                </c:pt>
                <c:pt idx="18">
                  <c:v>0.90973000000000004</c:v>
                </c:pt>
                <c:pt idx="19">
                  <c:v>0.90754999999999997</c:v>
                </c:pt>
                <c:pt idx="20">
                  <c:v>0.90630999999999995</c:v>
                </c:pt>
                <c:pt idx="21">
                  <c:v>0.90542</c:v>
                </c:pt>
                <c:pt idx="22">
                  <c:v>0.90305000000000002</c:v>
                </c:pt>
                <c:pt idx="23">
                  <c:v>0.88721000000000005</c:v>
                </c:pt>
                <c:pt idx="24">
                  <c:v>0.88507000000000002</c:v>
                </c:pt>
                <c:pt idx="25">
                  <c:v>0.88390000000000002</c:v>
                </c:pt>
                <c:pt idx="26">
                  <c:v>0.88361000000000001</c:v>
                </c:pt>
                <c:pt idx="27">
                  <c:v>0.88321000000000005</c:v>
                </c:pt>
                <c:pt idx="28">
                  <c:v>0.87678</c:v>
                </c:pt>
                <c:pt idx="29">
                  <c:v>0.87492000000000003</c:v>
                </c:pt>
                <c:pt idx="30">
                  <c:v>0.87346999999999997</c:v>
                </c:pt>
                <c:pt idx="31">
                  <c:v>0.86395999999999995</c:v>
                </c:pt>
                <c:pt idx="32">
                  <c:v>0.86119000000000001</c:v>
                </c:pt>
                <c:pt idx="33">
                  <c:v>0.85516000000000003</c:v>
                </c:pt>
                <c:pt idx="34">
                  <c:v>0.85411999999999999</c:v>
                </c:pt>
                <c:pt idx="35">
                  <c:v>0.85397000000000001</c:v>
                </c:pt>
                <c:pt idx="36">
                  <c:v>0.84399999999999997</c:v>
                </c:pt>
                <c:pt idx="37">
                  <c:v>0.84079999999999999</c:v>
                </c:pt>
                <c:pt idx="38">
                  <c:v>0.83828999999999998</c:v>
                </c:pt>
                <c:pt idx="39">
                  <c:v>0.8377</c:v>
                </c:pt>
                <c:pt idx="40">
                  <c:v>0.82218999999999998</c:v>
                </c:pt>
                <c:pt idx="41">
                  <c:v>0.82164999999999999</c:v>
                </c:pt>
                <c:pt idx="42">
                  <c:v>0.82064999999999999</c:v>
                </c:pt>
                <c:pt idx="43">
                  <c:v>0.81842000000000004</c:v>
                </c:pt>
                <c:pt idx="44">
                  <c:v>0.81452999999999998</c:v>
                </c:pt>
                <c:pt idx="45">
                  <c:v>0.81440999999999997</c:v>
                </c:pt>
                <c:pt idx="46">
                  <c:v>0.80915000000000004</c:v>
                </c:pt>
                <c:pt idx="47">
                  <c:v>0.80774000000000001</c:v>
                </c:pt>
                <c:pt idx="48">
                  <c:v>0.80542999999999998</c:v>
                </c:pt>
                <c:pt idx="49">
                  <c:v>0.80371000000000004</c:v>
                </c:pt>
                <c:pt idx="50">
                  <c:v>0.80345999999999995</c:v>
                </c:pt>
                <c:pt idx="51">
                  <c:v>0.79649000000000003</c:v>
                </c:pt>
                <c:pt idx="52">
                  <c:v>0.79220000000000002</c:v>
                </c:pt>
                <c:pt idx="53">
                  <c:v>0.78774999999999995</c:v>
                </c:pt>
                <c:pt idx="54">
                  <c:v>0.77703999999999995</c:v>
                </c:pt>
                <c:pt idx="55">
                  <c:v>0.77659999999999996</c:v>
                </c:pt>
                <c:pt idx="56">
                  <c:v>0.77271000000000001</c:v>
                </c:pt>
                <c:pt idx="57">
                  <c:v>0.76549</c:v>
                </c:pt>
                <c:pt idx="58">
                  <c:v>0.76483999999999996</c:v>
                </c:pt>
                <c:pt idx="59">
                  <c:v>0.76366000000000001</c:v>
                </c:pt>
                <c:pt idx="60">
                  <c:v>0.76239000000000001</c:v>
                </c:pt>
                <c:pt idx="61">
                  <c:v>0.76105</c:v>
                </c:pt>
                <c:pt idx="62">
                  <c:v>0.75905</c:v>
                </c:pt>
                <c:pt idx="63">
                  <c:v>0.75553999999999999</c:v>
                </c:pt>
                <c:pt idx="64">
                  <c:v>0.75209999999999999</c:v>
                </c:pt>
                <c:pt idx="65">
                  <c:v>0.74156999999999995</c:v>
                </c:pt>
                <c:pt idx="66">
                  <c:v>0.73863000000000001</c:v>
                </c:pt>
                <c:pt idx="67">
                  <c:v>0.73743999999999998</c:v>
                </c:pt>
                <c:pt idx="68">
                  <c:v>0.72796000000000005</c:v>
                </c:pt>
                <c:pt idx="69">
                  <c:v>0.72636000000000001</c:v>
                </c:pt>
                <c:pt idx="70">
                  <c:v>0.72243999999999997</c:v>
                </c:pt>
                <c:pt idx="71">
                  <c:v>0.72169000000000005</c:v>
                </c:pt>
                <c:pt idx="72">
                  <c:v>0.71436999999999995</c:v>
                </c:pt>
                <c:pt idx="73">
                  <c:v>0.70969000000000004</c:v>
                </c:pt>
                <c:pt idx="74">
                  <c:v>0.70811000000000002</c:v>
                </c:pt>
                <c:pt idx="75">
                  <c:v>0.70416999999999996</c:v>
                </c:pt>
                <c:pt idx="76">
                  <c:v>0.70062999999999998</c:v>
                </c:pt>
                <c:pt idx="77">
                  <c:v>0.70016</c:v>
                </c:pt>
                <c:pt idx="78">
                  <c:v>0.68916999999999995</c:v>
                </c:pt>
                <c:pt idx="79">
                  <c:v>0.67115000000000002</c:v>
                </c:pt>
                <c:pt idx="80">
                  <c:v>0.66415000000000002</c:v>
                </c:pt>
                <c:pt idx="81">
                  <c:v>0.65476999999999996</c:v>
                </c:pt>
                <c:pt idx="82">
                  <c:v>0.65378999999999998</c:v>
                </c:pt>
                <c:pt idx="83">
                  <c:v>0.65049000000000001</c:v>
                </c:pt>
                <c:pt idx="84">
                  <c:v>0.64046999999999998</c:v>
                </c:pt>
                <c:pt idx="85">
                  <c:v>0.63654999999999995</c:v>
                </c:pt>
                <c:pt idx="86">
                  <c:v>0.62200999999999995</c:v>
                </c:pt>
                <c:pt idx="87">
                  <c:v>0.60836999999999997</c:v>
                </c:pt>
                <c:pt idx="88">
                  <c:v>0.60723000000000005</c:v>
                </c:pt>
                <c:pt idx="89">
                  <c:v>0.60690999999999995</c:v>
                </c:pt>
                <c:pt idx="90">
                  <c:v>0.59989000000000003</c:v>
                </c:pt>
                <c:pt idx="91">
                  <c:v>0.59869000000000006</c:v>
                </c:pt>
                <c:pt idx="92">
                  <c:v>0.59506999999999999</c:v>
                </c:pt>
                <c:pt idx="93">
                  <c:v>0.59031999999999996</c:v>
                </c:pt>
                <c:pt idx="94">
                  <c:v>0.58862000000000003</c:v>
                </c:pt>
                <c:pt idx="95">
                  <c:v>0.58020000000000005</c:v>
                </c:pt>
                <c:pt idx="96">
                  <c:v>0.57598000000000005</c:v>
                </c:pt>
                <c:pt idx="97">
                  <c:v>0.56772</c:v>
                </c:pt>
                <c:pt idx="98">
                  <c:v>0.56521999999999994</c:v>
                </c:pt>
                <c:pt idx="99">
                  <c:v>0.56184000000000001</c:v>
                </c:pt>
                <c:pt idx="100">
                  <c:v>0.54937000000000002</c:v>
                </c:pt>
                <c:pt idx="101">
                  <c:v>0.54020999999999997</c:v>
                </c:pt>
                <c:pt idx="102">
                  <c:v>0.53718999999999995</c:v>
                </c:pt>
                <c:pt idx="103">
                  <c:v>0.53430999999999995</c:v>
                </c:pt>
                <c:pt idx="104">
                  <c:v>0.52193999999999996</c:v>
                </c:pt>
                <c:pt idx="105">
                  <c:v>0.52141999999999999</c:v>
                </c:pt>
                <c:pt idx="106">
                  <c:v>0.52015999999999996</c:v>
                </c:pt>
                <c:pt idx="107">
                  <c:v>0.50897000000000003</c:v>
                </c:pt>
                <c:pt idx="108">
                  <c:v>0.50555000000000005</c:v>
                </c:pt>
                <c:pt idx="109">
                  <c:v>0.50027999999999995</c:v>
                </c:pt>
                <c:pt idx="110">
                  <c:v>0.49958000000000002</c:v>
                </c:pt>
                <c:pt idx="111">
                  <c:v>0.49754999999999999</c:v>
                </c:pt>
                <c:pt idx="112">
                  <c:v>0.49696000000000001</c:v>
                </c:pt>
                <c:pt idx="113">
                  <c:v>0.49584</c:v>
                </c:pt>
                <c:pt idx="114">
                  <c:v>0.48376999999999998</c:v>
                </c:pt>
                <c:pt idx="115">
                  <c:v>0.48137000000000002</c:v>
                </c:pt>
                <c:pt idx="116">
                  <c:v>0.48081000000000002</c:v>
                </c:pt>
                <c:pt idx="117">
                  <c:v>0.47910000000000003</c:v>
                </c:pt>
                <c:pt idx="118">
                  <c:v>0.47804000000000002</c:v>
                </c:pt>
                <c:pt idx="119">
                  <c:v>0.47788999999999998</c:v>
                </c:pt>
                <c:pt idx="120">
                  <c:v>0.47692000000000001</c:v>
                </c:pt>
                <c:pt idx="121">
                  <c:v>0.46379999999999999</c:v>
                </c:pt>
                <c:pt idx="122">
                  <c:v>0.46246999999999999</c:v>
                </c:pt>
                <c:pt idx="123">
                  <c:v>0.45873999999999998</c:v>
                </c:pt>
                <c:pt idx="124">
                  <c:v>0.45573999999999998</c:v>
                </c:pt>
                <c:pt idx="125">
                  <c:v>0.45034000000000002</c:v>
                </c:pt>
                <c:pt idx="126">
                  <c:v>0.44927</c:v>
                </c:pt>
                <c:pt idx="127">
                  <c:v>0.44894000000000001</c:v>
                </c:pt>
                <c:pt idx="128">
                  <c:v>0.44806000000000001</c:v>
                </c:pt>
                <c:pt idx="129">
                  <c:v>0.4476</c:v>
                </c:pt>
                <c:pt idx="130">
                  <c:v>0.44721</c:v>
                </c:pt>
                <c:pt idx="131">
                  <c:v>0.41658000000000001</c:v>
                </c:pt>
                <c:pt idx="132">
                  <c:v>0.41003000000000001</c:v>
                </c:pt>
                <c:pt idx="133">
                  <c:v>0.40544999999999998</c:v>
                </c:pt>
                <c:pt idx="134">
                  <c:v>0.40447</c:v>
                </c:pt>
                <c:pt idx="135">
                  <c:v>0.39884999999999998</c:v>
                </c:pt>
                <c:pt idx="136">
                  <c:v>0.39851999999999999</c:v>
                </c:pt>
                <c:pt idx="137">
                  <c:v>0.39623999999999998</c:v>
                </c:pt>
                <c:pt idx="138">
                  <c:v>0.39590999999999998</c:v>
                </c:pt>
                <c:pt idx="139">
                  <c:v>0.39062999999999998</c:v>
                </c:pt>
                <c:pt idx="140">
                  <c:v>0.39034999999999997</c:v>
                </c:pt>
                <c:pt idx="141">
                  <c:v>0.38228000000000001</c:v>
                </c:pt>
                <c:pt idx="142">
                  <c:v>0.37983</c:v>
                </c:pt>
                <c:pt idx="143">
                  <c:v>0.37729000000000001</c:v>
                </c:pt>
                <c:pt idx="144">
                  <c:v>0.36377999999999999</c:v>
                </c:pt>
                <c:pt idx="145">
                  <c:v>0.35858000000000001</c:v>
                </c:pt>
                <c:pt idx="146">
                  <c:v>0.35755999999999999</c:v>
                </c:pt>
                <c:pt idx="147">
                  <c:v>0.35754000000000002</c:v>
                </c:pt>
                <c:pt idx="148">
                  <c:v>0.34549000000000002</c:v>
                </c:pt>
                <c:pt idx="149">
                  <c:v>0.34194999999999998</c:v>
                </c:pt>
                <c:pt idx="150">
                  <c:v>0.34055999999999997</c:v>
                </c:pt>
                <c:pt idx="151">
                  <c:v>0.3392</c:v>
                </c:pt>
                <c:pt idx="152">
                  <c:v>0.33764</c:v>
                </c:pt>
                <c:pt idx="153">
                  <c:v>0.33339999999999997</c:v>
                </c:pt>
                <c:pt idx="154">
                  <c:v>0.33200000000000002</c:v>
                </c:pt>
                <c:pt idx="155">
                  <c:v>0.32647999999999999</c:v>
                </c:pt>
                <c:pt idx="156">
                  <c:v>0.32594000000000001</c:v>
                </c:pt>
                <c:pt idx="157">
                  <c:v>0.32291999999999998</c:v>
                </c:pt>
                <c:pt idx="158">
                  <c:v>0.32203999999999999</c:v>
                </c:pt>
                <c:pt idx="159">
                  <c:v>0.31874999999999998</c:v>
                </c:pt>
                <c:pt idx="160">
                  <c:v>0.31459999999999999</c:v>
                </c:pt>
                <c:pt idx="161">
                  <c:v>0.30839</c:v>
                </c:pt>
                <c:pt idx="162">
                  <c:v>0.30678</c:v>
                </c:pt>
                <c:pt idx="163">
                  <c:v>0.30385000000000001</c:v>
                </c:pt>
                <c:pt idx="164">
                  <c:v>0.29709999999999998</c:v>
                </c:pt>
                <c:pt idx="165">
                  <c:v>0.28637000000000001</c:v>
                </c:pt>
                <c:pt idx="166">
                  <c:v>0.27866999999999997</c:v>
                </c:pt>
                <c:pt idx="167">
                  <c:v>0.27604000000000001</c:v>
                </c:pt>
                <c:pt idx="168">
                  <c:v>0.26738000000000001</c:v>
                </c:pt>
                <c:pt idx="169">
                  <c:v>0.26334999999999997</c:v>
                </c:pt>
                <c:pt idx="170">
                  <c:v>0.26211000000000001</c:v>
                </c:pt>
                <c:pt idx="171">
                  <c:v>0.25063999999999997</c:v>
                </c:pt>
                <c:pt idx="172">
                  <c:v>0.24387</c:v>
                </c:pt>
                <c:pt idx="173">
                  <c:v>0.22982</c:v>
                </c:pt>
                <c:pt idx="174">
                  <c:v>0.21557000000000001</c:v>
                </c:pt>
                <c:pt idx="175">
                  <c:v>0.20915</c:v>
                </c:pt>
                <c:pt idx="176">
                  <c:v>0.20671</c:v>
                </c:pt>
                <c:pt idx="177">
                  <c:v>0.19438</c:v>
                </c:pt>
                <c:pt idx="178">
                  <c:v>0.19319</c:v>
                </c:pt>
                <c:pt idx="179">
                  <c:v>0.18754999999999999</c:v>
                </c:pt>
                <c:pt idx="180">
                  <c:v>0.16879</c:v>
                </c:pt>
                <c:pt idx="181">
                  <c:v>0.15040999999999999</c:v>
                </c:pt>
                <c:pt idx="182">
                  <c:v>0.14379</c:v>
                </c:pt>
                <c:pt idx="183">
                  <c:v>0.13785</c:v>
                </c:pt>
                <c:pt idx="184">
                  <c:v>0.13774</c:v>
                </c:pt>
                <c:pt idx="185">
                  <c:v>0.1293</c:v>
                </c:pt>
                <c:pt idx="186">
                  <c:v>0.12703</c:v>
                </c:pt>
                <c:pt idx="187">
                  <c:v>0.1128</c:v>
                </c:pt>
                <c:pt idx="188">
                  <c:v>9.5509999999999998E-2</c:v>
                </c:pt>
                <c:pt idx="189">
                  <c:v>8.0759999999999998E-2</c:v>
                </c:pt>
                <c:pt idx="190">
                  <c:v>2.9080000000000002E-2</c:v>
                </c:pt>
                <c:pt idx="191">
                  <c:v>2.299E-2</c:v>
                </c:pt>
              </c:numCache>
            </c:numRef>
          </c:yVal>
          <c:bubbleSize>
            <c:numRef>
              <c:f>OSI!$E$2:$E$239</c:f>
              <c:numCache>
                <c:formatCode>General</c:formatCode>
                <c:ptCount val="238"/>
                <c:pt idx="0">
                  <c:v>51.8</c:v>
                </c:pt>
                <c:pt idx="1">
                  <c:v>5.9</c:v>
                </c:pt>
                <c:pt idx="2">
                  <c:v>1.3</c:v>
                </c:pt>
                <c:pt idx="3">
                  <c:v>35.799999999999997</c:v>
                </c:pt>
                <c:pt idx="4">
                  <c:v>41.2</c:v>
                </c:pt>
                <c:pt idx="5">
                  <c:v>5.6</c:v>
                </c:pt>
                <c:pt idx="6">
                  <c:v>67.3</c:v>
                </c:pt>
                <c:pt idx="7">
                  <c:v>5.0999999999999996</c:v>
                </c:pt>
                <c:pt idx="8">
                  <c:v>125.1</c:v>
                </c:pt>
                <c:pt idx="9">
                  <c:v>19.399999999999999</c:v>
                </c:pt>
                <c:pt idx="10">
                  <c:v>1412.2</c:v>
                </c:pt>
                <c:pt idx="11">
                  <c:v>83.2</c:v>
                </c:pt>
                <c:pt idx="12">
                  <c:v>85.3</c:v>
                </c:pt>
                <c:pt idx="13">
                  <c:v>25.7</c:v>
                </c:pt>
                <c:pt idx="14">
                  <c:v>17.5</c:v>
                </c:pt>
                <c:pt idx="15">
                  <c:v>9.3000000000000007</c:v>
                </c:pt>
                <c:pt idx="16">
                  <c:v>333.3</c:v>
                </c:pt>
                <c:pt idx="17">
                  <c:v>5.4</c:v>
                </c:pt>
                <c:pt idx="18">
                  <c:v>5.5</c:v>
                </c:pt>
                <c:pt idx="19">
                  <c:v>0.4</c:v>
                </c:pt>
                <c:pt idx="20">
                  <c:v>215.3</c:v>
                </c:pt>
                <c:pt idx="21">
                  <c:v>47.4</c:v>
                </c:pt>
                <c:pt idx="22">
                  <c:v>1.5</c:v>
                </c:pt>
                <c:pt idx="23">
                  <c:v>60</c:v>
                </c:pt>
                <c:pt idx="24">
                  <c:v>18.100000000000001</c:v>
                </c:pt>
                <c:pt idx="25">
                  <c:v>2.8</c:v>
                </c:pt>
                <c:pt idx="26">
                  <c:v>10.4</c:v>
                </c:pt>
                <c:pt idx="27">
                  <c:v>3.5</c:v>
                </c:pt>
                <c:pt idx="28">
                  <c:v>5</c:v>
                </c:pt>
                <c:pt idx="29">
                  <c:v>0.5</c:v>
                </c:pt>
                <c:pt idx="30">
                  <c:v>3.9</c:v>
                </c:pt>
                <c:pt idx="31">
                  <c:v>2.1</c:v>
                </c:pt>
                <c:pt idx="32">
                  <c:v>19.5</c:v>
                </c:pt>
                <c:pt idx="33">
                  <c:v>38.200000000000003</c:v>
                </c:pt>
                <c:pt idx="34">
                  <c:v>9.3000000000000007</c:v>
                </c:pt>
                <c:pt idx="35">
                  <c:v>6.7</c:v>
                </c:pt>
                <c:pt idx="36">
                  <c:v>67.8</c:v>
                </c:pt>
                <c:pt idx="37">
                  <c:v>8.6999999999999993</c:v>
                </c:pt>
                <c:pt idx="38">
                  <c:v>9</c:v>
                </c:pt>
                <c:pt idx="39">
                  <c:v>33.700000000000003</c:v>
                </c:pt>
                <c:pt idx="40">
                  <c:v>3.4</c:v>
                </c:pt>
                <c:pt idx="41">
                  <c:v>1.2</c:v>
                </c:pt>
                <c:pt idx="42">
                  <c:v>13.5</c:v>
                </c:pt>
                <c:pt idx="43">
                  <c:v>1417.2</c:v>
                </c:pt>
                <c:pt idx="44">
                  <c:v>10.4</c:v>
                </c:pt>
                <c:pt idx="45">
                  <c:v>2.8</c:v>
                </c:pt>
                <c:pt idx="46">
                  <c:v>1.8</c:v>
                </c:pt>
                <c:pt idx="47">
                  <c:v>4.5</c:v>
                </c:pt>
                <c:pt idx="48">
                  <c:v>115.6</c:v>
                </c:pt>
                <c:pt idx="49">
                  <c:v>37.799999999999997</c:v>
                </c:pt>
                <c:pt idx="50">
                  <c:v>275.5</c:v>
                </c:pt>
                <c:pt idx="51">
                  <c:v>45.8</c:v>
                </c:pt>
                <c:pt idx="52">
                  <c:v>2.8</c:v>
                </c:pt>
                <c:pt idx="53">
                  <c:v>10.3</c:v>
                </c:pt>
                <c:pt idx="54">
                  <c:v>54</c:v>
                </c:pt>
                <c:pt idx="55">
                  <c:v>143.6</c:v>
                </c:pt>
                <c:pt idx="56">
                  <c:v>6.5</c:v>
                </c:pt>
                <c:pt idx="57">
                  <c:v>2.9</c:v>
                </c:pt>
                <c:pt idx="58">
                  <c:v>35.299999999999997</c:v>
                </c:pt>
                <c:pt idx="59">
                  <c:v>127.5</c:v>
                </c:pt>
                <c:pt idx="60">
                  <c:v>59</c:v>
                </c:pt>
                <c:pt idx="61">
                  <c:v>71.7</c:v>
                </c:pt>
                <c:pt idx="62">
                  <c:v>11.1</c:v>
                </c:pt>
                <c:pt idx="63">
                  <c:v>0.6</c:v>
                </c:pt>
                <c:pt idx="64">
                  <c:v>51.5</c:v>
                </c:pt>
                <c:pt idx="65">
                  <c:v>0.04</c:v>
                </c:pt>
                <c:pt idx="66">
                  <c:v>10.199999999999999</c:v>
                </c:pt>
                <c:pt idx="67">
                  <c:v>171.2</c:v>
                </c:pt>
                <c:pt idx="68">
                  <c:v>33.6</c:v>
                </c:pt>
                <c:pt idx="69">
                  <c:v>2.6</c:v>
                </c:pt>
                <c:pt idx="70">
                  <c:v>11.7</c:v>
                </c:pt>
                <c:pt idx="71">
                  <c:v>5.2</c:v>
                </c:pt>
                <c:pt idx="72">
                  <c:v>9.6</c:v>
                </c:pt>
                <c:pt idx="73">
                  <c:v>5.4</c:v>
                </c:pt>
                <c:pt idx="74">
                  <c:v>98.2</c:v>
                </c:pt>
                <c:pt idx="75">
                  <c:v>235.8</c:v>
                </c:pt>
                <c:pt idx="76">
                  <c:v>10.7</c:v>
                </c:pt>
                <c:pt idx="77">
                  <c:v>110.9</c:v>
                </c:pt>
                <c:pt idx="78">
                  <c:v>0.6</c:v>
                </c:pt>
                <c:pt idx="79">
                  <c:v>7.3</c:v>
                </c:pt>
                <c:pt idx="80">
                  <c:v>2.1</c:v>
                </c:pt>
                <c:pt idx="81">
                  <c:v>19</c:v>
                </c:pt>
                <c:pt idx="82">
                  <c:v>18.100000000000001</c:v>
                </c:pt>
                <c:pt idx="83">
                  <c:v>4.4000000000000004</c:v>
                </c:pt>
                <c:pt idx="84">
                  <c:v>10.8</c:v>
                </c:pt>
                <c:pt idx="85">
                  <c:v>4.3</c:v>
                </c:pt>
                <c:pt idx="86">
                  <c:v>0.5</c:v>
                </c:pt>
                <c:pt idx="87">
                  <c:v>32.799999999999997</c:v>
                </c:pt>
                <c:pt idx="88">
                  <c:v>6.7</c:v>
                </c:pt>
                <c:pt idx="89">
                  <c:v>45.9</c:v>
                </c:pt>
                <c:pt idx="90">
                  <c:v>1.4</c:v>
                </c:pt>
                <c:pt idx="91">
                  <c:v>12.1</c:v>
                </c:pt>
                <c:pt idx="92">
                  <c:v>12.3</c:v>
                </c:pt>
                <c:pt idx="93">
                  <c:v>1.3</c:v>
                </c:pt>
                <c:pt idx="94">
                  <c:v>0.8</c:v>
                </c:pt>
                <c:pt idx="95">
                  <c:v>0.4</c:v>
                </c:pt>
                <c:pt idx="96">
                  <c:v>9.3000000000000007</c:v>
                </c:pt>
                <c:pt idx="97">
                  <c:v>2.8</c:v>
                </c:pt>
                <c:pt idx="98">
                  <c:v>3.7</c:v>
                </c:pt>
                <c:pt idx="99">
                  <c:v>37.799999999999997</c:v>
                </c:pt>
                <c:pt idx="100">
                  <c:v>21.5</c:v>
                </c:pt>
                <c:pt idx="101">
                  <c:v>0.4</c:v>
                </c:pt>
                <c:pt idx="102">
                  <c:v>218.5</c:v>
                </c:pt>
                <c:pt idx="103">
                  <c:v>0.9</c:v>
                </c:pt>
                <c:pt idx="104">
                  <c:v>29.4</c:v>
                </c:pt>
                <c:pt idx="105">
                  <c:v>0.6</c:v>
                </c:pt>
                <c:pt idx="106">
                  <c:v>13.7</c:v>
                </c:pt>
                <c:pt idx="107">
                  <c:v>6.5</c:v>
                </c:pt>
                <c:pt idx="108">
                  <c:v>0.1</c:v>
                </c:pt>
                <c:pt idx="109">
                  <c:v>3.2</c:v>
                </c:pt>
                <c:pt idx="110">
                  <c:v>2.5</c:v>
                </c:pt>
                <c:pt idx="111">
                  <c:v>0.3</c:v>
                </c:pt>
                <c:pt idx="112">
                  <c:v>0.7</c:v>
                </c:pt>
                <c:pt idx="113">
                  <c:v>19.600000000000001</c:v>
                </c:pt>
                <c:pt idx="114">
                  <c:v>0.04</c:v>
                </c:pt>
                <c:pt idx="115">
                  <c:v>0.6</c:v>
                </c:pt>
                <c:pt idx="116">
                  <c:v>13.5</c:v>
                </c:pt>
                <c:pt idx="117">
                  <c:v>63.6</c:v>
                </c:pt>
                <c:pt idx="118">
                  <c:v>0.08</c:v>
                </c:pt>
                <c:pt idx="119">
                  <c:v>17.899999999999999</c:v>
                </c:pt>
                <c:pt idx="120">
                  <c:v>0.3</c:v>
                </c:pt>
                <c:pt idx="121">
                  <c:v>0.1</c:v>
                </c:pt>
                <c:pt idx="122">
                  <c:v>20</c:v>
                </c:pt>
                <c:pt idx="123">
                  <c:v>10.3</c:v>
                </c:pt>
                <c:pt idx="124">
                  <c:v>1.2</c:v>
                </c:pt>
                <c:pt idx="125">
                  <c:v>16.899999999999999</c:v>
                </c:pt>
                <c:pt idx="126">
                  <c:v>7</c:v>
                </c:pt>
                <c:pt idx="127">
                  <c:v>5.3</c:v>
                </c:pt>
                <c:pt idx="128">
                  <c:v>30</c:v>
                </c:pt>
                <c:pt idx="129">
                  <c:v>10</c:v>
                </c:pt>
                <c:pt idx="130">
                  <c:v>8.5</c:v>
                </c:pt>
                <c:pt idx="131">
                  <c:v>0.1</c:v>
                </c:pt>
                <c:pt idx="132">
                  <c:v>16</c:v>
                </c:pt>
                <c:pt idx="133">
                  <c:v>0.4</c:v>
                </c:pt>
                <c:pt idx="134">
                  <c:v>29.1</c:v>
                </c:pt>
                <c:pt idx="135">
                  <c:v>27.2</c:v>
                </c:pt>
                <c:pt idx="136">
                  <c:v>2.4</c:v>
                </c:pt>
                <c:pt idx="137">
                  <c:v>35.6</c:v>
                </c:pt>
                <c:pt idx="138">
                  <c:v>33.9</c:v>
                </c:pt>
                <c:pt idx="139">
                  <c:v>0.1</c:v>
                </c:pt>
                <c:pt idx="140">
                  <c:v>0.1</c:v>
                </c:pt>
                <c:pt idx="141">
                  <c:v>8.6999999999999993</c:v>
                </c:pt>
                <c:pt idx="142">
                  <c:v>7.0000000000000007E-2</c:v>
                </c:pt>
                <c:pt idx="143">
                  <c:v>88.6</c:v>
                </c:pt>
                <c:pt idx="144">
                  <c:v>0.2</c:v>
                </c:pt>
                <c:pt idx="145">
                  <c:v>0.06</c:v>
                </c:pt>
                <c:pt idx="146">
                  <c:v>28.2</c:v>
                </c:pt>
                <c:pt idx="147">
                  <c:v>0.03</c:v>
                </c:pt>
                <c:pt idx="148">
                  <c:v>0.8</c:v>
                </c:pt>
                <c:pt idx="149">
                  <c:v>123.4</c:v>
                </c:pt>
                <c:pt idx="150">
                  <c:v>1.3</c:v>
                </c:pt>
                <c:pt idx="151">
                  <c:v>10.9</c:v>
                </c:pt>
                <c:pt idx="152">
                  <c:v>23.3</c:v>
                </c:pt>
                <c:pt idx="153">
                  <c:v>23.3</c:v>
                </c:pt>
                <c:pt idx="154">
                  <c:v>46.2</c:v>
                </c:pt>
                <c:pt idx="155">
                  <c:v>7.5</c:v>
                </c:pt>
                <c:pt idx="156">
                  <c:v>54.2</c:v>
                </c:pt>
                <c:pt idx="157">
                  <c:v>0.2</c:v>
                </c:pt>
                <c:pt idx="158">
                  <c:v>0.1</c:v>
                </c:pt>
                <c:pt idx="159">
                  <c:v>2.2999999999999998</c:v>
                </c:pt>
                <c:pt idx="160">
                  <c:v>12.9</c:v>
                </c:pt>
                <c:pt idx="161">
                  <c:v>27.2</c:v>
                </c:pt>
                <c:pt idx="162">
                  <c:v>22.1</c:v>
                </c:pt>
                <c:pt idx="163">
                  <c:v>0.05</c:v>
                </c:pt>
                <c:pt idx="164">
                  <c:v>17.600000000000001</c:v>
                </c:pt>
                <c:pt idx="165">
                  <c:v>2.2000000000000002</c:v>
                </c:pt>
                <c:pt idx="166">
                  <c:v>0.02</c:v>
                </c:pt>
                <c:pt idx="167">
                  <c:v>5.8</c:v>
                </c:pt>
                <c:pt idx="168">
                  <c:v>17.8</c:v>
                </c:pt>
                <c:pt idx="169">
                  <c:v>5.4</c:v>
                </c:pt>
                <c:pt idx="170">
                  <c:v>0.1</c:v>
                </c:pt>
                <c:pt idx="171">
                  <c:v>6.3</c:v>
                </c:pt>
                <c:pt idx="172">
                  <c:v>0.01</c:v>
                </c:pt>
                <c:pt idx="173">
                  <c:v>11.1</c:v>
                </c:pt>
                <c:pt idx="174">
                  <c:v>0.2</c:v>
                </c:pt>
                <c:pt idx="175">
                  <c:v>1.1000000000000001</c:v>
                </c:pt>
                <c:pt idx="176">
                  <c:v>102.3</c:v>
                </c:pt>
                <c:pt idx="177">
                  <c:v>0.01</c:v>
                </c:pt>
                <c:pt idx="178">
                  <c:v>1.7</c:v>
                </c:pt>
                <c:pt idx="179">
                  <c:v>44.5</c:v>
                </c:pt>
                <c:pt idx="180">
                  <c:v>5</c:v>
                </c:pt>
                <c:pt idx="181">
                  <c:v>10.9</c:v>
                </c:pt>
                <c:pt idx="182">
                  <c:v>41.1</c:v>
                </c:pt>
                <c:pt idx="183">
                  <c:v>11.7</c:v>
                </c:pt>
                <c:pt idx="184">
                  <c:v>34.4</c:v>
                </c:pt>
                <c:pt idx="185">
                  <c:v>48.1</c:v>
                </c:pt>
                <c:pt idx="186">
                  <c:v>2.1</c:v>
                </c:pt>
                <c:pt idx="187">
                  <c:v>5.5</c:v>
                </c:pt>
                <c:pt idx="188">
                  <c:v>2.8</c:v>
                </c:pt>
                <c:pt idx="189">
                  <c:v>6.9</c:v>
                </c:pt>
                <c:pt idx="190">
                  <c:v>26.1</c:v>
                </c:pt>
                <c:pt idx="191">
                  <c:v>0.9</c:v>
                </c:pt>
                <c:pt idx="19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OSI!$A$2:$A$194</c15:f>
                <c15:dlblRangeCache>
                  <c:ptCount val="193"/>
                  <c:pt idx="0">
                    <c:v>South Korea</c:v>
                  </c:pt>
                  <c:pt idx="1">
                    <c:v>Denmark</c:v>
                  </c:pt>
                  <c:pt idx="2">
                    <c:v>Estonia</c:v>
                  </c:pt>
                  <c:pt idx="3">
                    <c:v>Saudi Arabia</c:v>
                  </c:pt>
                  <c:pt idx="4">
                    <c:v>Ukraine</c:v>
                  </c:pt>
                  <c:pt idx="5">
                    <c:v>Singapore</c:v>
                  </c:pt>
                  <c:pt idx="6">
                    <c:v>U.K.</c:v>
                  </c:pt>
                  <c:pt idx="7">
                    <c:v>New Zealand</c:v>
                  </c:pt>
                  <c:pt idx="8">
                    <c:v>Japan</c:v>
                  </c:pt>
                  <c:pt idx="9">
                    <c:v>Kazakhstan</c:v>
                  </c:pt>
                  <c:pt idx="10">
                    <c:v>China</c:v>
                  </c:pt>
                  <c:pt idx="11">
                    <c:v>Germany</c:v>
                  </c:pt>
                  <c:pt idx="12">
                    <c:v>Turkiye</c:v>
                  </c:pt>
                  <c:pt idx="13">
                    <c:v>Australia</c:v>
                  </c:pt>
                  <c:pt idx="14">
                    <c:v>Netherlands</c:v>
                  </c:pt>
                  <c:pt idx="15">
                    <c:v>U.A.E.</c:v>
                  </c:pt>
                  <c:pt idx="16">
                    <c:v>U.S.A.</c:v>
                  </c:pt>
                  <c:pt idx="17">
                    <c:v>Norway</c:v>
                  </c:pt>
                  <c:pt idx="18">
                    <c:v>Finland</c:v>
                  </c:pt>
                  <c:pt idx="20">
                    <c:v>Brazil</c:v>
                  </c:pt>
                  <c:pt idx="21">
                    <c:v>Spain</c:v>
                  </c:pt>
                  <c:pt idx="22">
                    <c:v>Bahrain</c:v>
                  </c:pt>
                  <c:pt idx="23">
                    <c:v>South Africa</c:v>
                  </c:pt>
                  <c:pt idx="24">
                    <c:v>Ecuador</c:v>
                  </c:pt>
                  <c:pt idx="25">
                    <c:v>Lithuania</c:v>
                  </c:pt>
                  <c:pt idx="26">
                    <c:v>Sweden</c:v>
                  </c:pt>
                  <c:pt idx="27">
                    <c:v>Uruguay</c:v>
                  </c:pt>
                  <c:pt idx="28">
                    <c:v>Ireland</c:v>
                  </c:pt>
                  <c:pt idx="30">
                    <c:v>Croatia</c:v>
                  </c:pt>
                  <c:pt idx="31">
                    <c:v>Slovenia</c:v>
                  </c:pt>
                  <c:pt idx="32">
                    <c:v>Chile</c:v>
                  </c:pt>
                  <c:pt idx="33">
                    <c:v>Canada</c:v>
                  </c:pt>
                  <c:pt idx="34">
                    <c:v>Israel</c:v>
                  </c:pt>
                  <c:pt idx="35">
                    <c:v>Serbia</c:v>
                  </c:pt>
                  <c:pt idx="36">
                    <c:v>France</c:v>
                  </c:pt>
                  <c:pt idx="37">
                    <c:v>Switzerland</c:v>
                  </c:pt>
                  <c:pt idx="38">
                    <c:v>Austria</c:v>
                  </c:pt>
                  <c:pt idx="39">
                    <c:v>Peru</c:v>
                  </c:pt>
                  <c:pt idx="40">
                    <c:v>Mongolia</c:v>
                  </c:pt>
                  <c:pt idx="41">
                    <c:v>Cyprus</c:v>
                  </c:pt>
                  <c:pt idx="42">
                    <c:v>Rwanda</c:v>
                  </c:pt>
                  <c:pt idx="43">
                    <c:v>India</c:v>
                  </c:pt>
                  <c:pt idx="44">
                    <c:v>Greece</c:v>
                  </c:pt>
                  <c:pt idx="45">
                    <c:v>Albania</c:v>
                  </c:pt>
                  <c:pt idx="46">
                    <c:v>Latvia</c:v>
                  </c:pt>
                  <c:pt idx="47">
                    <c:v>Oman</c:v>
                  </c:pt>
                  <c:pt idx="48">
                    <c:v>Philippines</c:v>
                  </c:pt>
                  <c:pt idx="49">
                    <c:v>Poland</c:v>
                  </c:pt>
                  <c:pt idx="50">
                    <c:v>Indonesia</c:v>
                  </c:pt>
                  <c:pt idx="51">
                    <c:v>Argentina</c:v>
                  </c:pt>
                  <c:pt idx="52">
                    <c:v>Armenia</c:v>
                  </c:pt>
                  <c:pt idx="53">
                    <c:v>Portugal</c:v>
                  </c:pt>
                  <c:pt idx="54">
                    <c:v>Kenya</c:v>
                  </c:pt>
                  <c:pt idx="55">
                    <c:v>Russia</c:v>
                  </c:pt>
                  <c:pt idx="56">
                    <c:v>Bulgaria</c:v>
                  </c:pt>
                  <c:pt idx="57">
                    <c:v>Qatar</c:v>
                  </c:pt>
                  <c:pt idx="58">
                    <c:v>Uzbekistan</c:v>
                  </c:pt>
                  <c:pt idx="59">
                    <c:v>Mexico</c:v>
                  </c:pt>
                  <c:pt idx="60">
                    <c:v>Italy</c:v>
                  </c:pt>
                  <c:pt idx="61">
                    <c:v>Thailand</c:v>
                  </c:pt>
                  <c:pt idx="62">
                    <c:v>Jordan</c:v>
                  </c:pt>
                  <c:pt idx="64">
                    <c:v>Colombia</c:v>
                  </c:pt>
                  <c:pt idx="66">
                    <c:v>Azerbaijan</c:v>
                  </c:pt>
                  <c:pt idx="67">
                    <c:v>Bangladesh</c:v>
                  </c:pt>
                  <c:pt idx="68">
                    <c:v>Malaysia</c:v>
                  </c:pt>
                  <c:pt idx="69">
                    <c:v>Moldova</c:v>
                  </c:pt>
                  <c:pt idx="70">
                    <c:v>Belgium</c:v>
                  </c:pt>
                  <c:pt idx="71">
                    <c:v>Costa Rica</c:v>
                  </c:pt>
                  <c:pt idx="72">
                    <c:v>Hungary</c:v>
                  </c:pt>
                  <c:pt idx="73">
                    <c:v>Slovakia</c:v>
                  </c:pt>
                  <c:pt idx="74">
                    <c:v>Vietnam</c:v>
                  </c:pt>
                  <c:pt idx="75">
                    <c:v>Pakistan</c:v>
                  </c:pt>
                  <c:pt idx="76">
                    <c:v>Czechia</c:v>
                  </c:pt>
                  <c:pt idx="77">
                    <c:v>Egypt</c:v>
                  </c:pt>
                  <c:pt idx="79">
                    <c:v>Paraguay</c:v>
                  </c:pt>
                  <c:pt idx="80">
                    <c:v>North Macedonia</c:v>
                  </c:pt>
                  <c:pt idx="81">
                    <c:v>Romania</c:v>
                  </c:pt>
                  <c:pt idx="82">
                    <c:v>Guatemala</c:v>
                  </c:pt>
                  <c:pt idx="83">
                    <c:v>Panama</c:v>
                  </c:pt>
                  <c:pt idx="84">
                    <c:v>Dominican Republic</c:v>
                  </c:pt>
                  <c:pt idx="85">
                    <c:v>Kuwait</c:v>
                  </c:pt>
                  <c:pt idx="87">
                    <c:v>Ghana</c:v>
                  </c:pt>
                  <c:pt idx="88">
                    <c:v>Kyrgyzstan</c:v>
                  </c:pt>
                  <c:pt idx="89">
                    <c:v>Uganda</c:v>
                  </c:pt>
                  <c:pt idx="90">
                    <c:v>Trinidad and Tobago</c:v>
                  </c:pt>
                  <c:pt idx="91">
                    <c:v>Bolivia</c:v>
                  </c:pt>
                  <c:pt idx="92">
                    <c:v>Tunisia</c:v>
                  </c:pt>
                  <c:pt idx="93">
                    <c:v>Mauritius</c:v>
                  </c:pt>
                  <c:pt idx="96">
                    <c:v>Belarus</c:v>
                  </c:pt>
                  <c:pt idx="97">
                    <c:v>Jamaica</c:v>
                  </c:pt>
                  <c:pt idx="98">
                    <c:v>Georgia</c:v>
                  </c:pt>
                  <c:pt idx="99">
                    <c:v>Morocco</c:v>
                  </c:pt>
                  <c:pt idx="100">
                    <c:v>Sri Lanka</c:v>
                  </c:pt>
                  <c:pt idx="102">
                    <c:v>Nigeria</c:v>
                  </c:pt>
                  <c:pt idx="104">
                    <c:v>Côte d'Ivoire</c:v>
                  </c:pt>
                  <c:pt idx="106">
                    <c:v>Benin</c:v>
                  </c:pt>
                  <c:pt idx="107">
                    <c:v>El Salvador</c:v>
                  </c:pt>
                  <c:pt idx="109">
                    <c:v>Bosnia and Herzegovina</c:v>
                  </c:pt>
                  <c:pt idx="110">
                    <c:v>Namibia</c:v>
                  </c:pt>
                  <c:pt idx="113">
                    <c:v>Zambia</c:v>
                  </c:pt>
                  <c:pt idx="116">
                    <c:v>Guinea</c:v>
                  </c:pt>
                  <c:pt idx="117">
                    <c:v>Tanzania</c:v>
                  </c:pt>
                  <c:pt idx="119">
                    <c:v>Senegal</c:v>
                  </c:pt>
                  <c:pt idx="122">
                    <c:v>Malawi</c:v>
                  </c:pt>
                  <c:pt idx="123">
                    <c:v>Honduras</c:v>
                  </c:pt>
                  <c:pt idx="124">
                    <c:v>Eswatini</c:v>
                  </c:pt>
                  <c:pt idx="125">
                    <c:v>Cambodia</c:v>
                  </c:pt>
                  <c:pt idx="126">
                    <c:v>Nicaragua</c:v>
                  </c:pt>
                  <c:pt idx="127">
                    <c:v>Lebanon</c:v>
                  </c:pt>
                  <c:pt idx="128">
                    <c:v>Nepal</c:v>
                  </c:pt>
                  <c:pt idx="129">
                    <c:v>Tajikistan</c:v>
                  </c:pt>
                  <c:pt idx="130">
                    <c:v>Togo</c:v>
                  </c:pt>
                  <c:pt idx="132">
                    <c:v>Zimbabwe</c:v>
                  </c:pt>
                  <c:pt idx="134">
                    <c:v>Madagascar</c:v>
                  </c:pt>
                  <c:pt idx="135">
                    <c:v>Cameroon</c:v>
                  </c:pt>
                  <c:pt idx="136">
                    <c:v>Botswana</c:v>
                  </c:pt>
                  <c:pt idx="137">
                    <c:v>Angola</c:v>
                  </c:pt>
                  <c:pt idx="138">
                    <c:v>Mozambique</c:v>
                  </c:pt>
                  <c:pt idx="141">
                    <c:v>Sierra Leone</c:v>
                  </c:pt>
                  <c:pt idx="143">
                    <c:v>Iran</c:v>
                  </c:pt>
                  <c:pt idx="146">
                    <c:v>Venezuela</c:v>
                  </c:pt>
                  <c:pt idx="149">
                    <c:v>Ethiopia</c:v>
                  </c:pt>
                  <c:pt idx="150">
                    <c:v>Timor-Leste</c:v>
                  </c:pt>
                  <c:pt idx="151">
                    <c:v>P.N.G.</c:v>
                  </c:pt>
                  <c:pt idx="152">
                    <c:v>Burkina Faso</c:v>
                  </c:pt>
                  <c:pt idx="153">
                    <c:v>Mali</c:v>
                  </c:pt>
                  <c:pt idx="154">
                    <c:v>Algeria</c:v>
                  </c:pt>
                  <c:pt idx="155">
                    <c:v>Laos</c:v>
                  </c:pt>
                  <c:pt idx="156">
                    <c:v>Myanmar</c:v>
                  </c:pt>
                  <c:pt idx="159">
                    <c:v>Gabon</c:v>
                  </c:pt>
                  <c:pt idx="160">
                    <c:v>Burundi</c:v>
                  </c:pt>
                  <c:pt idx="161">
                    <c:v>Niger</c:v>
                  </c:pt>
                  <c:pt idx="162">
                    <c:v>Syria</c:v>
                  </c:pt>
                  <c:pt idx="164">
                    <c:v>Somalia</c:v>
                  </c:pt>
                  <c:pt idx="165">
                    <c:v>Lesotho</c:v>
                  </c:pt>
                  <c:pt idx="167">
                    <c:v>Congo</c:v>
                  </c:pt>
                  <c:pt idx="168">
                    <c:v>Chad</c:v>
                  </c:pt>
                  <c:pt idx="169">
                    <c:v>Liberia</c:v>
                  </c:pt>
                  <c:pt idx="171">
                    <c:v>Turkmenistan</c:v>
                  </c:pt>
                  <c:pt idx="173">
                    <c:v>Cuba</c:v>
                  </c:pt>
                  <c:pt idx="175">
                    <c:v>Djibouti</c:v>
                  </c:pt>
                  <c:pt idx="176">
                    <c:v>Democratic Republic of the Congo</c:v>
                  </c:pt>
                  <c:pt idx="178">
                    <c:v>Equatorial Guinea</c:v>
                  </c:pt>
                  <c:pt idx="179">
                    <c:v>Iraq</c:v>
                  </c:pt>
                  <c:pt idx="180">
                    <c:v>Mauritania</c:v>
                  </c:pt>
                  <c:pt idx="181">
                    <c:v>South Sudan</c:v>
                  </c:pt>
                  <c:pt idx="182">
                    <c:v>Afghanistan</c:v>
                  </c:pt>
                  <c:pt idx="183">
                    <c:v>Haiti</c:v>
                  </c:pt>
                  <c:pt idx="184">
                    <c:v>Yemen</c:v>
                  </c:pt>
                  <c:pt idx="185">
                    <c:v>Sudan</c:v>
                  </c:pt>
                  <c:pt idx="186">
                    <c:v>Guinea-Bissau</c:v>
                  </c:pt>
                  <c:pt idx="187">
                    <c:v>C.A.R.</c:v>
                  </c:pt>
                  <c:pt idx="188">
                    <c:v>Gambia</c:v>
                  </c:pt>
                  <c:pt idx="189">
                    <c:v>Libya</c:v>
                  </c:pt>
                  <c:pt idx="190">
                    <c:v>North Korea</c:v>
                  </c:pt>
                  <c:pt idx="192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DC-9D16-0749-8103-F23CE13D000B}"/>
            </c:ext>
          </c:extLst>
        </c:ser>
        <c:ser>
          <c:idx val="1"/>
          <c:order val="1"/>
          <c:spPr>
            <a:solidFill>
              <a:srgbClr val="E97132">
                <a:alpha val="75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D-9D16-0749-8103-F23CE13D000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E-9D16-0749-8103-F23CE13D000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F-9D16-0749-8103-F23CE13D000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0-9D16-0749-8103-F23CE13D000B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1-9D16-0749-8103-F23CE13D000B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2-9D16-0749-8103-F23CE13D000B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3-9D16-0749-8103-F23CE13D000B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4-9D16-0749-8103-F23CE13D000B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5-9D16-0749-8103-F23CE13D000B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1.0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6-9D16-0749-8103-F23CE13D00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0"/>
              <c:pt idx="0">
                <c:v>0.05</c:v>
              </c:pt>
              <c:pt idx="1">
                <c:v>0.05</c:v>
              </c:pt>
              <c:pt idx="2">
                <c:v>0.05</c:v>
              </c:pt>
              <c:pt idx="3">
                <c:v>0.05</c:v>
              </c:pt>
              <c:pt idx="4">
                <c:v>0.05</c:v>
              </c:pt>
              <c:pt idx="5">
                <c:v>0.05</c:v>
              </c:pt>
              <c:pt idx="6">
                <c:v>0.05</c:v>
              </c:pt>
              <c:pt idx="7">
                <c:v>0.05</c:v>
              </c:pt>
              <c:pt idx="8">
                <c:v>0.05</c:v>
              </c:pt>
              <c:pt idx="9">
                <c:v>0.05</c:v>
              </c:pt>
            </c:numLit>
          </c:xVal>
          <c:yVal>
            <c:numLit>
              <c:formatCode>General</c:formatCode>
              <c:ptCount val="10"/>
              <c:pt idx="0">
                <c:v>0.1</c:v>
              </c:pt>
              <c:pt idx="1">
                <c:v>0.2</c:v>
              </c:pt>
              <c:pt idx="2">
                <c:v>0.3</c:v>
              </c:pt>
              <c:pt idx="3">
                <c:v>0.4</c:v>
              </c:pt>
              <c:pt idx="4">
                <c:v>0.5</c:v>
              </c:pt>
              <c:pt idx="5">
                <c:v>0.6</c:v>
              </c:pt>
              <c:pt idx="6">
                <c:v>0.7</c:v>
              </c:pt>
              <c:pt idx="7">
                <c:v>0.8</c:v>
              </c:pt>
              <c:pt idx="8">
                <c:v>0.9</c:v>
              </c:pt>
              <c:pt idx="9">
                <c:v>1</c:v>
              </c:pt>
            </c:numLit>
          </c:yVal>
          <c:bubble3D val="0"/>
          <c:extLst>
            <c:ext xmlns:c15="http://schemas.microsoft.com/office/drawing/2012/chart" uri="{02D57815-91ED-43cb-92C2-25804820EDAC}">
              <c15:filteredSeriesTitle>
                <c15:tx>
                  <c:v>DummyYLabels</c:v>
                </c15:tx>
              </c15:filteredSeriesTitle>
            </c:ext>
            <c:ext xmlns:c16="http://schemas.microsoft.com/office/drawing/2014/chart" uri="{C3380CC4-5D6E-409C-BE32-E72D297353CC}">
              <c16:uniqueId val="{000001E7-9D16-0749-8103-F23CE13D0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23347552"/>
        <c:axId val="323349264"/>
      </c:bubbleChart>
      <c:valAx>
        <c:axId val="323347552"/>
        <c:scaling>
          <c:logBase val="10"/>
          <c:orientation val="minMax"/>
          <c:max val="1500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99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9264"/>
        <c:crosses val="autoZero"/>
        <c:crossBetween val="midCat"/>
        <c:majorUnit val="10"/>
        <c:minorUnit val="10"/>
      </c:valAx>
      <c:valAx>
        <c:axId val="323349264"/>
        <c:scaling>
          <c:orientation val="minMax"/>
          <c:max val="1.09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7552"/>
        <c:crossesAt val="300"/>
        <c:crossBetween val="midCat"/>
        <c:majorUnit val="0.1"/>
        <c:minorUnit val="0.05"/>
      </c:valAx>
      <c:spPr>
        <a:noFill/>
        <a:ln w="254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0"/>
            </a:pPr>
            <a:r>
              <a:rPr lang="en-US" b="0"/>
              <a:t>EPI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35083478861055739"/>
          <c:y val="0.15608598945237778"/>
          <c:w val="0.51846972644254419"/>
          <c:h val="0.78897555393991825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3-8841-9C72-179B1729F337}"/>
            </c:ext>
          </c:extLst>
        </c:ser>
        <c:ser>
          <c:idx val="1"/>
          <c:order val="1"/>
          <c:spPr>
            <a:solidFill>
              <a:srgbClr val="FF34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2-BA83-8841-9C72-179B1729F337}"/>
            </c:ext>
          </c:extLst>
        </c:ser>
        <c:ser>
          <c:idx val="2"/>
          <c:order val="2"/>
          <c:spPr>
            <a:solidFill>
              <a:srgbClr val="FF353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3-BA83-8841-9C72-179B1729F337}"/>
            </c:ext>
          </c:extLst>
        </c:ser>
        <c:ser>
          <c:idx val="3"/>
          <c:order val="3"/>
          <c:spPr>
            <a:solidFill>
              <a:srgbClr val="FF373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4-BA83-8841-9C72-179B1729F337}"/>
            </c:ext>
          </c:extLst>
        </c:ser>
        <c:ser>
          <c:idx val="4"/>
          <c:order val="4"/>
          <c:spPr>
            <a:solidFill>
              <a:srgbClr val="FF394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5-BA83-8841-9C72-179B1729F337}"/>
            </c:ext>
          </c:extLst>
        </c:ser>
        <c:ser>
          <c:idx val="5"/>
          <c:order val="5"/>
          <c:spPr>
            <a:solidFill>
              <a:srgbClr val="FF3A4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6-BA83-8841-9C72-179B1729F337}"/>
            </c:ext>
          </c:extLst>
        </c:ser>
        <c:ser>
          <c:idx val="6"/>
          <c:order val="6"/>
          <c:spPr>
            <a:solidFill>
              <a:srgbClr val="FF3C4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7-BA83-8841-9C72-179B1729F337}"/>
            </c:ext>
          </c:extLst>
        </c:ser>
        <c:ser>
          <c:idx val="7"/>
          <c:order val="7"/>
          <c:spPr>
            <a:solidFill>
              <a:srgbClr val="FF3E4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8-BA83-8841-9C72-179B1729F337}"/>
            </c:ext>
          </c:extLst>
        </c:ser>
        <c:ser>
          <c:idx val="8"/>
          <c:order val="8"/>
          <c:spPr>
            <a:solidFill>
              <a:srgbClr val="FF3F5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9-BA83-8841-9C72-179B1729F337}"/>
            </c:ext>
          </c:extLst>
        </c:ser>
        <c:ser>
          <c:idx val="9"/>
          <c:order val="9"/>
          <c:spPr>
            <a:solidFill>
              <a:srgbClr val="FF415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A-BA83-8841-9C72-179B1729F337}"/>
            </c:ext>
          </c:extLst>
        </c:ser>
        <c:ser>
          <c:idx val="10"/>
          <c:order val="10"/>
          <c:spPr>
            <a:solidFill>
              <a:srgbClr val="FF435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B-BA83-8841-9C72-179B1729F337}"/>
            </c:ext>
          </c:extLst>
        </c:ser>
        <c:ser>
          <c:idx val="11"/>
          <c:order val="11"/>
          <c:spPr>
            <a:solidFill>
              <a:srgbClr val="FF445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C-BA83-8841-9C72-179B1729F337}"/>
            </c:ext>
          </c:extLst>
        </c:ser>
        <c:ser>
          <c:idx val="12"/>
          <c:order val="12"/>
          <c:spPr>
            <a:solidFill>
              <a:srgbClr val="FF466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D-BA83-8841-9C72-179B1729F337}"/>
            </c:ext>
          </c:extLst>
        </c:ser>
        <c:ser>
          <c:idx val="13"/>
          <c:order val="13"/>
          <c:spPr>
            <a:solidFill>
              <a:srgbClr val="FF486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E-BA83-8841-9C72-179B1729F337}"/>
            </c:ext>
          </c:extLst>
        </c:ser>
        <c:ser>
          <c:idx val="14"/>
          <c:order val="14"/>
          <c:spPr>
            <a:solidFill>
              <a:srgbClr val="FF496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F-BA83-8841-9C72-179B1729F337}"/>
            </c:ext>
          </c:extLst>
        </c:ser>
        <c:ser>
          <c:idx val="15"/>
          <c:order val="15"/>
          <c:spPr>
            <a:solidFill>
              <a:srgbClr val="FF4B6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0-BA83-8841-9C72-179B1729F337}"/>
            </c:ext>
          </c:extLst>
        </c:ser>
        <c:ser>
          <c:idx val="16"/>
          <c:order val="16"/>
          <c:spPr>
            <a:solidFill>
              <a:srgbClr val="FF4D7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1-BA83-8841-9C72-179B1729F337}"/>
            </c:ext>
          </c:extLst>
        </c:ser>
        <c:ser>
          <c:idx val="17"/>
          <c:order val="17"/>
          <c:spPr>
            <a:solidFill>
              <a:srgbClr val="FF4E7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2-BA83-8841-9C72-179B1729F337}"/>
            </c:ext>
          </c:extLst>
        </c:ser>
        <c:ser>
          <c:idx val="18"/>
          <c:order val="18"/>
          <c:spPr>
            <a:solidFill>
              <a:srgbClr val="FF50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3-BA83-8841-9C72-179B1729F337}"/>
            </c:ext>
          </c:extLst>
        </c:ser>
        <c:ser>
          <c:idx val="19"/>
          <c:order val="19"/>
          <c:spPr>
            <a:solidFill>
              <a:srgbClr val="FF52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4-BA83-8841-9C72-179B1729F337}"/>
            </c:ext>
          </c:extLst>
        </c:ser>
        <c:ser>
          <c:idx val="20"/>
          <c:order val="20"/>
          <c:spPr>
            <a:solidFill>
              <a:srgbClr val="FF538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5-BA83-8841-9C72-179B1729F337}"/>
            </c:ext>
          </c:extLst>
        </c:ser>
        <c:ser>
          <c:idx val="21"/>
          <c:order val="21"/>
          <c:spPr>
            <a:solidFill>
              <a:srgbClr val="FF558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6-BA83-8841-9C72-179B1729F337}"/>
            </c:ext>
          </c:extLst>
        </c:ser>
        <c:ser>
          <c:idx val="22"/>
          <c:order val="22"/>
          <c:spPr>
            <a:solidFill>
              <a:srgbClr val="FF578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7-BA83-8841-9C72-179B1729F337}"/>
            </c:ext>
          </c:extLst>
        </c:ser>
        <c:ser>
          <c:idx val="23"/>
          <c:order val="23"/>
          <c:spPr>
            <a:solidFill>
              <a:srgbClr val="FF58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8-BA83-8841-9C72-179B1729F337}"/>
            </c:ext>
          </c:extLst>
        </c:ser>
        <c:ser>
          <c:idx val="24"/>
          <c:order val="24"/>
          <c:spPr>
            <a:solidFill>
              <a:srgbClr val="FF5A9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9-BA83-8841-9C72-179B1729F337}"/>
            </c:ext>
          </c:extLst>
        </c:ser>
        <c:ser>
          <c:idx val="25"/>
          <c:order val="25"/>
          <c:spPr>
            <a:solidFill>
              <a:srgbClr val="FF5C9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A-BA83-8841-9C72-179B1729F337}"/>
            </c:ext>
          </c:extLst>
        </c:ser>
        <c:ser>
          <c:idx val="26"/>
          <c:order val="26"/>
          <c:spPr>
            <a:solidFill>
              <a:srgbClr val="FF5D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B-BA83-8841-9C72-179B1729F337}"/>
            </c:ext>
          </c:extLst>
        </c:ser>
        <c:ser>
          <c:idx val="27"/>
          <c:order val="27"/>
          <c:spPr>
            <a:solidFill>
              <a:srgbClr val="FF5F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C-BA83-8841-9C72-179B1729F337}"/>
            </c:ext>
          </c:extLst>
        </c:ser>
        <c:ser>
          <c:idx val="28"/>
          <c:order val="28"/>
          <c:spPr>
            <a:solidFill>
              <a:srgbClr val="FF61A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D-BA83-8841-9C72-179B1729F337}"/>
            </c:ext>
          </c:extLst>
        </c:ser>
        <c:ser>
          <c:idx val="29"/>
          <c:order val="29"/>
          <c:spPr>
            <a:solidFill>
              <a:srgbClr val="FF62A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E-BA83-8841-9C72-179B1729F337}"/>
            </c:ext>
          </c:extLst>
        </c:ser>
        <c:ser>
          <c:idx val="30"/>
          <c:order val="30"/>
          <c:spPr>
            <a:solidFill>
              <a:srgbClr val="FF64A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F-BA83-8841-9C72-179B1729F337}"/>
            </c:ext>
          </c:extLst>
        </c:ser>
        <c:ser>
          <c:idx val="31"/>
          <c:order val="31"/>
          <c:spPr>
            <a:solidFill>
              <a:srgbClr val="FF66B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0-BA83-8841-9C72-179B1729F337}"/>
            </c:ext>
          </c:extLst>
        </c:ser>
        <c:ser>
          <c:idx val="32"/>
          <c:order val="32"/>
          <c:spPr>
            <a:solidFill>
              <a:srgbClr val="FF67B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1-BA83-8841-9C72-179B1729F337}"/>
            </c:ext>
          </c:extLst>
        </c:ser>
        <c:ser>
          <c:idx val="33"/>
          <c:order val="33"/>
          <c:spPr>
            <a:solidFill>
              <a:srgbClr val="FF69B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2-BA83-8841-9C72-179B1729F337}"/>
            </c:ext>
          </c:extLst>
        </c:ser>
        <c:ser>
          <c:idx val="34"/>
          <c:order val="34"/>
          <c:spPr>
            <a:solidFill>
              <a:srgbClr val="FF6B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3-BA83-8841-9C72-179B1729F337}"/>
            </c:ext>
          </c:extLst>
        </c:ser>
        <c:ser>
          <c:idx val="35"/>
          <c:order val="35"/>
          <c:spPr>
            <a:solidFill>
              <a:srgbClr val="FF6CC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4-BA83-8841-9C72-179B1729F337}"/>
            </c:ext>
          </c:extLst>
        </c:ser>
        <c:ser>
          <c:idx val="36"/>
          <c:order val="36"/>
          <c:spPr>
            <a:solidFill>
              <a:srgbClr val="FF6EC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5-BA83-8841-9C72-179B1729F337}"/>
            </c:ext>
          </c:extLst>
        </c:ser>
        <c:ser>
          <c:idx val="37"/>
          <c:order val="37"/>
          <c:spPr>
            <a:solidFill>
              <a:srgbClr val="FF70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6-BA83-8841-9C72-179B1729F337}"/>
            </c:ext>
          </c:extLst>
        </c:ser>
        <c:ser>
          <c:idx val="38"/>
          <c:order val="38"/>
          <c:spPr>
            <a:solidFill>
              <a:srgbClr val="FF71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7-BA83-8841-9C72-179B1729F337}"/>
            </c:ext>
          </c:extLst>
        </c:ser>
        <c:ser>
          <c:idx val="39"/>
          <c:order val="39"/>
          <c:spPr>
            <a:solidFill>
              <a:srgbClr val="FF73D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8-BA83-8841-9C72-179B1729F337}"/>
            </c:ext>
          </c:extLst>
        </c:ser>
        <c:ser>
          <c:idx val="40"/>
          <c:order val="40"/>
          <c:spPr>
            <a:solidFill>
              <a:srgbClr val="FF75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9-BA83-8841-9C72-179B1729F337}"/>
            </c:ext>
          </c:extLst>
        </c:ser>
        <c:ser>
          <c:idx val="41"/>
          <c:order val="41"/>
          <c:spPr>
            <a:solidFill>
              <a:srgbClr val="FF76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A-BA83-8841-9C72-179B1729F337}"/>
            </c:ext>
          </c:extLst>
        </c:ser>
        <c:ser>
          <c:idx val="42"/>
          <c:order val="42"/>
          <c:spPr>
            <a:solidFill>
              <a:srgbClr val="FF78D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B-BA83-8841-9C72-179B1729F337}"/>
            </c:ext>
          </c:extLst>
        </c:ser>
        <c:ser>
          <c:idx val="43"/>
          <c:order val="43"/>
          <c:spPr>
            <a:solidFill>
              <a:srgbClr val="FF79E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C-BA83-8841-9C72-179B1729F337}"/>
            </c:ext>
          </c:extLst>
        </c:ser>
        <c:ser>
          <c:idx val="44"/>
          <c:order val="44"/>
          <c:spPr>
            <a:solidFill>
              <a:srgbClr val="FF7B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D-BA83-8841-9C72-179B1729F337}"/>
            </c:ext>
          </c:extLst>
        </c:ser>
        <c:ser>
          <c:idx val="45"/>
          <c:order val="45"/>
          <c:spPr>
            <a:solidFill>
              <a:srgbClr val="FF7D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E-BA83-8841-9C72-179B1729F337}"/>
            </c:ext>
          </c:extLst>
        </c:ser>
        <c:ser>
          <c:idx val="46"/>
          <c:order val="46"/>
          <c:spPr>
            <a:solidFill>
              <a:srgbClr val="FF7E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F-BA83-8841-9C72-179B1729F337}"/>
            </c:ext>
          </c:extLst>
        </c:ser>
        <c:ser>
          <c:idx val="47"/>
          <c:order val="47"/>
          <c:spPr>
            <a:solidFill>
              <a:srgbClr val="FF80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0-BA83-8841-9C72-179B1729F337}"/>
            </c:ext>
          </c:extLst>
        </c:ser>
        <c:ser>
          <c:idx val="48"/>
          <c:order val="48"/>
          <c:spPr>
            <a:solidFill>
              <a:srgbClr val="FF82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1-BA83-8841-9C72-179B1729F337}"/>
            </c:ext>
          </c:extLst>
        </c:ser>
        <c:ser>
          <c:idx val="49"/>
          <c:order val="49"/>
          <c:spPr>
            <a:solidFill>
              <a:srgbClr val="FF83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2-BA83-8841-9C72-179B1729F337}"/>
            </c:ext>
          </c:extLst>
        </c:ser>
        <c:ser>
          <c:idx val="50"/>
          <c:order val="50"/>
          <c:spPr>
            <a:solidFill>
              <a:srgbClr val="FF85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3-BA83-8841-9C72-179B1729F337}"/>
            </c:ext>
          </c:extLst>
        </c:ser>
        <c:ser>
          <c:idx val="51"/>
          <c:order val="51"/>
          <c:spPr>
            <a:solidFill>
              <a:srgbClr val="FA88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4-BA83-8841-9C72-179B1729F337}"/>
            </c:ext>
          </c:extLst>
        </c:ser>
        <c:ser>
          <c:idx val="52"/>
          <c:order val="52"/>
          <c:spPr>
            <a:solidFill>
              <a:srgbClr val="F58A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5-BA83-8841-9C72-179B1729F337}"/>
            </c:ext>
          </c:extLst>
        </c:ser>
        <c:ser>
          <c:idx val="53"/>
          <c:order val="53"/>
          <c:spPr>
            <a:solidFill>
              <a:srgbClr val="F08C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6-BA83-8841-9C72-179B1729F337}"/>
            </c:ext>
          </c:extLst>
        </c:ser>
        <c:ser>
          <c:idx val="54"/>
          <c:order val="54"/>
          <c:spPr>
            <a:solidFill>
              <a:srgbClr val="EB8F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7-BA83-8841-9C72-179B1729F337}"/>
            </c:ext>
          </c:extLst>
        </c:ser>
        <c:ser>
          <c:idx val="55"/>
          <c:order val="55"/>
          <c:spPr>
            <a:solidFill>
              <a:srgbClr val="E691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8-BA83-8841-9C72-179B1729F337}"/>
            </c:ext>
          </c:extLst>
        </c:ser>
        <c:ser>
          <c:idx val="56"/>
          <c:order val="56"/>
          <c:spPr>
            <a:solidFill>
              <a:srgbClr val="E094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9-BA83-8841-9C72-179B1729F337}"/>
            </c:ext>
          </c:extLst>
        </c:ser>
        <c:ser>
          <c:idx val="57"/>
          <c:order val="57"/>
          <c:spPr>
            <a:solidFill>
              <a:srgbClr val="DB96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A-BA83-8841-9C72-179B1729F337}"/>
            </c:ext>
          </c:extLst>
        </c:ser>
        <c:ser>
          <c:idx val="58"/>
          <c:order val="58"/>
          <c:spPr>
            <a:solidFill>
              <a:srgbClr val="D698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B-BA83-8841-9C72-179B1729F337}"/>
            </c:ext>
          </c:extLst>
        </c:ser>
        <c:ser>
          <c:idx val="59"/>
          <c:order val="59"/>
          <c:spPr>
            <a:solidFill>
              <a:srgbClr val="D19B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C-BA83-8841-9C72-179B1729F337}"/>
            </c:ext>
          </c:extLst>
        </c:ser>
        <c:ser>
          <c:idx val="60"/>
          <c:order val="60"/>
          <c:spPr>
            <a:solidFill>
              <a:srgbClr val="CC9D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D-BA83-8841-9C72-179B1729F337}"/>
            </c:ext>
          </c:extLst>
        </c:ser>
        <c:ser>
          <c:idx val="61"/>
          <c:order val="61"/>
          <c:spPr>
            <a:solidFill>
              <a:srgbClr val="C7A0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E-BA83-8841-9C72-179B1729F337}"/>
            </c:ext>
          </c:extLst>
        </c:ser>
        <c:ser>
          <c:idx val="62"/>
          <c:order val="62"/>
          <c:spPr>
            <a:solidFill>
              <a:srgbClr val="C2A2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F-BA83-8841-9C72-179B1729F337}"/>
            </c:ext>
          </c:extLst>
        </c:ser>
        <c:ser>
          <c:idx val="63"/>
          <c:order val="63"/>
          <c:spPr>
            <a:solidFill>
              <a:srgbClr val="BDA5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0-BA83-8841-9C72-179B1729F337}"/>
            </c:ext>
          </c:extLst>
        </c:ser>
        <c:ser>
          <c:idx val="64"/>
          <c:order val="64"/>
          <c:spPr>
            <a:solidFill>
              <a:srgbClr val="B8A7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1-BA83-8841-9C72-179B1729F337}"/>
            </c:ext>
          </c:extLst>
        </c:ser>
        <c:ser>
          <c:idx val="65"/>
          <c:order val="65"/>
          <c:spPr>
            <a:solidFill>
              <a:srgbClr val="B3A9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2-BA83-8841-9C72-179B1729F337}"/>
            </c:ext>
          </c:extLst>
        </c:ser>
        <c:ser>
          <c:idx val="66"/>
          <c:order val="66"/>
          <c:spPr>
            <a:solidFill>
              <a:srgbClr val="AEAC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3-BA83-8841-9C72-179B1729F337}"/>
            </c:ext>
          </c:extLst>
        </c:ser>
        <c:ser>
          <c:idx val="67"/>
          <c:order val="67"/>
          <c:spPr>
            <a:solidFill>
              <a:srgbClr val="A9AE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4-BA83-8841-9C72-179B1729F337}"/>
            </c:ext>
          </c:extLst>
        </c:ser>
        <c:ser>
          <c:idx val="68"/>
          <c:order val="68"/>
          <c:spPr>
            <a:solidFill>
              <a:srgbClr val="A4B1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5-BA83-8841-9C72-179B1729F337}"/>
            </c:ext>
          </c:extLst>
        </c:ser>
        <c:ser>
          <c:idx val="69"/>
          <c:order val="69"/>
          <c:spPr>
            <a:solidFill>
              <a:srgbClr val="9FB3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6-BA83-8841-9C72-179B1729F337}"/>
            </c:ext>
          </c:extLst>
        </c:ser>
        <c:ser>
          <c:idx val="70"/>
          <c:order val="70"/>
          <c:spPr>
            <a:solidFill>
              <a:srgbClr val="9AB5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7-BA83-8841-9C72-179B1729F337}"/>
            </c:ext>
          </c:extLst>
        </c:ser>
        <c:ser>
          <c:idx val="71"/>
          <c:order val="71"/>
          <c:spPr>
            <a:solidFill>
              <a:srgbClr val="95B8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8-BA83-8841-9C72-179B1729F337}"/>
            </c:ext>
          </c:extLst>
        </c:ser>
        <c:ser>
          <c:idx val="72"/>
          <c:order val="72"/>
          <c:spPr>
            <a:solidFill>
              <a:srgbClr val="90BA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9-BA83-8841-9C72-179B1729F337}"/>
            </c:ext>
          </c:extLst>
        </c:ser>
        <c:ser>
          <c:idx val="73"/>
          <c:order val="73"/>
          <c:spPr>
            <a:solidFill>
              <a:srgbClr val="8BBD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A-BA83-8841-9C72-179B1729F337}"/>
            </c:ext>
          </c:extLst>
        </c:ser>
        <c:ser>
          <c:idx val="74"/>
          <c:order val="74"/>
          <c:spPr>
            <a:solidFill>
              <a:srgbClr val="86BF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B-BA83-8841-9C72-179B1729F337}"/>
            </c:ext>
          </c:extLst>
        </c:ser>
        <c:ser>
          <c:idx val="75"/>
          <c:order val="75"/>
          <c:spPr>
            <a:solidFill>
              <a:srgbClr val="81C1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C-BA83-8841-9C72-179B1729F337}"/>
            </c:ext>
          </c:extLst>
        </c:ser>
        <c:ser>
          <c:idx val="76"/>
          <c:order val="76"/>
          <c:spPr>
            <a:solidFill>
              <a:srgbClr val="7CC4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D-BA83-8841-9C72-179B1729F337}"/>
            </c:ext>
          </c:extLst>
        </c:ser>
        <c:ser>
          <c:idx val="77"/>
          <c:order val="77"/>
          <c:spPr>
            <a:solidFill>
              <a:srgbClr val="77C6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E-BA83-8841-9C72-179B1729F337}"/>
            </c:ext>
          </c:extLst>
        </c:ser>
        <c:ser>
          <c:idx val="78"/>
          <c:order val="78"/>
          <c:spPr>
            <a:solidFill>
              <a:srgbClr val="71C9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F-BA83-8841-9C72-179B1729F337}"/>
            </c:ext>
          </c:extLst>
        </c:ser>
        <c:ser>
          <c:idx val="79"/>
          <c:order val="79"/>
          <c:spPr>
            <a:solidFill>
              <a:srgbClr val="6CCB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0-BA83-8841-9C72-179B1729F337}"/>
            </c:ext>
          </c:extLst>
        </c:ser>
        <c:ser>
          <c:idx val="80"/>
          <c:order val="80"/>
          <c:spPr>
            <a:solidFill>
              <a:srgbClr val="67CE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1-BA83-8841-9C72-179B1729F337}"/>
            </c:ext>
          </c:extLst>
        </c:ser>
        <c:ser>
          <c:idx val="81"/>
          <c:order val="81"/>
          <c:spPr>
            <a:solidFill>
              <a:srgbClr val="62D0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2-BA83-8841-9C72-179B1729F337}"/>
            </c:ext>
          </c:extLst>
        </c:ser>
        <c:ser>
          <c:idx val="82"/>
          <c:order val="82"/>
          <c:spPr>
            <a:solidFill>
              <a:srgbClr val="5DD2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3-BA83-8841-9C72-179B1729F337}"/>
            </c:ext>
          </c:extLst>
        </c:ser>
        <c:ser>
          <c:idx val="83"/>
          <c:order val="83"/>
          <c:spPr>
            <a:solidFill>
              <a:srgbClr val="58D5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4-BA83-8841-9C72-179B1729F337}"/>
            </c:ext>
          </c:extLst>
        </c:ser>
        <c:ser>
          <c:idx val="84"/>
          <c:order val="84"/>
          <c:spPr>
            <a:solidFill>
              <a:srgbClr val="53D7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5-BA83-8841-9C72-179B1729F337}"/>
            </c:ext>
          </c:extLst>
        </c:ser>
        <c:ser>
          <c:idx val="85"/>
          <c:order val="85"/>
          <c:spPr>
            <a:solidFill>
              <a:srgbClr val="4EDA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6-BA83-8841-9C72-179B1729F337}"/>
            </c:ext>
          </c:extLst>
        </c:ser>
        <c:ser>
          <c:idx val="86"/>
          <c:order val="86"/>
          <c:spPr>
            <a:solidFill>
              <a:srgbClr val="49DC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7-BA83-8841-9C72-179B1729F337}"/>
            </c:ext>
          </c:extLst>
        </c:ser>
        <c:ser>
          <c:idx val="87"/>
          <c:order val="87"/>
          <c:spPr>
            <a:solidFill>
              <a:srgbClr val="44DE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8-BA83-8841-9C72-179B1729F337}"/>
            </c:ext>
          </c:extLst>
        </c:ser>
        <c:ser>
          <c:idx val="88"/>
          <c:order val="88"/>
          <c:spPr>
            <a:solidFill>
              <a:srgbClr val="3FE1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9-BA83-8841-9C72-179B1729F337}"/>
            </c:ext>
          </c:extLst>
        </c:ser>
        <c:ser>
          <c:idx val="89"/>
          <c:order val="89"/>
          <c:spPr>
            <a:solidFill>
              <a:srgbClr val="3AE3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A-BA83-8841-9C72-179B1729F337}"/>
            </c:ext>
          </c:extLst>
        </c:ser>
        <c:ser>
          <c:idx val="90"/>
          <c:order val="90"/>
          <c:spPr>
            <a:solidFill>
              <a:srgbClr val="35E6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B-BA83-8841-9C72-179B1729F337}"/>
            </c:ext>
          </c:extLst>
        </c:ser>
        <c:ser>
          <c:idx val="91"/>
          <c:order val="91"/>
          <c:spPr>
            <a:solidFill>
              <a:srgbClr val="30E8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C-BA83-8841-9C72-179B1729F337}"/>
            </c:ext>
          </c:extLst>
        </c:ser>
        <c:ser>
          <c:idx val="92"/>
          <c:order val="92"/>
          <c:spPr>
            <a:solidFill>
              <a:srgbClr val="2BEA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D-BA83-8841-9C72-179B1729F337}"/>
            </c:ext>
          </c:extLst>
        </c:ser>
        <c:ser>
          <c:idx val="93"/>
          <c:order val="93"/>
          <c:spPr>
            <a:solidFill>
              <a:srgbClr val="26ED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E-BA83-8841-9C72-179B1729F337}"/>
            </c:ext>
          </c:extLst>
        </c:ser>
        <c:ser>
          <c:idx val="94"/>
          <c:order val="94"/>
          <c:spPr>
            <a:solidFill>
              <a:srgbClr val="21EF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F-BA83-8841-9C72-179B1729F337}"/>
            </c:ext>
          </c:extLst>
        </c:ser>
        <c:ser>
          <c:idx val="95"/>
          <c:order val="95"/>
          <c:spPr>
            <a:solidFill>
              <a:srgbClr val="1CF2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0-BA83-8841-9C72-179B1729F337}"/>
            </c:ext>
          </c:extLst>
        </c:ser>
        <c:ser>
          <c:idx val="96"/>
          <c:order val="96"/>
          <c:spPr>
            <a:solidFill>
              <a:srgbClr val="17F4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1-BA83-8841-9C72-179B1729F337}"/>
            </c:ext>
          </c:extLst>
        </c:ser>
        <c:ser>
          <c:idx val="97"/>
          <c:order val="97"/>
          <c:spPr>
            <a:solidFill>
              <a:srgbClr val="12F7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2-BA83-8841-9C72-179B1729F337}"/>
            </c:ext>
          </c:extLst>
        </c:ser>
        <c:ser>
          <c:idx val="98"/>
          <c:order val="98"/>
          <c:spPr>
            <a:solidFill>
              <a:srgbClr val="0DF9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3-BA83-8841-9C72-179B1729F337}"/>
            </c:ext>
          </c:extLst>
        </c:ser>
        <c:ser>
          <c:idx val="99"/>
          <c:order val="99"/>
          <c:spPr>
            <a:solidFill>
              <a:srgbClr val="08FB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4-BA83-8841-9C72-179B1729F337}"/>
            </c:ext>
          </c:extLst>
        </c:ser>
        <c:ser>
          <c:idx val="100"/>
          <c:order val="100"/>
          <c:spPr>
            <a:solidFill>
              <a:srgbClr val="03FEE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5-BA83-8841-9C72-179B1729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403632"/>
        <c:axId val="1138009183"/>
      </c:barChart>
      <c:catAx>
        <c:axId val="9140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8009183"/>
        <c:crosses val="autoZero"/>
        <c:auto val="1"/>
        <c:lblAlgn val="ctr"/>
        <c:lblOffset val="100"/>
        <c:noMultiLvlLbl val="0"/>
      </c:catAx>
      <c:valAx>
        <c:axId val="1138009183"/>
        <c:scaling>
          <c:orientation val="minMax"/>
          <c:max val="1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1403632"/>
        <c:crosses val="autoZero"/>
        <c:crossBetween val="between"/>
        <c:majorUnit val="0.25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07676833254392E-2"/>
          <c:y val="9.6618886632550888E-2"/>
          <c:w val="0.91356821570458457"/>
          <c:h val="0.79725871561955797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19050">
              <a:solidFill>
                <a:schemeClr val="bg1">
                  <a:lumMod val="95000"/>
                  <a:alpha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7E8E3">
                  <a:alpha val="35000"/>
                </a:srgbClr>
              </a:solidFill>
              <a:ln w="19050" cap="flat" cmpd="sng" algn="ctr">
                <a:solidFill>
                  <a:srgbClr val="07E8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32-6347-9B90-7EBA536BB65A}"/>
              </c:ext>
            </c:extLst>
          </c:dPt>
          <c:dPt>
            <c:idx val="1"/>
            <c:invertIfNegative val="0"/>
            <c:bubble3D val="0"/>
            <c:spPr>
              <a:solidFill>
                <a:srgbClr val="03F3E8">
                  <a:alpha val="35000"/>
                </a:srgbClr>
              </a:solidFill>
              <a:ln w="19050" cap="flat" cmpd="sng" algn="ctr">
                <a:solidFill>
                  <a:srgbClr val="03F3E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32-6347-9B90-7EBA536BB65A}"/>
              </c:ext>
            </c:extLst>
          </c:dPt>
          <c:dPt>
            <c:idx val="2"/>
            <c:invertIfNegative val="0"/>
            <c:bubble3D val="0"/>
            <c:spPr>
              <a:solidFill>
                <a:srgbClr val="0ADCDE">
                  <a:alpha val="35000"/>
                </a:srgbClr>
              </a:solidFill>
              <a:ln w="19050" cap="flat" cmpd="sng" algn="ctr">
                <a:solidFill>
                  <a:srgbClr val="0ADCD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32-6347-9B90-7EBA536BB65A}"/>
              </c:ext>
            </c:extLst>
          </c:dPt>
          <c:dPt>
            <c:idx val="3"/>
            <c:invertIfNegative val="0"/>
            <c:bubble3D val="0"/>
            <c:spPr>
              <a:solidFill>
                <a:srgbClr val="0ADCDE">
                  <a:alpha val="35000"/>
                </a:srgbClr>
              </a:solidFill>
              <a:ln w="19050" cap="flat" cmpd="sng" algn="ctr">
                <a:solidFill>
                  <a:srgbClr val="0ADCD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132-6347-9B90-7EBA536BB65A}"/>
              </c:ext>
            </c:extLst>
          </c:dPt>
          <c:dPt>
            <c:idx val="4"/>
            <c:invertIfNegative val="0"/>
            <c:bubble3D val="0"/>
            <c:spPr>
              <a:solidFill>
                <a:srgbClr val="00FFED">
                  <a:alpha val="50000"/>
                </a:srgbClr>
              </a:solidFill>
              <a:ln w="19050" cap="flat" cmpd="sng" algn="ctr">
                <a:solidFill>
                  <a:srgbClr val="00FF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132-6347-9B90-7EBA536BB65A}"/>
              </c:ext>
            </c:extLst>
          </c:dPt>
          <c:dPt>
            <c:idx val="5"/>
            <c:invertIfNegative val="0"/>
            <c:bubble3D val="0"/>
            <c:spPr>
              <a:solidFill>
                <a:srgbClr val="0ADCDE">
                  <a:alpha val="35000"/>
                </a:srgbClr>
              </a:solidFill>
              <a:ln w="19050" cap="flat" cmpd="sng" algn="ctr">
                <a:solidFill>
                  <a:srgbClr val="0ADCD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132-6347-9B90-7EBA536BB65A}"/>
              </c:ext>
            </c:extLst>
          </c:dPt>
          <c:dPt>
            <c:idx val="6"/>
            <c:invertIfNegative val="0"/>
            <c:bubble3D val="0"/>
            <c:spPr>
              <a:solidFill>
                <a:srgbClr val="07E8E3">
                  <a:alpha val="35000"/>
                </a:srgbClr>
              </a:solidFill>
              <a:ln w="19050" cap="flat" cmpd="sng" algn="ctr">
                <a:solidFill>
                  <a:srgbClr val="07E8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132-6347-9B90-7EBA536BB65A}"/>
              </c:ext>
            </c:extLst>
          </c:dPt>
          <c:dPt>
            <c:idx val="7"/>
            <c:invertIfNegative val="0"/>
            <c:bubble3D val="0"/>
            <c:spPr>
              <a:solidFill>
                <a:srgbClr val="11C5D5">
                  <a:alpha val="35000"/>
                </a:srgbClr>
              </a:solidFill>
              <a:ln w="19050" cap="flat" cmpd="sng" algn="ctr">
                <a:solidFill>
                  <a:srgbClr val="11C5D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132-6347-9B90-7EBA536BB65A}"/>
              </c:ext>
            </c:extLst>
          </c:dPt>
          <c:dPt>
            <c:idx val="8"/>
            <c:invertIfNegative val="0"/>
            <c:bubble3D val="0"/>
            <c:spPr>
              <a:solidFill>
                <a:srgbClr val="03F3E8">
                  <a:alpha val="35000"/>
                </a:srgbClr>
              </a:solidFill>
              <a:ln w="19050" cap="flat" cmpd="sng" algn="ctr">
                <a:solidFill>
                  <a:srgbClr val="03F3E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132-6347-9B90-7EBA536BB65A}"/>
              </c:ext>
            </c:extLst>
          </c:dPt>
          <c:dPt>
            <c:idx val="9"/>
            <c:invertIfNegative val="0"/>
            <c:bubble3D val="0"/>
            <c:spPr>
              <a:solidFill>
                <a:srgbClr val="2580B8">
                  <a:alpha val="35000"/>
                </a:srgbClr>
              </a:solidFill>
              <a:ln w="19050" cap="flat" cmpd="sng" algn="ctr">
                <a:solidFill>
                  <a:srgbClr val="2580B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132-6347-9B90-7EBA536BB65A}"/>
              </c:ext>
            </c:extLst>
          </c:dPt>
          <c:dPt>
            <c:idx val="10"/>
            <c:invertIfNegative val="0"/>
            <c:bubble3D val="0"/>
            <c:spPr>
              <a:solidFill>
                <a:srgbClr val="23EEEF">
                  <a:alpha val="50000"/>
                </a:srgbClr>
              </a:solidFill>
              <a:ln w="19050" cap="flat" cmpd="sng" algn="ctr">
                <a:solidFill>
                  <a:srgbClr val="23EE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132-6347-9B90-7EBA536BB65A}"/>
              </c:ext>
            </c:extLst>
          </c:dPt>
          <c:dPt>
            <c:idx val="11"/>
            <c:invertIfNegative val="0"/>
            <c:bubble3D val="0"/>
            <c:spPr>
              <a:solidFill>
                <a:srgbClr val="07E8E3">
                  <a:alpha val="35000"/>
                </a:srgbClr>
              </a:solidFill>
              <a:ln w="19050" cap="flat" cmpd="sng" algn="ctr">
                <a:solidFill>
                  <a:srgbClr val="07E8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132-6347-9B90-7EBA536BB65A}"/>
              </c:ext>
            </c:extLst>
          </c:dPt>
          <c:dPt>
            <c:idx val="12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9-2132-6347-9B90-7EBA536BB65A}"/>
              </c:ext>
            </c:extLst>
          </c:dPt>
          <c:dPt>
            <c:idx val="13"/>
            <c:invertIfNegative val="0"/>
            <c:bubble3D val="0"/>
            <c:spPr>
              <a:solidFill>
                <a:srgbClr val="228BBC">
                  <a:alpha val="35000"/>
                </a:srgbClr>
              </a:solidFill>
              <a:ln w="19050" cap="flat" cmpd="sng" algn="ctr">
                <a:solidFill>
                  <a:srgbClr val="228BB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B-2132-6347-9B90-7EBA536BB65A}"/>
              </c:ext>
            </c:extLst>
          </c:dPt>
          <c:dPt>
            <c:idx val="14"/>
            <c:invertIfNegative val="0"/>
            <c:bubble3D val="0"/>
            <c:spPr>
              <a:solidFill>
                <a:srgbClr val="11C5D5">
                  <a:alpha val="35000"/>
                </a:srgbClr>
              </a:solidFill>
              <a:ln w="19050" cap="flat" cmpd="sng" algn="ctr">
                <a:solidFill>
                  <a:srgbClr val="11C5D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D-2132-6347-9B90-7EBA536BB65A}"/>
              </c:ext>
            </c:extLst>
          </c:dPt>
          <c:dPt>
            <c:idx val="15"/>
            <c:invertIfNegative val="0"/>
            <c:bubble3D val="0"/>
            <c:spPr>
              <a:solidFill>
                <a:srgbClr val="37469F">
                  <a:alpha val="35000"/>
                </a:srgbClr>
              </a:solidFill>
              <a:ln w="19050" cap="flat" cmpd="sng" algn="ctr">
                <a:solidFill>
                  <a:srgbClr val="37469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F-2132-6347-9B90-7EBA536BB65A}"/>
              </c:ext>
            </c:extLst>
          </c:dPt>
          <c:dPt>
            <c:idx val="16"/>
            <c:invertIfNegative val="0"/>
            <c:bubble3D val="0"/>
            <c:spPr>
              <a:solidFill>
                <a:srgbClr val="0ED1DA">
                  <a:alpha val="35000"/>
                </a:srgbClr>
              </a:solidFill>
              <a:ln w="19050" cap="flat" cmpd="sng" algn="ctr">
                <a:solidFill>
                  <a:srgbClr val="0ED1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1-2132-6347-9B90-7EBA536BB65A}"/>
              </c:ext>
            </c:extLst>
          </c:dPt>
          <c:dPt>
            <c:idx val="17"/>
            <c:invertIfNegative val="0"/>
            <c:bubble3D val="0"/>
            <c:spPr>
              <a:solidFill>
                <a:srgbClr val="228BBC">
                  <a:alpha val="35000"/>
                </a:srgbClr>
              </a:solidFill>
              <a:ln w="19050" cap="flat" cmpd="sng" algn="ctr">
                <a:solidFill>
                  <a:srgbClr val="228BB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3-2132-6347-9B90-7EBA536BB65A}"/>
              </c:ext>
            </c:extLst>
          </c:dPt>
          <c:dPt>
            <c:idx val="18"/>
            <c:invertIfNegative val="0"/>
            <c:bubble3D val="0"/>
            <c:spPr>
              <a:solidFill>
                <a:srgbClr val="1BA2C6">
                  <a:alpha val="35000"/>
                </a:srgbClr>
              </a:solidFill>
              <a:ln w="19050" cap="flat" cmpd="sng" algn="ctr">
                <a:solidFill>
                  <a:srgbClr val="1BA2C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5-2132-6347-9B90-7EBA536BB65A}"/>
              </c:ext>
            </c:extLst>
          </c:dPt>
          <c:dPt>
            <c:idx val="19"/>
            <c:invertIfNegative val="0"/>
            <c:bubble3D val="0"/>
            <c:spPr>
              <a:solidFill>
                <a:srgbClr val="0ADCDE">
                  <a:alpha val="35000"/>
                </a:srgbClr>
              </a:solidFill>
              <a:ln w="19050" cap="flat" cmpd="sng" algn="ctr">
                <a:solidFill>
                  <a:srgbClr val="0ADCD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7-2132-6347-9B90-7EBA536BB65A}"/>
              </c:ext>
            </c:extLst>
          </c:dPt>
          <c:dPt>
            <c:idx val="20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9-2132-6347-9B90-7EBA536BB65A}"/>
              </c:ext>
            </c:extLst>
          </c:dPt>
          <c:dPt>
            <c:idx val="21"/>
            <c:invertIfNegative val="0"/>
            <c:bubble3D val="0"/>
            <c:spPr>
              <a:solidFill>
                <a:srgbClr val="305DA9">
                  <a:alpha val="35000"/>
                </a:srgbClr>
              </a:solidFill>
              <a:ln w="19050" cap="flat" cmpd="sng" algn="ctr">
                <a:solidFill>
                  <a:srgbClr val="305DA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B-2132-6347-9B90-7EBA536BB65A}"/>
              </c:ext>
            </c:extLst>
          </c:dPt>
          <c:dPt>
            <c:idx val="22"/>
            <c:invertIfNegative val="0"/>
            <c:bubble3D val="0"/>
            <c:spPr>
              <a:solidFill>
                <a:srgbClr val="18AECB">
                  <a:alpha val="35000"/>
                </a:srgbClr>
              </a:solidFill>
              <a:ln w="19050" cap="flat" cmpd="sng" algn="ctr">
                <a:solidFill>
                  <a:srgbClr val="18AEC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D-2132-6347-9B90-7EBA536BB65A}"/>
              </c:ext>
            </c:extLst>
          </c:dPt>
          <c:dPt>
            <c:idx val="23"/>
            <c:invertIfNegative val="0"/>
            <c:bubble3D val="0"/>
            <c:spPr>
              <a:solidFill>
                <a:srgbClr val="53D7F3">
                  <a:alpha val="50000"/>
                </a:srgbClr>
              </a:solidFill>
              <a:ln w="19050" cap="flat" cmpd="sng" algn="ctr">
                <a:solidFill>
                  <a:srgbClr val="53D7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F-2132-6347-9B90-7EBA536BB65A}"/>
              </c:ext>
            </c:extLst>
          </c:dPt>
          <c:dPt>
            <c:idx val="24"/>
            <c:invertIfNegative val="0"/>
            <c:bubble3D val="0"/>
            <c:spPr>
              <a:solidFill>
                <a:srgbClr val="3EE1F1">
                  <a:alpha val="50000"/>
                </a:srgbClr>
              </a:solidFill>
              <a:ln w="19050" cap="flat" cmpd="sng" algn="ctr">
                <a:solidFill>
                  <a:srgbClr val="3EE1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1-2132-6347-9B90-7EBA536BB65A}"/>
              </c:ext>
            </c:extLst>
          </c:dPt>
          <c:dPt>
            <c:idx val="25"/>
            <c:invertIfNegative val="0"/>
            <c:bubble3D val="0"/>
            <c:spPr>
              <a:solidFill>
                <a:srgbClr val="2974B3">
                  <a:alpha val="35000"/>
                </a:srgbClr>
              </a:solidFill>
              <a:ln w="19050" cap="flat" cmpd="sng" algn="ctr">
                <a:solidFill>
                  <a:srgbClr val="2974B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3-2132-6347-9B90-7EBA536BB65A}"/>
              </c:ext>
            </c:extLst>
          </c:dPt>
          <c:dPt>
            <c:idx val="26"/>
            <c:invertIfNegative val="0"/>
            <c:bubble3D val="0"/>
            <c:spPr>
              <a:solidFill>
                <a:srgbClr val="3351A4">
                  <a:alpha val="35000"/>
                </a:srgbClr>
              </a:solidFill>
              <a:ln w="19050" cap="flat" cmpd="sng" algn="ctr">
                <a:solidFill>
                  <a:srgbClr val="3351A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5-2132-6347-9B90-7EBA536BB65A}"/>
              </c:ext>
            </c:extLst>
          </c:dPt>
          <c:dPt>
            <c:idx val="27"/>
            <c:invertIfNegative val="0"/>
            <c:bubble3D val="0"/>
            <c:spPr>
              <a:solidFill>
                <a:srgbClr val="228BBC">
                  <a:alpha val="35000"/>
                </a:srgbClr>
              </a:solidFill>
              <a:ln w="19050" cap="flat" cmpd="sng" algn="ctr">
                <a:solidFill>
                  <a:srgbClr val="228BB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7-2132-6347-9B90-7EBA536BB65A}"/>
              </c:ext>
            </c:extLst>
          </c:dPt>
          <c:dPt>
            <c:idx val="28"/>
            <c:invertIfNegative val="0"/>
            <c:bubble3D val="0"/>
            <c:spPr>
              <a:solidFill>
                <a:srgbClr val="14B9D0">
                  <a:alpha val="35000"/>
                </a:srgbClr>
              </a:solidFill>
              <a:ln w="19050" cap="flat" cmpd="sng" algn="ctr">
                <a:solidFill>
                  <a:srgbClr val="14B9D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9-2132-6347-9B90-7EBA536BB65A}"/>
              </c:ext>
            </c:extLst>
          </c:dPt>
          <c:dPt>
            <c:idx val="29"/>
            <c:invertIfNegative val="0"/>
            <c:bubble3D val="0"/>
            <c:spPr>
              <a:solidFill>
                <a:srgbClr val="83C0F6">
                  <a:alpha val="50000"/>
                </a:srgbClr>
              </a:solidFill>
              <a:ln w="19050" cap="flat" cmpd="sng" algn="ctr">
                <a:solidFill>
                  <a:srgbClr val="83C0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B-2132-6347-9B90-7EBA536BB65A}"/>
              </c:ext>
            </c:extLst>
          </c:dPt>
          <c:dPt>
            <c:idx val="30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D-2132-6347-9B90-7EBA536BB65A}"/>
              </c:ext>
            </c:extLst>
          </c:dPt>
          <c:dPt>
            <c:idx val="31"/>
            <c:invertIfNegative val="0"/>
            <c:bubble3D val="0"/>
            <c:spPr>
              <a:solidFill>
                <a:srgbClr val="6FCAF5">
                  <a:alpha val="50000"/>
                </a:srgbClr>
              </a:solidFill>
              <a:ln w="19050" cap="flat" cmpd="sng" algn="ctr">
                <a:solidFill>
                  <a:srgbClr val="6FCA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F-2132-6347-9B90-7EBA536BB65A}"/>
              </c:ext>
            </c:extLst>
          </c:dPt>
          <c:dPt>
            <c:idx val="32"/>
            <c:invertIfNegative val="0"/>
            <c:bubble3D val="0"/>
            <c:spPr>
              <a:solidFill>
                <a:srgbClr val="53D7F3">
                  <a:alpha val="50000"/>
                </a:srgbClr>
              </a:solidFill>
              <a:ln w="19050" cap="flat" cmpd="sng" algn="ctr">
                <a:solidFill>
                  <a:srgbClr val="53D7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1-2132-6347-9B90-7EBA536BB65A}"/>
              </c:ext>
            </c:extLst>
          </c:dPt>
          <c:dPt>
            <c:idx val="33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3-2132-6347-9B90-7EBA536BB65A}"/>
              </c:ext>
            </c:extLst>
          </c:dPt>
          <c:dPt>
            <c:idx val="34"/>
            <c:invertIfNegative val="0"/>
            <c:bubble3D val="0"/>
            <c:spPr>
              <a:solidFill>
                <a:srgbClr val="4B0082">
                  <a:alpha val="35000"/>
                </a:srgbClr>
              </a:solidFill>
              <a:ln w="19050" cap="flat" cmpd="sng" algn="ctr">
                <a:solidFill>
                  <a:srgbClr val="4B008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5-2132-6347-9B90-7EBA536BB65A}"/>
              </c:ext>
            </c:extLst>
          </c:dPt>
          <c:dPt>
            <c:idx val="35"/>
            <c:invertIfNegative val="0"/>
            <c:bubble3D val="0"/>
            <c:spPr>
              <a:solidFill>
                <a:srgbClr val="37E5F1">
                  <a:alpha val="50000"/>
                </a:srgbClr>
              </a:solidFill>
              <a:ln w="19050" cap="flat" cmpd="sng" algn="ctr">
                <a:solidFill>
                  <a:srgbClr val="37E5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7-2132-6347-9B90-7EBA536BB65A}"/>
              </c:ext>
            </c:extLst>
          </c:dPt>
          <c:dPt>
            <c:idx val="36"/>
            <c:invertIfNegative val="0"/>
            <c:bubble3D val="0"/>
            <c:spPr>
              <a:solidFill>
                <a:srgbClr val="61D1F4">
                  <a:alpha val="50000"/>
                </a:srgbClr>
              </a:solidFill>
              <a:ln w="19050" cap="flat" cmpd="sng" algn="ctr">
                <a:solidFill>
                  <a:srgbClr val="61D1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9-2132-6347-9B90-7EBA536BB65A}"/>
              </c:ext>
            </c:extLst>
          </c:dPt>
          <c:dPt>
            <c:idx val="37"/>
            <c:invertIfNegative val="0"/>
            <c:bubble3D val="0"/>
            <c:spPr>
              <a:solidFill>
                <a:srgbClr val="2C68AE">
                  <a:alpha val="35000"/>
                </a:srgbClr>
              </a:solidFill>
              <a:ln w="19050" cap="flat" cmpd="sng" algn="ctr">
                <a:solidFill>
                  <a:srgbClr val="2C68A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B-2132-6347-9B90-7EBA536BB65A}"/>
              </c:ext>
            </c:extLst>
          </c:dPt>
          <c:dPt>
            <c:idx val="38"/>
            <c:invertIfNegative val="0"/>
            <c:bubble3D val="0"/>
            <c:spPr>
              <a:solidFill>
                <a:srgbClr val="37469F">
                  <a:alpha val="35000"/>
                </a:srgbClr>
              </a:solidFill>
              <a:ln w="19050" cap="flat" cmpd="sng" algn="ctr">
                <a:solidFill>
                  <a:srgbClr val="37469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D-2132-6347-9B90-7EBA536BB65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475C222-D03B-F546-8DFE-DFACE711DA39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32-6347-9B90-7EBA536BB65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B1EA9F5-5493-F840-8A30-85C34124BB83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32-6347-9B90-7EBA536BB65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99E764C-EAF6-0A44-B675-9C508344317C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32-6347-9B90-7EBA536BB65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1750AD4-5DD6-D34F-8F6B-AF04A28B6666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32-6347-9B90-7EBA536BB65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32-6347-9B90-7EBA536BB65A}"/>
                </c:ext>
              </c:extLst>
            </c:dLbl>
            <c:dLbl>
              <c:idx val="5"/>
              <c:layout>
                <c:manualLayout>
                  <c:x val="-5.7511574936148641E-2"/>
                  <c:y val="0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B638822-7A15-E041-9F6A-2465371797BD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132-6347-9B90-7EBA536BB65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81D088C-E358-2B47-9160-19A24575B60E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7.3627686302211351E-2"/>
                      <c:h val="3.145449745959124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132-6347-9B90-7EBA536BB65A}"/>
                </c:ext>
              </c:extLst>
            </c:dLbl>
            <c:dLbl>
              <c:idx val="7"/>
              <c:layout>
                <c:manualLayout>
                  <c:x val="-7.1455859068094499E-3"/>
                  <c:y val="0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9FD5242-9C64-1448-B721-DDE488E2BD5E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132-6347-9B90-7EBA536BB65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10334A7-CEE8-6943-B248-46FF32EB06C9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32-6347-9B90-7EBA536BB65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A92BE6B-1F15-2544-8868-36BF08A94091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32-6347-9B90-7EBA536BB65A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32-6347-9B90-7EBA536BB65A}"/>
                </c:ext>
              </c:extLst>
            </c:dLbl>
            <c:dLbl>
              <c:idx val="11"/>
              <c:layout>
                <c:manualLayout>
                  <c:x val="-9.3283153252074563E-2"/>
                  <c:y val="-2.8979900250644033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24D061D-8A54-8C4A-9C11-13448F5DAA76}" type="CELLRANGE">
                      <a:rPr lang="en-US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132-6347-9B90-7EBA536BB65A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32-6347-9B90-7EBA536BB65A}"/>
                </c:ext>
              </c:extLst>
            </c:dLbl>
            <c:dLbl>
              <c:idx val="13"/>
              <c:layout>
                <c:manualLayout>
                  <c:x val="-0.10840905796317965"/>
                  <c:y val="-1.3172681932110901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88ED199-664D-EA4B-A0D2-C1612C3443EC}" type="CELLRANGE">
                      <a:rPr lang="en-US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132-6347-9B90-7EBA536BB65A}"/>
                </c:ext>
              </c:extLst>
            </c:dLbl>
            <c:dLbl>
              <c:idx val="14"/>
              <c:layout>
                <c:manualLayout>
                  <c:x val="-3.8516646203797363E-2"/>
                  <c:y val="-6.5863409660554505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AC37471-1579-8E43-90DB-3CB1D0862865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132-6347-9B90-7EBA536BB65A}"/>
                </c:ext>
              </c:extLst>
            </c:dLbl>
            <c:dLbl>
              <c:idx val="15"/>
              <c:layout>
                <c:manualLayout>
                  <c:x val="-3.8702654086206746E-2"/>
                  <c:y val="-1.05381455456887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46CF750-98EC-0740-BF58-D1F64618C2DE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23181667831969"/>
                      <c:h val="4.968082176790875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2132-6347-9B90-7EBA536BB65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A75C3A5-BCA7-F84C-A5EE-400CBD6EAA2E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32-6347-9B90-7EBA536BB65A}"/>
                </c:ext>
              </c:extLst>
            </c:dLbl>
            <c:dLbl>
              <c:idx val="17"/>
              <c:layout>
                <c:manualLayout>
                  <c:x val="-4.2965718486981053E-2"/>
                  <c:y val="1.975902289816635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10FF063-1E38-3441-8601-D4E60A3FC8A1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2132-6347-9B90-7EBA536BB65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2639B24-E162-1E4C-A102-AA4744CC44D4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32-6347-9B90-7EBA536BB65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7D0D4DE-A963-E149-A708-4BEEFE33F2F3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32-6347-9B90-7EBA536BB65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37373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37373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32-6347-9B90-7EBA536BB65A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1EFB46D-6698-2349-9BF9-DF45694EE997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32-6347-9B90-7EBA536BB65A}"/>
                </c:ext>
              </c:extLst>
            </c:dLbl>
            <c:dLbl>
              <c:idx val="22"/>
              <c:layout>
                <c:manualLayout>
                  <c:x val="-2.6711652943329511E-2"/>
                  <c:y val="1.975902289816635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A4CA588-C819-8D4D-9E1C-77B330AEFDEF}" type="CELLRANGE">
                      <a:rPr lang="en-US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2132-6347-9B90-7EBA536BB65A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32-6347-9B90-7EBA536BB65A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32-6347-9B90-7EBA536BB65A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45633AD-2B12-5D47-9A8E-3943B197F281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32-6347-9B90-7EBA536BB65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42E62D1-9EB0-2D48-92C5-695EA4ABF35E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32-6347-9B90-7EBA536BB65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82E35BA-FC9D-0D4F-8944-639739AAF25D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32-6347-9B90-7EBA536BB65A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81109DC-C142-7341-9ADF-B47D8E74B085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32-6347-9B90-7EBA536BB65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9B9B9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9B9B9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32-6347-9B90-7EBA536BB65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78787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78787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32-6347-9B90-7EBA536BB65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32-6347-9B90-7EBA536BB65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32-6347-9B90-7EBA536BB65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32-6347-9B90-7EBA536BB65A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A93E726-4510-D44E-85AA-FACBFF76B761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32-6347-9B90-7EBA536BB65A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5B5B5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5B5B5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32-6347-9B90-7EBA536BB65A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32-6347-9B90-7EBA536BB65A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610B0F7-2533-A54C-AFF5-0668EF8FA062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32-6347-9B90-7EBA536BB65A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426133D-5C12-3C44-9859-F640FACDF16B}" type="CELLRANGE">
                      <a:rPr lang="en-GB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32-6347-9B90-7EBA536BB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OSI_VH!$D$2:$D$40</c:f>
              <c:numCache>
                <c:formatCode>General</c:formatCode>
                <c:ptCount val="39"/>
                <c:pt idx="0">
                  <c:v>44740</c:v>
                </c:pt>
                <c:pt idx="1">
                  <c:v>68300</c:v>
                </c:pt>
                <c:pt idx="2">
                  <c:v>38110</c:v>
                </c:pt>
                <c:pt idx="3">
                  <c:v>46120</c:v>
                </c:pt>
                <c:pt idx="4">
                  <c:v>#N/A</c:v>
                </c:pt>
                <c:pt idx="5">
                  <c:v>116500</c:v>
                </c:pt>
                <c:pt idx="6">
                  <c:v>53070</c:v>
                </c:pt>
                <c:pt idx="7">
                  <c:v>48830</c:v>
                </c:pt>
                <c:pt idx="8">
                  <c:v>44600</c:v>
                </c:pt>
                <c:pt idx="9">
                  <c:v>26940</c:v>
                </c:pt>
                <c:pt idx="10">
                  <c:v>#N/A</c:v>
                </c:pt>
                <c:pt idx="11">
                  <c:v>58370</c:v>
                </c:pt>
                <c:pt idx="12">
                  <c:v>#N/A</c:v>
                </c:pt>
                <c:pt idx="13">
                  <c:v>55100</c:v>
                </c:pt>
                <c:pt idx="14">
                  <c:v>61000</c:v>
                </c:pt>
                <c:pt idx="15">
                  <c:v>74410</c:v>
                </c:pt>
                <c:pt idx="16">
                  <c:v>70480</c:v>
                </c:pt>
                <c:pt idx="17">
                  <c:v>74940</c:v>
                </c:pt>
                <c:pt idx="18">
                  <c:v>53040</c:v>
                </c:pt>
                <c:pt idx="19">
                  <c:v>55220</c:v>
                </c:pt>
                <c:pt idx="20">
                  <c:v>#N/A</c:v>
                </c:pt>
                <c:pt idx="21">
                  <c:v>42520</c:v>
                </c:pt>
                <c:pt idx="22">
                  <c:v>47850</c:v>
                </c:pt>
                <c:pt idx="23">
                  <c:v>#N/A</c:v>
                </c:pt>
                <c:pt idx="24">
                  <c:v>#N/A</c:v>
                </c:pt>
                <c:pt idx="25">
                  <c:v>42510</c:v>
                </c:pt>
                <c:pt idx="26">
                  <c:v>58780</c:v>
                </c:pt>
                <c:pt idx="27">
                  <c:v>25660</c:v>
                </c:pt>
                <c:pt idx="28">
                  <c:v>99240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44740</c:v>
                </c:pt>
                <c:pt idx="35">
                  <c:v>#N/A</c:v>
                </c:pt>
                <c:pt idx="36">
                  <c:v>#N/A</c:v>
                </c:pt>
                <c:pt idx="37">
                  <c:v>74250</c:v>
                </c:pt>
                <c:pt idx="38">
                  <c:v>60840</c:v>
                </c:pt>
              </c:numCache>
            </c:numRef>
          </c:xVal>
          <c:yVal>
            <c:numRef>
              <c:f>OSI_VH!$C$2:$C$40</c:f>
              <c:numCache>
                <c:formatCode>General</c:formatCode>
                <c:ptCount val="39"/>
                <c:pt idx="0">
                  <c:v>1</c:v>
                </c:pt>
                <c:pt idx="1">
                  <c:v>0.99924000000000002</c:v>
                </c:pt>
                <c:pt idx="2">
                  <c:v>0.99534999999999996</c:v>
                </c:pt>
                <c:pt idx="3">
                  <c:v>0.98995</c:v>
                </c:pt>
                <c:pt idx="4">
                  <c:v>#N/A</c:v>
                </c:pt>
                <c:pt idx="5">
                  <c:v>0.98306000000000004</c:v>
                </c:pt>
                <c:pt idx="6">
                  <c:v>0.95348999999999995</c:v>
                </c:pt>
                <c:pt idx="7">
                  <c:v>0.94530000000000003</c:v>
                </c:pt>
                <c:pt idx="8">
                  <c:v>0.94274000000000002</c:v>
                </c:pt>
                <c:pt idx="9">
                  <c:v>0.93903000000000003</c:v>
                </c:pt>
                <c:pt idx="10">
                  <c:v>#N/A</c:v>
                </c:pt>
                <c:pt idx="11">
                  <c:v>0.92383999999999999</c:v>
                </c:pt>
                <c:pt idx="12">
                  <c:v>#N/A</c:v>
                </c:pt>
                <c:pt idx="13">
                  <c:v>0.92218999999999995</c:v>
                </c:pt>
                <c:pt idx="14">
                  <c:v>0.92118</c:v>
                </c:pt>
                <c:pt idx="15">
                  <c:v>0.91627000000000003</c:v>
                </c:pt>
                <c:pt idx="16">
                  <c:v>0.91357999999999995</c:v>
                </c:pt>
                <c:pt idx="17">
                  <c:v>0.91171999999999997</c:v>
                </c:pt>
                <c:pt idx="18">
                  <c:v>0.90973000000000004</c:v>
                </c:pt>
                <c:pt idx="19">
                  <c:v>0.90754999999999997</c:v>
                </c:pt>
                <c:pt idx="20">
                  <c:v>#N/A</c:v>
                </c:pt>
                <c:pt idx="21">
                  <c:v>0.90542</c:v>
                </c:pt>
                <c:pt idx="22">
                  <c:v>0.90305000000000002</c:v>
                </c:pt>
                <c:pt idx="23">
                  <c:v>#N/A</c:v>
                </c:pt>
                <c:pt idx="24">
                  <c:v>#N/A</c:v>
                </c:pt>
                <c:pt idx="25">
                  <c:v>0.88390000000000002</c:v>
                </c:pt>
                <c:pt idx="26">
                  <c:v>0.88361000000000001</c:v>
                </c:pt>
                <c:pt idx="27">
                  <c:v>0.88321000000000005</c:v>
                </c:pt>
                <c:pt idx="28">
                  <c:v>0.87678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0.85411999999999999</c:v>
                </c:pt>
                <c:pt idx="35">
                  <c:v>#N/A</c:v>
                </c:pt>
                <c:pt idx="36">
                  <c:v>#N/A</c:v>
                </c:pt>
                <c:pt idx="37">
                  <c:v>0.84079999999999999</c:v>
                </c:pt>
                <c:pt idx="38">
                  <c:v>0.83828999999999998</c:v>
                </c:pt>
              </c:numCache>
            </c:numRef>
          </c:yVal>
          <c:bubbleSize>
            <c:numRef>
              <c:f>OSI_VH!$E$2:$E$40</c:f>
              <c:numCache>
                <c:formatCode>General</c:formatCode>
                <c:ptCount val="39"/>
                <c:pt idx="0">
                  <c:v>51.8</c:v>
                </c:pt>
                <c:pt idx="1">
                  <c:v>5.9</c:v>
                </c:pt>
                <c:pt idx="2">
                  <c:v>1.3</c:v>
                </c:pt>
                <c:pt idx="3">
                  <c:v>35.799999999999997</c:v>
                </c:pt>
                <c:pt idx="4">
                  <c:v>41.2</c:v>
                </c:pt>
                <c:pt idx="5">
                  <c:v>5.6</c:v>
                </c:pt>
                <c:pt idx="6">
                  <c:v>67.3</c:v>
                </c:pt>
                <c:pt idx="7">
                  <c:v>5.0999999999999996</c:v>
                </c:pt>
                <c:pt idx="8">
                  <c:v>125.1</c:v>
                </c:pt>
                <c:pt idx="9">
                  <c:v>19.399999999999999</c:v>
                </c:pt>
                <c:pt idx="10">
                  <c:v>1412.2</c:v>
                </c:pt>
                <c:pt idx="11">
                  <c:v>83.2</c:v>
                </c:pt>
                <c:pt idx="12">
                  <c:v>85.3</c:v>
                </c:pt>
                <c:pt idx="13">
                  <c:v>25.7</c:v>
                </c:pt>
                <c:pt idx="14">
                  <c:v>17.5</c:v>
                </c:pt>
                <c:pt idx="15">
                  <c:v>9.3000000000000007</c:v>
                </c:pt>
                <c:pt idx="16">
                  <c:v>333.3</c:v>
                </c:pt>
                <c:pt idx="17">
                  <c:v>5.4</c:v>
                </c:pt>
                <c:pt idx="18">
                  <c:v>5.5</c:v>
                </c:pt>
                <c:pt idx="19">
                  <c:v>0.4</c:v>
                </c:pt>
                <c:pt idx="20">
                  <c:v>215.3</c:v>
                </c:pt>
                <c:pt idx="21">
                  <c:v>47.4</c:v>
                </c:pt>
                <c:pt idx="22">
                  <c:v>1.5</c:v>
                </c:pt>
                <c:pt idx="23">
                  <c:v>60</c:v>
                </c:pt>
                <c:pt idx="24">
                  <c:v>18.100000000000001</c:v>
                </c:pt>
                <c:pt idx="25">
                  <c:v>2.8</c:v>
                </c:pt>
                <c:pt idx="26">
                  <c:v>10.4</c:v>
                </c:pt>
                <c:pt idx="27">
                  <c:v>3.5</c:v>
                </c:pt>
                <c:pt idx="28">
                  <c:v>5</c:v>
                </c:pt>
                <c:pt idx="29">
                  <c:v>0.5</c:v>
                </c:pt>
                <c:pt idx="30">
                  <c:v>3.9</c:v>
                </c:pt>
                <c:pt idx="31">
                  <c:v>2.1</c:v>
                </c:pt>
                <c:pt idx="32">
                  <c:v>19.5</c:v>
                </c:pt>
                <c:pt idx="33">
                  <c:v>38.200000000000003</c:v>
                </c:pt>
                <c:pt idx="34">
                  <c:v>9.3000000000000007</c:v>
                </c:pt>
                <c:pt idx="35">
                  <c:v>6.7</c:v>
                </c:pt>
                <c:pt idx="36">
                  <c:v>67.8</c:v>
                </c:pt>
                <c:pt idx="37">
                  <c:v>8.6999999999999993</c:v>
                </c:pt>
                <c:pt idx="38">
                  <c:v>9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OSI_VH!$A$2:$A$194</c15:f>
                <c15:dlblRangeCache>
                  <c:ptCount val="193"/>
                  <c:pt idx="0">
                    <c:v>South Korea</c:v>
                  </c:pt>
                  <c:pt idx="1">
                    <c:v>Denmark</c:v>
                  </c:pt>
                  <c:pt idx="2">
                    <c:v>Estonia</c:v>
                  </c:pt>
                  <c:pt idx="3">
                    <c:v>Saudi Arabia</c:v>
                  </c:pt>
                  <c:pt idx="4">
                    <c:v>Ukraine</c:v>
                  </c:pt>
                  <c:pt idx="5">
                    <c:v>Singapore</c:v>
                  </c:pt>
                  <c:pt idx="6">
                    <c:v>U.K.</c:v>
                  </c:pt>
                  <c:pt idx="7">
                    <c:v>New Zealand</c:v>
                  </c:pt>
                  <c:pt idx="8">
                    <c:v>Japan</c:v>
                  </c:pt>
                  <c:pt idx="9">
                    <c:v>Kazakhstan</c:v>
                  </c:pt>
                  <c:pt idx="10">
                    <c:v>China</c:v>
                  </c:pt>
                  <c:pt idx="11">
                    <c:v>Germany</c:v>
                  </c:pt>
                  <c:pt idx="12">
                    <c:v>Turkiye</c:v>
                  </c:pt>
                  <c:pt idx="13">
                    <c:v>Australia</c:v>
                  </c:pt>
                  <c:pt idx="14">
                    <c:v>Netherlands</c:v>
                  </c:pt>
                  <c:pt idx="15">
                    <c:v>U.A.E.</c:v>
                  </c:pt>
                  <c:pt idx="16">
                    <c:v>U.S.A.</c:v>
                  </c:pt>
                  <c:pt idx="17">
                    <c:v>Norway</c:v>
                  </c:pt>
                  <c:pt idx="18">
                    <c:v>Finland</c:v>
                  </c:pt>
                  <c:pt idx="20">
                    <c:v>Brazil</c:v>
                  </c:pt>
                  <c:pt idx="21">
                    <c:v>Spain</c:v>
                  </c:pt>
                  <c:pt idx="22">
                    <c:v>Bahrain</c:v>
                  </c:pt>
                  <c:pt idx="23">
                    <c:v>South Africa</c:v>
                  </c:pt>
                  <c:pt idx="24">
                    <c:v>Ecuador</c:v>
                  </c:pt>
                  <c:pt idx="25">
                    <c:v>Lithuania</c:v>
                  </c:pt>
                  <c:pt idx="26">
                    <c:v>Sweden</c:v>
                  </c:pt>
                  <c:pt idx="27">
                    <c:v>Uruguay</c:v>
                  </c:pt>
                  <c:pt idx="28">
                    <c:v>Ireland</c:v>
                  </c:pt>
                  <c:pt idx="30">
                    <c:v>Croatia</c:v>
                  </c:pt>
                  <c:pt idx="31">
                    <c:v>Slovenia</c:v>
                  </c:pt>
                  <c:pt idx="32">
                    <c:v>Chile</c:v>
                  </c:pt>
                  <c:pt idx="33">
                    <c:v>Canada</c:v>
                  </c:pt>
                  <c:pt idx="34">
                    <c:v>Israel</c:v>
                  </c:pt>
                  <c:pt idx="35">
                    <c:v>Serbia</c:v>
                  </c:pt>
                  <c:pt idx="36">
                    <c:v>France</c:v>
                  </c:pt>
                  <c:pt idx="37">
                    <c:v>Switzerland</c:v>
                  </c:pt>
                  <c:pt idx="38">
                    <c:v>Austria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DC-2132-6347-9B90-7EBA536BB65A}"/>
            </c:ext>
          </c:extLst>
        </c:ser>
        <c:ser>
          <c:idx val="1"/>
          <c:order val="1"/>
          <c:spPr>
            <a:solidFill>
              <a:srgbClr val="E97132">
                <a:alpha val="75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D-2132-6347-9B90-7EBA536BB65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E-2132-6347-9B90-7EBA536BB65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F-2132-6347-9B90-7EBA536BB65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0-2132-6347-9B90-7EBA536BB65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1-2132-6347-9B90-7EBA536BB65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2-2132-6347-9B90-7EBA536BB65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3-2132-6347-9B90-7EBA536BB65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4-2132-6347-9B90-7EBA536BB65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5-2132-6347-9B90-7EBA536BB65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1.0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6-2132-6347-9B90-7EBA536BB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0"/>
              <c:pt idx="0">
                <c:v>0.05</c:v>
              </c:pt>
              <c:pt idx="1">
                <c:v>0.05</c:v>
              </c:pt>
              <c:pt idx="2">
                <c:v>0.05</c:v>
              </c:pt>
              <c:pt idx="3">
                <c:v>0.05</c:v>
              </c:pt>
              <c:pt idx="4">
                <c:v>0.05</c:v>
              </c:pt>
              <c:pt idx="5">
                <c:v>0.05</c:v>
              </c:pt>
              <c:pt idx="6">
                <c:v>0.05</c:v>
              </c:pt>
              <c:pt idx="7">
                <c:v>0.05</c:v>
              </c:pt>
              <c:pt idx="8">
                <c:v>0.05</c:v>
              </c:pt>
              <c:pt idx="9">
                <c:v>0.05</c:v>
              </c:pt>
            </c:numLit>
          </c:xVal>
          <c:yVal>
            <c:numLit>
              <c:formatCode>General</c:formatCode>
              <c:ptCount val="10"/>
              <c:pt idx="0">
                <c:v>0.1</c:v>
              </c:pt>
              <c:pt idx="1">
                <c:v>0.2</c:v>
              </c:pt>
              <c:pt idx="2">
                <c:v>0.3</c:v>
              </c:pt>
              <c:pt idx="3">
                <c:v>0.4</c:v>
              </c:pt>
              <c:pt idx="4">
                <c:v>0.5</c:v>
              </c:pt>
              <c:pt idx="5">
                <c:v>0.6</c:v>
              </c:pt>
              <c:pt idx="6">
                <c:v>0.7</c:v>
              </c:pt>
              <c:pt idx="7">
                <c:v>0.8</c:v>
              </c:pt>
              <c:pt idx="8">
                <c:v>0.9</c:v>
              </c:pt>
              <c:pt idx="9">
                <c:v>1</c:v>
              </c:pt>
            </c:numLit>
          </c:yVal>
          <c:bubble3D val="0"/>
          <c:extLst>
            <c:ext xmlns:c15="http://schemas.microsoft.com/office/drawing/2012/chart" uri="{02D57815-91ED-43cb-92C2-25804820EDAC}">
              <c15:filteredSeriesTitle>
                <c15:tx>
                  <c:v>DummyYLabels</c:v>
                </c15:tx>
              </c15:filteredSeriesTitle>
            </c:ext>
            <c:ext xmlns:c16="http://schemas.microsoft.com/office/drawing/2014/chart" uri="{C3380CC4-5D6E-409C-BE32-E72D297353CC}">
              <c16:uniqueId val="{000001E7-2132-6347-9B90-7EBA536B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23347552"/>
        <c:axId val="323349264"/>
      </c:bubbleChart>
      <c:valAx>
        <c:axId val="323347552"/>
        <c:scaling>
          <c:orientation val="minMax"/>
          <c:max val="120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90000"/>
                  <a:alpha val="99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9264"/>
        <c:crosses val="autoZero"/>
        <c:crossBetween val="midCat"/>
        <c:majorUnit val="20000"/>
        <c:minorUnit val="10000"/>
      </c:valAx>
      <c:valAx>
        <c:axId val="323349264"/>
        <c:scaling>
          <c:orientation val="minMax"/>
          <c:max val="1.01"/>
          <c:min val="0.82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7552"/>
        <c:crossesAt val="300"/>
        <c:crossBetween val="midCat"/>
        <c:majorUnit val="0.02"/>
        <c:minorUnit val="0.02"/>
      </c:valAx>
      <c:spPr>
        <a:noFill/>
        <a:ln w="254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EPI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43037787312518205"/>
          <c:y val="0.17491054201871759"/>
          <c:w val="0.56962212687481806"/>
          <c:h val="0.7962511478667752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0.6986</c:v>
              </c:pt>
            </c:numLit>
          </c:val>
          <c:extLst>
            <c:ext xmlns:c16="http://schemas.microsoft.com/office/drawing/2014/chart" uri="{C3380CC4-5D6E-409C-BE32-E72D297353CC}">
              <c16:uniqueId val="{00000001-FD0E-8F4C-8234-1326B9C90205}"/>
            </c:ext>
          </c:extLst>
        </c:ser>
        <c:ser>
          <c:idx val="1"/>
          <c:order val="1"/>
          <c:spPr>
            <a:solidFill>
              <a:srgbClr val="4B018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2-FD0E-8F4C-8234-1326B9C90205}"/>
            </c:ext>
          </c:extLst>
        </c:ser>
        <c:ser>
          <c:idx val="2"/>
          <c:order val="2"/>
          <c:spPr>
            <a:solidFill>
              <a:srgbClr val="4A048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3-FD0E-8F4C-8234-1326B9C90205}"/>
            </c:ext>
          </c:extLst>
        </c:ser>
        <c:ser>
          <c:idx val="3"/>
          <c:order val="3"/>
          <c:spPr>
            <a:solidFill>
              <a:srgbClr val="49068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4-FD0E-8F4C-8234-1326B9C90205}"/>
            </c:ext>
          </c:extLst>
        </c:ser>
        <c:ser>
          <c:idx val="4"/>
          <c:order val="4"/>
          <c:spPr>
            <a:solidFill>
              <a:srgbClr val="48098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5-FD0E-8F4C-8234-1326B9C90205}"/>
            </c:ext>
          </c:extLst>
        </c:ser>
        <c:ser>
          <c:idx val="5"/>
          <c:order val="5"/>
          <c:spPr>
            <a:solidFill>
              <a:srgbClr val="480B8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6-FD0E-8F4C-8234-1326B9C90205}"/>
            </c:ext>
          </c:extLst>
        </c:ser>
        <c:ser>
          <c:idx val="6"/>
          <c:order val="6"/>
          <c:spPr>
            <a:solidFill>
              <a:srgbClr val="470E8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7-FD0E-8F4C-8234-1326B9C90205}"/>
            </c:ext>
          </c:extLst>
        </c:ser>
        <c:ser>
          <c:idx val="7"/>
          <c:order val="7"/>
          <c:spPr>
            <a:solidFill>
              <a:srgbClr val="46118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8-FD0E-8F4C-8234-1326B9C90205}"/>
            </c:ext>
          </c:extLst>
        </c:ser>
        <c:ser>
          <c:idx val="8"/>
          <c:order val="8"/>
          <c:spPr>
            <a:solidFill>
              <a:srgbClr val="45138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9-FD0E-8F4C-8234-1326B9C90205}"/>
            </c:ext>
          </c:extLst>
        </c:ser>
        <c:ser>
          <c:idx val="9"/>
          <c:order val="9"/>
          <c:spPr>
            <a:solidFill>
              <a:srgbClr val="4516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A-FD0E-8F4C-8234-1326B9C90205}"/>
            </c:ext>
          </c:extLst>
        </c:ser>
        <c:ser>
          <c:idx val="10"/>
          <c:order val="10"/>
          <c:spPr>
            <a:solidFill>
              <a:srgbClr val="44188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B-FD0E-8F4C-8234-1326B9C90205}"/>
            </c:ext>
          </c:extLst>
        </c:ser>
        <c:ser>
          <c:idx val="11"/>
          <c:order val="11"/>
          <c:spPr>
            <a:solidFill>
              <a:srgbClr val="431B8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C-FD0E-8F4C-8234-1326B9C90205}"/>
            </c:ext>
          </c:extLst>
        </c:ser>
        <c:ser>
          <c:idx val="12"/>
          <c:order val="12"/>
          <c:spPr>
            <a:solidFill>
              <a:srgbClr val="421D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D-FD0E-8F4C-8234-1326B9C90205}"/>
            </c:ext>
          </c:extLst>
        </c:ser>
        <c:ser>
          <c:idx val="13"/>
          <c:order val="13"/>
          <c:spPr>
            <a:solidFill>
              <a:srgbClr val="42208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E-FD0E-8F4C-8234-1326B9C90205}"/>
            </c:ext>
          </c:extLst>
        </c:ser>
        <c:ser>
          <c:idx val="14"/>
          <c:order val="14"/>
          <c:spPr>
            <a:solidFill>
              <a:srgbClr val="4122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F-FD0E-8F4C-8234-1326B9C90205}"/>
            </c:ext>
          </c:extLst>
        </c:ser>
        <c:ser>
          <c:idx val="15"/>
          <c:order val="15"/>
          <c:spPr>
            <a:solidFill>
              <a:srgbClr val="40259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0-FD0E-8F4C-8234-1326B9C90205}"/>
            </c:ext>
          </c:extLst>
        </c:ser>
        <c:ser>
          <c:idx val="16"/>
          <c:order val="16"/>
          <c:spPr>
            <a:solidFill>
              <a:srgbClr val="3F289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1-FD0E-8F4C-8234-1326B9C90205}"/>
            </c:ext>
          </c:extLst>
        </c:ser>
        <c:ser>
          <c:idx val="17"/>
          <c:order val="17"/>
          <c:spPr>
            <a:solidFill>
              <a:srgbClr val="3F2A9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2-FD0E-8F4C-8234-1326B9C90205}"/>
            </c:ext>
          </c:extLst>
        </c:ser>
        <c:ser>
          <c:idx val="18"/>
          <c:order val="18"/>
          <c:spPr>
            <a:solidFill>
              <a:srgbClr val="3E2D9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3-FD0E-8F4C-8234-1326B9C90205}"/>
            </c:ext>
          </c:extLst>
        </c:ser>
        <c:ser>
          <c:idx val="19"/>
          <c:order val="19"/>
          <c:spPr>
            <a:solidFill>
              <a:srgbClr val="3D2F9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4-FD0E-8F4C-8234-1326B9C90205}"/>
            </c:ext>
          </c:extLst>
        </c:ser>
        <c:ser>
          <c:idx val="20"/>
          <c:order val="20"/>
          <c:spPr>
            <a:solidFill>
              <a:srgbClr val="3C329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5-FD0E-8F4C-8234-1326B9C90205}"/>
            </c:ext>
          </c:extLst>
        </c:ser>
        <c:ser>
          <c:idx val="21"/>
          <c:order val="21"/>
          <c:spPr>
            <a:solidFill>
              <a:srgbClr val="3C349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6-FD0E-8F4C-8234-1326B9C90205}"/>
            </c:ext>
          </c:extLst>
        </c:ser>
        <c:ser>
          <c:idx val="22"/>
          <c:order val="22"/>
          <c:spPr>
            <a:solidFill>
              <a:srgbClr val="3B37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7-FD0E-8F4C-8234-1326B9C90205}"/>
            </c:ext>
          </c:extLst>
        </c:ser>
        <c:ser>
          <c:idx val="23"/>
          <c:order val="23"/>
          <c:spPr>
            <a:solidFill>
              <a:srgbClr val="3A399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8-FD0E-8F4C-8234-1326B9C90205}"/>
            </c:ext>
          </c:extLst>
        </c:ser>
        <c:ser>
          <c:idx val="24"/>
          <c:order val="24"/>
          <c:spPr>
            <a:solidFill>
              <a:srgbClr val="393C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9-FD0E-8F4C-8234-1326B9C90205}"/>
            </c:ext>
          </c:extLst>
        </c:ser>
        <c:ser>
          <c:idx val="25"/>
          <c:order val="25"/>
          <c:spPr>
            <a:solidFill>
              <a:srgbClr val="393E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A-FD0E-8F4C-8234-1326B9C90205}"/>
            </c:ext>
          </c:extLst>
        </c:ser>
        <c:ser>
          <c:idx val="26"/>
          <c:order val="26"/>
          <c:spPr>
            <a:solidFill>
              <a:srgbClr val="38419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B-FD0E-8F4C-8234-1326B9C90205}"/>
            </c:ext>
          </c:extLst>
        </c:ser>
        <c:ser>
          <c:idx val="27"/>
          <c:order val="27"/>
          <c:spPr>
            <a:solidFill>
              <a:srgbClr val="37449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C-FD0E-8F4C-8234-1326B9C90205}"/>
            </c:ext>
          </c:extLst>
        </c:ser>
        <c:ser>
          <c:idx val="28"/>
          <c:order val="28"/>
          <c:spPr>
            <a:solidFill>
              <a:srgbClr val="36469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D-FD0E-8F4C-8234-1326B9C90205}"/>
            </c:ext>
          </c:extLst>
        </c:ser>
        <c:ser>
          <c:idx val="29"/>
          <c:order val="29"/>
          <c:spPr>
            <a:solidFill>
              <a:srgbClr val="3649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E-FD0E-8F4C-8234-1326B9C90205}"/>
            </c:ext>
          </c:extLst>
        </c:ser>
        <c:ser>
          <c:idx val="30"/>
          <c:order val="30"/>
          <c:spPr>
            <a:solidFill>
              <a:srgbClr val="354B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F-FD0E-8F4C-8234-1326B9C90205}"/>
            </c:ext>
          </c:extLst>
        </c:ser>
        <c:ser>
          <c:idx val="31"/>
          <c:order val="31"/>
          <c:spPr>
            <a:solidFill>
              <a:srgbClr val="344EA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0-FD0E-8F4C-8234-1326B9C90205}"/>
            </c:ext>
          </c:extLst>
        </c:ser>
        <c:ser>
          <c:idx val="32"/>
          <c:order val="32"/>
          <c:spPr>
            <a:solidFill>
              <a:srgbClr val="3350A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1-FD0E-8F4C-8234-1326B9C90205}"/>
            </c:ext>
          </c:extLst>
        </c:ser>
        <c:ser>
          <c:idx val="33"/>
          <c:order val="33"/>
          <c:spPr>
            <a:solidFill>
              <a:srgbClr val="3353A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2-FD0E-8F4C-8234-1326B9C90205}"/>
            </c:ext>
          </c:extLst>
        </c:ser>
        <c:ser>
          <c:idx val="34"/>
          <c:order val="34"/>
          <c:spPr>
            <a:solidFill>
              <a:srgbClr val="3255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3-FD0E-8F4C-8234-1326B9C90205}"/>
            </c:ext>
          </c:extLst>
        </c:ser>
        <c:ser>
          <c:idx val="35"/>
          <c:order val="35"/>
          <c:spPr>
            <a:solidFill>
              <a:srgbClr val="3158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4-FD0E-8F4C-8234-1326B9C90205}"/>
            </c:ext>
          </c:extLst>
        </c:ser>
        <c:ser>
          <c:idx val="36"/>
          <c:order val="36"/>
          <c:spPr>
            <a:solidFill>
              <a:srgbClr val="305BA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5-FD0E-8F4C-8234-1326B9C90205}"/>
            </c:ext>
          </c:extLst>
        </c:ser>
        <c:ser>
          <c:idx val="37"/>
          <c:order val="37"/>
          <c:spPr>
            <a:solidFill>
              <a:srgbClr val="305DA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6-FD0E-8F4C-8234-1326B9C90205}"/>
            </c:ext>
          </c:extLst>
        </c:ser>
        <c:ser>
          <c:idx val="38"/>
          <c:order val="38"/>
          <c:spPr>
            <a:solidFill>
              <a:srgbClr val="2F60A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7-FD0E-8F4C-8234-1326B9C90205}"/>
            </c:ext>
          </c:extLst>
        </c:ser>
        <c:ser>
          <c:idx val="39"/>
          <c:order val="39"/>
          <c:spPr>
            <a:solidFill>
              <a:srgbClr val="2E62A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8-FD0E-8F4C-8234-1326B9C90205}"/>
            </c:ext>
          </c:extLst>
        </c:ser>
        <c:ser>
          <c:idx val="40"/>
          <c:order val="40"/>
          <c:spPr>
            <a:solidFill>
              <a:srgbClr val="2D65A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9-FD0E-8F4C-8234-1326B9C90205}"/>
            </c:ext>
          </c:extLst>
        </c:ser>
        <c:ser>
          <c:idx val="41"/>
          <c:order val="41"/>
          <c:spPr>
            <a:solidFill>
              <a:srgbClr val="2D67A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A-FD0E-8F4C-8234-1326B9C90205}"/>
            </c:ext>
          </c:extLst>
        </c:ser>
        <c:ser>
          <c:idx val="42"/>
          <c:order val="42"/>
          <c:spPr>
            <a:solidFill>
              <a:srgbClr val="2C6AA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B-FD0E-8F4C-8234-1326B9C90205}"/>
            </c:ext>
          </c:extLst>
        </c:ser>
        <c:ser>
          <c:idx val="43"/>
          <c:order val="43"/>
          <c:spPr>
            <a:solidFill>
              <a:srgbClr val="2B6CA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C-FD0E-8F4C-8234-1326B9C90205}"/>
            </c:ext>
          </c:extLst>
        </c:ser>
        <c:ser>
          <c:idx val="44"/>
          <c:order val="44"/>
          <c:spPr>
            <a:solidFill>
              <a:srgbClr val="2A6FB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D-FD0E-8F4C-8234-1326B9C90205}"/>
            </c:ext>
          </c:extLst>
        </c:ser>
        <c:ser>
          <c:idx val="45"/>
          <c:order val="45"/>
          <c:spPr>
            <a:solidFill>
              <a:srgbClr val="2A71B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E-FD0E-8F4C-8234-1326B9C90205}"/>
            </c:ext>
          </c:extLst>
        </c:ser>
        <c:ser>
          <c:idx val="46"/>
          <c:order val="46"/>
          <c:spPr>
            <a:solidFill>
              <a:srgbClr val="2974B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F-FD0E-8F4C-8234-1326B9C90205}"/>
            </c:ext>
          </c:extLst>
        </c:ser>
        <c:ser>
          <c:idx val="47"/>
          <c:order val="47"/>
          <c:spPr>
            <a:solidFill>
              <a:srgbClr val="2877B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0-FD0E-8F4C-8234-1326B9C90205}"/>
            </c:ext>
          </c:extLst>
        </c:ser>
        <c:ser>
          <c:idx val="48"/>
          <c:order val="48"/>
          <c:spPr>
            <a:solidFill>
              <a:srgbClr val="2779B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1-FD0E-8F4C-8234-1326B9C90205}"/>
            </c:ext>
          </c:extLst>
        </c:ser>
        <c:ser>
          <c:idx val="49"/>
          <c:order val="49"/>
          <c:spPr>
            <a:solidFill>
              <a:srgbClr val="277CB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2-FD0E-8F4C-8234-1326B9C90205}"/>
            </c:ext>
          </c:extLst>
        </c:ser>
        <c:ser>
          <c:idx val="50"/>
          <c:order val="50"/>
          <c:spPr>
            <a:solidFill>
              <a:srgbClr val="267EB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3-FD0E-8F4C-8234-1326B9C90205}"/>
            </c:ext>
          </c:extLst>
        </c:ser>
        <c:ser>
          <c:idx val="51"/>
          <c:order val="51"/>
          <c:spPr>
            <a:solidFill>
              <a:srgbClr val="2581B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4-FD0E-8F4C-8234-1326B9C90205}"/>
            </c:ext>
          </c:extLst>
        </c:ser>
        <c:ser>
          <c:idx val="52"/>
          <c:order val="52"/>
          <c:spPr>
            <a:solidFill>
              <a:srgbClr val="2483B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5-FD0E-8F4C-8234-1326B9C90205}"/>
            </c:ext>
          </c:extLst>
        </c:ser>
        <c:ser>
          <c:idx val="53"/>
          <c:order val="53"/>
          <c:spPr>
            <a:solidFill>
              <a:srgbClr val="2486B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6-FD0E-8F4C-8234-1326B9C90205}"/>
            </c:ext>
          </c:extLst>
        </c:ser>
        <c:ser>
          <c:idx val="54"/>
          <c:order val="54"/>
          <c:spPr>
            <a:solidFill>
              <a:srgbClr val="2388B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7-FD0E-8F4C-8234-1326B9C90205}"/>
            </c:ext>
          </c:extLst>
        </c:ser>
        <c:ser>
          <c:idx val="55"/>
          <c:order val="55"/>
          <c:spPr>
            <a:solidFill>
              <a:srgbClr val="228BB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8-FD0E-8F4C-8234-1326B9C90205}"/>
            </c:ext>
          </c:extLst>
        </c:ser>
        <c:ser>
          <c:idx val="56"/>
          <c:order val="56"/>
          <c:spPr>
            <a:solidFill>
              <a:srgbClr val="218E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9-FD0E-8F4C-8234-1326B9C90205}"/>
            </c:ext>
          </c:extLst>
        </c:ser>
        <c:ser>
          <c:idx val="57"/>
          <c:order val="57"/>
          <c:spPr>
            <a:solidFill>
              <a:srgbClr val="2190B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A-FD0E-8F4C-8234-1326B9C90205}"/>
            </c:ext>
          </c:extLst>
        </c:ser>
        <c:ser>
          <c:idx val="58"/>
          <c:order val="58"/>
          <c:spPr>
            <a:solidFill>
              <a:srgbClr val="2093C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B-FD0E-8F4C-8234-1326B9C90205}"/>
            </c:ext>
          </c:extLst>
        </c:ser>
        <c:ser>
          <c:idx val="59"/>
          <c:order val="59"/>
          <c:spPr>
            <a:solidFill>
              <a:srgbClr val="1F95C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C-FD0E-8F4C-8234-1326B9C90205}"/>
            </c:ext>
          </c:extLst>
        </c:ser>
        <c:ser>
          <c:idx val="60"/>
          <c:order val="60"/>
          <c:spPr>
            <a:solidFill>
              <a:srgbClr val="1E98C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D-FD0E-8F4C-8234-1326B9C90205}"/>
            </c:ext>
          </c:extLst>
        </c:ser>
        <c:ser>
          <c:idx val="61"/>
          <c:order val="61"/>
          <c:spPr>
            <a:solidFill>
              <a:srgbClr val="1E9AC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E-FD0E-8F4C-8234-1326B9C90205}"/>
            </c:ext>
          </c:extLst>
        </c:ser>
        <c:ser>
          <c:idx val="62"/>
          <c:order val="62"/>
          <c:spPr>
            <a:solidFill>
              <a:srgbClr val="1D9D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F-FD0E-8F4C-8234-1326B9C90205}"/>
            </c:ext>
          </c:extLst>
        </c:ser>
        <c:ser>
          <c:idx val="63"/>
          <c:order val="63"/>
          <c:spPr>
            <a:solidFill>
              <a:srgbClr val="1C9FC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0-FD0E-8F4C-8234-1326B9C90205}"/>
            </c:ext>
          </c:extLst>
        </c:ser>
        <c:ser>
          <c:idx val="64"/>
          <c:order val="64"/>
          <c:spPr>
            <a:solidFill>
              <a:srgbClr val="1BA2C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1-FD0E-8F4C-8234-1326B9C90205}"/>
            </c:ext>
          </c:extLst>
        </c:ser>
        <c:ser>
          <c:idx val="65"/>
          <c:order val="65"/>
          <c:spPr>
            <a:solidFill>
              <a:srgbClr val="1BA4C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2-FD0E-8F4C-8234-1326B9C90205}"/>
            </c:ext>
          </c:extLst>
        </c:ser>
        <c:ser>
          <c:idx val="66"/>
          <c:order val="66"/>
          <c:spPr>
            <a:solidFill>
              <a:srgbClr val="1AA7C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3-FD0E-8F4C-8234-1326B9C90205}"/>
            </c:ext>
          </c:extLst>
        </c:ser>
        <c:ser>
          <c:idx val="67"/>
          <c:order val="67"/>
          <c:spPr>
            <a:solidFill>
              <a:srgbClr val="19AA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4-FD0E-8F4C-8234-1326B9C90205}"/>
            </c:ext>
          </c:extLst>
        </c:ser>
        <c:ser>
          <c:idx val="68"/>
          <c:order val="68"/>
          <c:spPr>
            <a:solidFill>
              <a:srgbClr val="18AC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5-FD0E-8F4C-8234-1326B9C90205}"/>
            </c:ext>
          </c:extLst>
        </c:ser>
        <c:ser>
          <c:idx val="69"/>
          <c:order val="69"/>
          <c:spPr>
            <a:solidFill>
              <a:srgbClr val="18AFC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6-FD0E-8F4C-8234-1326B9C90205}"/>
            </c:ext>
          </c:extLst>
        </c:ser>
        <c:ser>
          <c:idx val="70"/>
          <c:order val="70"/>
          <c:spPr>
            <a:solidFill>
              <a:srgbClr val="17B1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7-FD0E-8F4C-8234-1326B9C90205}"/>
            </c:ext>
          </c:extLst>
        </c:ser>
        <c:ser>
          <c:idx val="71"/>
          <c:order val="71"/>
          <c:spPr>
            <a:solidFill>
              <a:srgbClr val="16B4C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8-FD0E-8F4C-8234-1326B9C90205}"/>
            </c:ext>
          </c:extLst>
        </c:ser>
        <c:ser>
          <c:idx val="72"/>
          <c:order val="72"/>
          <c:spPr>
            <a:solidFill>
              <a:srgbClr val="15B6C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9-FD0E-8F4C-8234-1326B9C90205}"/>
            </c:ext>
          </c:extLst>
        </c:ser>
        <c:ser>
          <c:idx val="73"/>
          <c:order val="73"/>
          <c:spPr>
            <a:solidFill>
              <a:srgbClr val="15B9D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A-FD0E-8F4C-8234-1326B9C90205}"/>
            </c:ext>
          </c:extLst>
        </c:ser>
        <c:ser>
          <c:idx val="74"/>
          <c:order val="74"/>
          <c:spPr>
            <a:solidFill>
              <a:srgbClr val="14BBD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B-FD0E-8F4C-8234-1326B9C90205}"/>
            </c:ext>
          </c:extLst>
        </c:ser>
        <c:ser>
          <c:idx val="75"/>
          <c:order val="75"/>
          <c:spPr>
            <a:solidFill>
              <a:srgbClr val="13BED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C-FD0E-8F4C-8234-1326B9C90205}"/>
            </c:ext>
          </c:extLst>
        </c:ser>
        <c:ser>
          <c:idx val="76"/>
          <c:order val="76"/>
          <c:spPr>
            <a:solidFill>
              <a:srgbClr val="12C1D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D-FD0E-8F4C-8234-1326B9C90205}"/>
            </c:ext>
          </c:extLst>
        </c:ser>
        <c:ser>
          <c:idx val="77"/>
          <c:order val="77"/>
          <c:spPr>
            <a:solidFill>
              <a:srgbClr val="12C3D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E-FD0E-8F4C-8234-1326B9C90205}"/>
            </c:ext>
          </c:extLst>
        </c:ser>
        <c:ser>
          <c:idx val="78"/>
          <c:order val="78"/>
          <c:spPr>
            <a:solidFill>
              <a:srgbClr val="11C6D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F-FD0E-8F4C-8234-1326B9C90205}"/>
            </c:ext>
          </c:extLst>
        </c:ser>
        <c:ser>
          <c:idx val="79"/>
          <c:order val="79"/>
          <c:spPr>
            <a:solidFill>
              <a:srgbClr val="10C8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0-FD0E-8F4C-8234-1326B9C90205}"/>
            </c:ext>
          </c:extLst>
        </c:ser>
        <c:ser>
          <c:idx val="80"/>
          <c:order val="80"/>
          <c:spPr>
            <a:solidFill>
              <a:srgbClr val="0FCBD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1-FD0E-8F4C-8234-1326B9C90205}"/>
            </c:ext>
          </c:extLst>
        </c:ser>
        <c:ser>
          <c:idx val="81"/>
          <c:order val="81"/>
          <c:spPr>
            <a:solidFill>
              <a:srgbClr val="0FCDD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2-FD0E-8F4C-8234-1326B9C90205}"/>
            </c:ext>
          </c:extLst>
        </c:ser>
        <c:ser>
          <c:idx val="82"/>
          <c:order val="82"/>
          <c:spPr>
            <a:solidFill>
              <a:srgbClr val="0ED0D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3-FD0E-8F4C-8234-1326B9C90205}"/>
            </c:ext>
          </c:extLst>
        </c:ser>
        <c:ser>
          <c:idx val="83"/>
          <c:order val="83"/>
          <c:spPr>
            <a:solidFill>
              <a:srgbClr val="0DD2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4-FD0E-8F4C-8234-1326B9C90205}"/>
            </c:ext>
          </c:extLst>
        </c:ser>
        <c:ser>
          <c:idx val="84"/>
          <c:order val="84"/>
          <c:spPr>
            <a:solidFill>
              <a:srgbClr val="0CD5D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5-FD0E-8F4C-8234-1326B9C90205}"/>
            </c:ext>
          </c:extLst>
        </c:ser>
        <c:ser>
          <c:idx val="85"/>
          <c:order val="85"/>
          <c:spPr>
            <a:solidFill>
              <a:srgbClr val="0CD7D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6-FD0E-8F4C-8234-1326B9C90205}"/>
            </c:ext>
          </c:extLst>
        </c:ser>
        <c:ser>
          <c:idx val="86"/>
          <c:order val="86"/>
          <c:spPr>
            <a:solidFill>
              <a:srgbClr val="0BDAD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7-FD0E-8F4C-8234-1326B9C90205}"/>
            </c:ext>
          </c:extLst>
        </c:ser>
        <c:ser>
          <c:idx val="87"/>
          <c:order val="87"/>
          <c:spPr>
            <a:solidFill>
              <a:srgbClr val="0ADDD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8-FD0E-8F4C-8234-1326B9C90205}"/>
            </c:ext>
          </c:extLst>
        </c:ser>
        <c:ser>
          <c:idx val="88"/>
          <c:order val="88"/>
          <c:spPr>
            <a:solidFill>
              <a:srgbClr val="09DF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9-FD0E-8F4C-8234-1326B9C90205}"/>
            </c:ext>
          </c:extLst>
        </c:ser>
        <c:ser>
          <c:idx val="89"/>
          <c:order val="89"/>
          <c:spPr>
            <a:solidFill>
              <a:srgbClr val="09E2E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A-FD0E-8F4C-8234-1326B9C90205}"/>
            </c:ext>
          </c:extLst>
        </c:ser>
        <c:ser>
          <c:idx val="90"/>
          <c:order val="90"/>
          <c:spPr>
            <a:solidFill>
              <a:srgbClr val="08E4E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B-FD0E-8F4C-8234-1326B9C90205}"/>
            </c:ext>
          </c:extLst>
        </c:ser>
        <c:ser>
          <c:idx val="91"/>
          <c:order val="91"/>
          <c:spPr>
            <a:solidFill>
              <a:srgbClr val="07E7E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C-FD0E-8F4C-8234-1326B9C90205}"/>
            </c:ext>
          </c:extLst>
        </c:ser>
        <c:ser>
          <c:idx val="92"/>
          <c:order val="92"/>
          <c:spPr>
            <a:solidFill>
              <a:srgbClr val="06E9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D-FD0E-8F4C-8234-1326B9C90205}"/>
            </c:ext>
          </c:extLst>
        </c:ser>
        <c:ser>
          <c:idx val="93"/>
          <c:order val="93"/>
          <c:spPr>
            <a:solidFill>
              <a:srgbClr val="06ECE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E-FD0E-8F4C-8234-1326B9C90205}"/>
            </c:ext>
          </c:extLst>
        </c:ser>
        <c:ser>
          <c:idx val="94"/>
          <c:order val="94"/>
          <c:spPr>
            <a:solidFill>
              <a:srgbClr val="05EE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F-FD0E-8F4C-8234-1326B9C90205}"/>
            </c:ext>
          </c:extLst>
        </c:ser>
        <c:ser>
          <c:idx val="95"/>
          <c:order val="95"/>
          <c:spPr>
            <a:solidFill>
              <a:srgbClr val="04F1E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0-FD0E-8F4C-8234-1326B9C90205}"/>
            </c:ext>
          </c:extLst>
        </c:ser>
        <c:ser>
          <c:idx val="96"/>
          <c:order val="96"/>
          <c:spPr>
            <a:solidFill>
              <a:srgbClr val="03F4E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1-FD0E-8F4C-8234-1326B9C90205}"/>
            </c:ext>
          </c:extLst>
        </c:ser>
        <c:ser>
          <c:idx val="97"/>
          <c:order val="97"/>
          <c:spPr>
            <a:solidFill>
              <a:srgbClr val="03F6E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2-FD0E-8F4C-8234-1326B9C90205}"/>
            </c:ext>
          </c:extLst>
        </c:ser>
        <c:ser>
          <c:idx val="98"/>
          <c:order val="98"/>
          <c:spPr>
            <a:solidFill>
              <a:srgbClr val="02F9E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3-FD0E-8F4C-8234-1326B9C90205}"/>
            </c:ext>
          </c:extLst>
        </c:ser>
        <c:ser>
          <c:idx val="99"/>
          <c:order val="99"/>
          <c:spPr>
            <a:solidFill>
              <a:srgbClr val="01FB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4-FD0E-8F4C-8234-1326B9C90205}"/>
            </c:ext>
          </c:extLst>
        </c:ser>
        <c:ser>
          <c:idx val="100"/>
          <c:order val="100"/>
          <c:spPr>
            <a:solidFill>
              <a:srgbClr val="00FEE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5-FD0E-8F4C-8234-1326B9C9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6890624"/>
        <c:axId val="456879232"/>
      </c:barChart>
      <c:catAx>
        <c:axId val="456890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879232"/>
        <c:crosses val="autoZero"/>
        <c:auto val="1"/>
        <c:lblAlgn val="ctr"/>
        <c:lblOffset val="100"/>
        <c:noMultiLvlLbl val="0"/>
      </c:catAx>
      <c:valAx>
        <c:axId val="456879232"/>
        <c:scaling>
          <c:orientation val="minMax"/>
          <c:max val="1"/>
          <c:min val="0.6986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56890624"/>
        <c:crosses val="autoZero"/>
        <c:crossBetween val="between"/>
        <c:majorUnit val="7.535E-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07676833254392E-2"/>
          <c:y val="9.6618886632550888E-2"/>
          <c:w val="0.91356821570458457"/>
          <c:h val="0.79725871561955797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19050">
              <a:solidFill>
                <a:schemeClr val="bg1">
                  <a:lumMod val="95000"/>
                  <a:alpha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9EBF0">
                  <a:alpha val="50000"/>
                </a:srgbClr>
              </a:solidFill>
              <a:ln w="19050" cap="flat" cmpd="sng" algn="ctr">
                <a:solidFill>
                  <a:srgbClr val="29EB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E-9049-A4A9-7D8FC97FEA8A}"/>
              </c:ext>
            </c:extLst>
          </c:dPt>
          <c:dPt>
            <c:idx val="1"/>
            <c:invertIfNegative val="0"/>
            <c:bubble3D val="0"/>
            <c:spPr>
              <a:solidFill>
                <a:srgbClr val="D698FC">
                  <a:alpha val="50000"/>
                </a:srgbClr>
              </a:solidFill>
              <a:ln w="19050" cap="flat" cmpd="sng" algn="ctr">
                <a:solidFill>
                  <a:srgbClr val="D698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0E-9049-A4A9-7D8FC97FEA8A}"/>
              </c:ext>
            </c:extLst>
          </c:dPt>
          <c:dPt>
            <c:idx val="2"/>
            <c:invertIfNegative val="0"/>
            <c:bubble3D val="0"/>
            <c:spPr>
              <a:solidFill>
                <a:srgbClr val="03FDED">
                  <a:alpha val="50000"/>
                </a:srgbClr>
              </a:solidFill>
              <a:ln w="19050" cap="flat" cmpd="sng" algn="ctr">
                <a:solidFill>
                  <a:srgbClr val="03FD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90E-9049-A4A9-7D8FC97FEA8A}"/>
              </c:ext>
            </c:extLst>
          </c:dPt>
          <c:dPt>
            <c:idx val="3"/>
            <c:invertIfNegative val="0"/>
            <c:bubble3D val="0"/>
            <c:spPr>
              <a:solidFill>
                <a:srgbClr val="1FF0EF">
                  <a:alpha val="50000"/>
                </a:srgbClr>
              </a:solidFill>
              <a:ln w="19050" cap="flat" cmpd="sng" algn="ctr">
                <a:solidFill>
                  <a:srgbClr val="1FF0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90E-9049-A4A9-7D8FC97FEA8A}"/>
              </c:ext>
            </c:extLst>
          </c:dPt>
          <c:dPt>
            <c:idx val="4"/>
            <c:invertIfNegative val="0"/>
            <c:bubble3D val="0"/>
            <c:spPr>
              <a:solidFill>
                <a:srgbClr val="D49AFC">
                  <a:alpha val="50000"/>
                </a:srgbClr>
              </a:solidFill>
              <a:ln w="19050" cap="flat" cmpd="sng" algn="ctr">
                <a:solidFill>
                  <a:srgbClr val="D49A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90E-9049-A4A9-7D8FC97FEA8A}"/>
              </c:ext>
            </c:extLst>
          </c:dPt>
          <c:dPt>
            <c:idx val="5"/>
            <c:invertIfNegative val="0"/>
            <c:bubble3D val="0"/>
            <c:spPr>
              <a:solidFill>
                <a:srgbClr val="41E0F2">
                  <a:alpha val="50000"/>
                </a:srgbClr>
              </a:solidFill>
              <a:ln w="19050" cap="flat" cmpd="sng" algn="ctr">
                <a:solidFill>
                  <a:srgbClr val="41E0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90E-9049-A4A9-7D8FC97FEA8A}"/>
              </c:ext>
            </c:extLst>
          </c:dPt>
          <c:dPt>
            <c:idx val="6"/>
            <c:invertIfNegative val="0"/>
            <c:bubble3D val="0"/>
            <c:spPr>
              <a:solidFill>
                <a:srgbClr val="80C2F6">
                  <a:alpha val="50000"/>
                </a:srgbClr>
              </a:solidFill>
              <a:ln w="19050" cap="flat" cmpd="sng" algn="ctr">
                <a:solidFill>
                  <a:srgbClr val="80C2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90E-9049-A4A9-7D8FC97FEA8A}"/>
              </c:ext>
            </c:extLst>
          </c:dPt>
          <c:dPt>
            <c:idx val="7"/>
            <c:invertIfNegative val="0"/>
            <c:bubble3D val="0"/>
            <c:spPr>
              <a:solidFill>
                <a:srgbClr val="96B7F8">
                  <a:alpha val="50000"/>
                </a:srgbClr>
              </a:solidFill>
              <a:ln w="19050" cap="flat" cmpd="sng" algn="ctr">
                <a:solidFill>
                  <a:srgbClr val="96B7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90E-9049-A4A9-7D8FC97FEA8A}"/>
              </c:ext>
            </c:extLst>
          </c:dPt>
          <c:dPt>
            <c:idx val="8"/>
            <c:invertIfNegative val="0"/>
            <c:bubble3D val="0"/>
            <c:spPr>
              <a:solidFill>
                <a:srgbClr val="2FE9F0">
                  <a:alpha val="50000"/>
                </a:srgbClr>
              </a:solidFill>
              <a:ln w="19050" cap="flat" cmpd="sng" algn="ctr">
                <a:solidFill>
                  <a:srgbClr val="2FE9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90E-9049-A4A9-7D8FC97FEA8A}"/>
              </c:ext>
            </c:extLst>
          </c:dPt>
          <c:dPt>
            <c:idx val="9"/>
            <c:invertIfNegative val="0"/>
            <c:bubble3D val="0"/>
            <c:spPr>
              <a:solidFill>
                <a:srgbClr val="61D1F4">
                  <a:alpha val="50000"/>
                </a:srgbClr>
              </a:solidFill>
              <a:ln w="19050" cap="flat" cmpd="sng" algn="ctr">
                <a:solidFill>
                  <a:srgbClr val="61D1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90E-9049-A4A9-7D8FC97FEA8A}"/>
              </c:ext>
            </c:extLst>
          </c:dPt>
          <c:dPt>
            <c:idx val="10"/>
            <c:invertIfNegative val="0"/>
            <c:bubble3D val="0"/>
            <c:spPr>
              <a:solidFill>
                <a:srgbClr val="DD95FD">
                  <a:alpha val="50000"/>
                </a:srgbClr>
              </a:solidFill>
              <a:ln w="19050" cap="flat" cmpd="sng" algn="ctr">
                <a:solidFill>
                  <a:srgbClr val="DD95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90E-9049-A4A9-7D8FC97FEA8A}"/>
              </c:ext>
            </c:extLst>
          </c:dPt>
          <c:dPt>
            <c:idx val="11"/>
            <c:invertIfNegative val="0"/>
            <c:bubble3D val="0"/>
            <c:spPr>
              <a:solidFill>
                <a:srgbClr val="35E5F1">
                  <a:alpha val="50000"/>
                </a:srgbClr>
              </a:solidFill>
              <a:ln w="19050" cap="flat" cmpd="sng" algn="ctr">
                <a:solidFill>
                  <a:srgbClr val="35E5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90E-9049-A4A9-7D8FC97FEA8A}"/>
              </c:ext>
            </c:extLst>
          </c:dPt>
          <c:dPt>
            <c:idx val="12"/>
            <c:invertIfNegative val="0"/>
            <c:bubble3D val="0"/>
            <c:spPr>
              <a:solidFill>
                <a:srgbClr val="CE9CFC">
                  <a:alpha val="50000"/>
                </a:srgbClr>
              </a:solidFill>
              <a:ln w="19050" cap="flat" cmpd="sng" algn="ctr">
                <a:solidFill>
                  <a:srgbClr val="CE9C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9-B90E-9049-A4A9-7D8FC97FEA8A}"/>
              </c:ext>
            </c:extLst>
          </c:dPt>
          <c:dPt>
            <c:idx val="13"/>
            <c:invertIfNegative val="0"/>
            <c:bubble3D val="0"/>
            <c:spPr>
              <a:solidFill>
                <a:srgbClr val="45DEF2">
                  <a:alpha val="50000"/>
                </a:srgbClr>
              </a:solidFill>
              <a:ln w="19050" cap="flat" cmpd="sng" algn="ctr">
                <a:solidFill>
                  <a:srgbClr val="45DE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B-B90E-9049-A4A9-7D8FC97FEA8A}"/>
              </c:ext>
            </c:extLst>
          </c:dPt>
          <c:dPt>
            <c:idx val="14"/>
            <c:invertIfNegative val="0"/>
            <c:bubble3D val="0"/>
            <c:spPr>
              <a:solidFill>
                <a:srgbClr val="49DCF2">
                  <a:alpha val="50000"/>
                </a:srgbClr>
              </a:solidFill>
              <a:ln w="19050" cap="flat" cmpd="sng" algn="ctr">
                <a:solidFill>
                  <a:srgbClr val="49DC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D-B90E-9049-A4A9-7D8FC97FEA8A}"/>
              </c:ext>
            </c:extLst>
          </c:dPt>
          <c:dPt>
            <c:idx val="15"/>
            <c:invertIfNegative val="0"/>
            <c:bubble3D val="0"/>
            <c:spPr>
              <a:solidFill>
                <a:srgbClr val="0CF9EE">
                  <a:alpha val="50000"/>
                </a:srgbClr>
              </a:solidFill>
              <a:ln w="19050" cap="flat" cmpd="sng" algn="ctr">
                <a:solidFill>
                  <a:srgbClr val="0CF9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F-B90E-9049-A4A9-7D8FC97FEA8A}"/>
              </c:ext>
            </c:extLst>
          </c:dPt>
          <c:dPt>
            <c:idx val="16"/>
            <c:invertIfNegative val="0"/>
            <c:bubble3D val="0"/>
            <c:spPr>
              <a:solidFill>
                <a:srgbClr val="5DD3F4">
                  <a:alpha val="50000"/>
                </a:srgbClr>
              </a:solidFill>
              <a:ln w="19050" cap="flat" cmpd="sng" algn="ctr">
                <a:solidFill>
                  <a:srgbClr val="5DD3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1-B90E-9049-A4A9-7D8FC97FEA8A}"/>
              </c:ext>
            </c:extLst>
          </c:dPt>
          <c:dPt>
            <c:idx val="17"/>
            <c:invertIfNegative val="0"/>
            <c:bubble3D val="0"/>
            <c:spPr>
              <a:solidFill>
                <a:srgbClr val="28ECF0">
                  <a:alpha val="50000"/>
                </a:srgbClr>
              </a:solidFill>
              <a:ln w="19050" cap="flat" cmpd="sng" algn="ctr">
                <a:solidFill>
                  <a:srgbClr val="28EC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3-B90E-9049-A4A9-7D8FC97FEA8A}"/>
              </c:ext>
            </c:extLst>
          </c:dPt>
          <c:dPt>
            <c:idx val="18"/>
            <c:invertIfNegative val="0"/>
            <c:bubble3D val="0"/>
            <c:spPr>
              <a:solidFill>
                <a:srgbClr val="87BEF7">
                  <a:alpha val="50000"/>
                </a:srgbClr>
              </a:solidFill>
              <a:ln w="19050" cap="flat" cmpd="sng" algn="ctr">
                <a:solidFill>
                  <a:srgbClr val="87BE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5-B90E-9049-A4A9-7D8FC97FEA8A}"/>
              </c:ext>
            </c:extLst>
          </c:dPt>
          <c:dPt>
            <c:idx val="19"/>
            <c:invertIfNegative val="0"/>
            <c:bubble3D val="0"/>
            <c:spPr>
              <a:solidFill>
                <a:srgbClr val="25EDF0">
                  <a:alpha val="50000"/>
                </a:srgbClr>
              </a:solidFill>
              <a:ln w="19050" cap="flat" cmpd="sng" algn="ctr">
                <a:solidFill>
                  <a:srgbClr val="25ED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7-B90E-9049-A4A9-7D8FC97FEA8A}"/>
              </c:ext>
            </c:extLst>
          </c:dPt>
          <c:dPt>
            <c:idx val="20"/>
            <c:invertIfNegative val="0"/>
            <c:bubble3D val="0"/>
            <c:spPr>
              <a:solidFill>
                <a:srgbClr val="17F4EF">
                  <a:alpha val="50000"/>
                </a:srgbClr>
              </a:solidFill>
              <a:ln w="19050" cap="flat" cmpd="sng" algn="ctr">
                <a:solidFill>
                  <a:srgbClr val="17F4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9-B90E-9049-A4A9-7D8FC97FEA8A}"/>
              </c:ext>
            </c:extLst>
          </c:dPt>
          <c:dPt>
            <c:idx val="21"/>
            <c:invertIfNegative val="0"/>
            <c:bubble3D val="0"/>
            <c:spPr>
              <a:solidFill>
                <a:srgbClr val="95B8F7">
                  <a:alpha val="50000"/>
                </a:srgbClr>
              </a:solidFill>
              <a:ln w="19050" cap="flat" cmpd="sng" algn="ctr">
                <a:solidFill>
                  <a:srgbClr val="95B8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B-B90E-9049-A4A9-7D8FC97FEA8A}"/>
              </c:ext>
            </c:extLst>
          </c:dPt>
          <c:dPt>
            <c:idx val="22"/>
            <c:invertIfNegative val="0"/>
            <c:bubble3D val="0"/>
            <c:spPr>
              <a:solidFill>
                <a:srgbClr val="58D5F3">
                  <a:alpha val="50000"/>
                </a:srgbClr>
              </a:solidFill>
              <a:ln w="19050" cap="flat" cmpd="sng" algn="ctr">
                <a:solidFill>
                  <a:srgbClr val="58D5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D-B90E-9049-A4A9-7D8FC97FEA8A}"/>
              </c:ext>
            </c:extLst>
          </c:dPt>
          <c:dPt>
            <c:idx val="23"/>
            <c:invertIfNegative val="0"/>
            <c:bubble3D val="0"/>
            <c:spPr>
              <a:solidFill>
                <a:srgbClr val="3DE2F1">
                  <a:alpha val="50000"/>
                </a:srgbClr>
              </a:solidFill>
              <a:ln w="19050" cap="flat" cmpd="sng" algn="ctr">
                <a:solidFill>
                  <a:srgbClr val="3DE2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F-B90E-9049-A4A9-7D8FC97FEA8A}"/>
              </c:ext>
            </c:extLst>
          </c:dPt>
          <c:dPt>
            <c:idx val="24"/>
            <c:invertIfNegative val="0"/>
            <c:bubble3D val="0"/>
            <c:spPr>
              <a:solidFill>
                <a:srgbClr val="FF7CEA">
                  <a:alpha val="50000"/>
                </a:srgbClr>
              </a:solidFill>
              <a:ln w="19050" cap="flat" cmpd="sng" algn="ctr">
                <a:solidFill>
                  <a:srgbClr val="FF7CE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1-B90E-9049-A4A9-7D8FC97FEA8A}"/>
              </c:ext>
            </c:extLst>
          </c:dPt>
          <c:dPt>
            <c:idx val="25"/>
            <c:invertIfNegative val="0"/>
            <c:bubble3D val="0"/>
            <c:spPr>
              <a:solidFill>
                <a:srgbClr val="54D7F3">
                  <a:alpha val="50000"/>
                </a:srgbClr>
              </a:solidFill>
              <a:ln w="19050" cap="flat" cmpd="sng" algn="ctr">
                <a:solidFill>
                  <a:srgbClr val="54D7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3-B90E-9049-A4A9-7D8FC97FEA8A}"/>
              </c:ext>
            </c:extLst>
          </c:dPt>
          <c:dPt>
            <c:idx val="26"/>
            <c:invertIfNegative val="0"/>
            <c:bubble3D val="0"/>
            <c:spPr>
              <a:solidFill>
                <a:srgbClr val="55D6F3">
                  <a:alpha val="50000"/>
                </a:srgbClr>
              </a:solidFill>
              <a:ln w="19050" cap="flat" cmpd="sng" algn="ctr">
                <a:solidFill>
                  <a:srgbClr val="55D6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5-B90E-9049-A4A9-7D8FC97FEA8A}"/>
              </c:ext>
            </c:extLst>
          </c:dPt>
          <c:dPt>
            <c:idx val="27"/>
            <c:invertIfNegative val="0"/>
            <c:bubble3D val="0"/>
            <c:spPr>
              <a:solidFill>
                <a:srgbClr val="7DC3F6">
                  <a:alpha val="50000"/>
                </a:srgbClr>
              </a:solidFill>
              <a:ln w="19050" cap="flat" cmpd="sng" algn="ctr">
                <a:solidFill>
                  <a:srgbClr val="7DC3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7-B90E-9049-A4A9-7D8FC97FEA8A}"/>
              </c:ext>
            </c:extLst>
          </c:dPt>
          <c:dPt>
            <c:idx val="28"/>
            <c:invertIfNegative val="0"/>
            <c:bubble3D val="0"/>
            <c:spPr>
              <a:solidFill>
                <a:srgbClr val="4CDAF2">
                  <a:alpha val="50000"/>
                </a:srgbClr>
              </a:solidFill>
              <a:ln w="19050" cap="flat" cmpd="sng" algn="ctr">
                <a:solidFill>
                  <a:srgbClr val="4CDA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9-B90E-9049-A4A9-7D8FC97FEA8A}"/>
              </c:ext>
            </c:extLst>
          </c:dPt>
          <c:dPt>
            <c:idx val="29"/>
            <c:invertIfNegative val="0"/>
            <c:bubble3D val="0"/>
            <c:spPr>
              <a:solidFill>
                <a:srgbClr val="46DDF2">
                  <a:alpha val="50000"/>
                </a:srgbClr>
              </a:solidFill>
              <a:ln w="19050" cap="flat" cmpd="sng" algn="ctr">
                <a:solidFill>
                  <a:srgbClr val="46DD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B-B90E-9049-A4A9-7D8FC97FEA8A}"/>
              </c:ext>
            </c:extLst>
          </c:dPt>
          <c:dPt>
            <c:idx val="30"/>
            <c:invertIfNegative val="0"/>
            <c:bubble3D val="0"/>
            <c:spPr>
              <a:solidFill>
                <a:srgbClr val="48DDF2">
                  <a:alpha val="50000"/>
                </a:srgbClr>
              </a:solidFill>
              <a:ln w="19050" cap="flat" cmpd="sng" algn="ctr">
                <a:solidFill>
                  <a:srgbClr val="48DD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D-B90E-9049-A4A9-7D8FC97FEA8A}"/>
              </c:ext>
            </c:extLst>
          </c:dPt>
          <c:dPt>
            <c:idx val="31"/>
            <c:invertIfNegative val="0"/>
            <c:bubble3D val="0"/>
            <c:spPr>
              <a:solidFill>
                <a:srgbClr val="7BC4F6">
                  <a:alpha val="50000"/>
                </a:srgbClr>
              </a:solidFill>
              <a:ln w="19050" cap="flat" cmpd="sng" algn="ctr">
                <a:solidFill>
                  <a:srgbClr val="7BC4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F-B90E-9049-A4A9-7D8FC97FEA8A}"/>
              </c:ext>
            </c:extLst>
          </c:dPt>
          <c:dPt>
            <c:idx val="32"/>
            <c:invertIfNegative val="0"/>
            <c:bubble3D val="0"/>
            <c:spPr>
              <a:solidFill>
                <a:srgbClr val="00FFED">
                  <a:alpha val="50000"/>
                </a:srgbClr>
              </a:solidFill>
              <a:ln w="19050" cap="flat" cmpd="sng" algn="ctr">
                <a:solidFill>
                  <a:srgbClr val="00FF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1-B90E-9049-A4A9-7D8FC97FEA8A}"/>
              </c:ext>
            </c:extLst>
          </c:dPt>
          <c:dPt>
            <c:idx val="33"/>
            <c:invertIfNegative val="0"/>
            <c:bubble3D val="0"/>
            <c:spPr>
              <a:solidFill>
                <a:srgbClr val="41E0F2">
                  <a:alpha val="50000"/>
                </a:srgbClr>
              </a:solidFill>
              <a:ln w="19050" cap="flat" cmpd="sng" algn="ctr">
                <a:solidFill>
                  <a:srgbClr val="41E0F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3-B90E-9049-A4A9-7D8FC97FEA8A}"/>
              </c:ext>
            </c:extLst>
          </c:dPt>
          <c:dPt>
            <c:idx val="34"/>
            <c:invertIfNegative val="0"/>
            <c:bubble3D val="0"/>
            <c:spPr>
              <a:solidFill>
                <a:srgbClr val="FB87FF">
                  <a:alpha val="50000"/>
                </a:srgbClr>
              </a:solidFill>
              <a:ln w="19050" cap="flat" cmpd="sng" algn="ctr">
                <a:solidFill>
                  <a:srgbClr val="FB87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5-B90E-9049-A4A9-7D8FC97FEA8A}"/>
              </c:ext>
            </c:extLst>
          </c:dPt>
          <c:dPt>
            <c:idx val="35"/>
            <c:invertIfNegative val="0"/>
            <c:bubble3D val="0"/>
            <c:spPr>
              <a:solidFill>
                <a:srgbClr val="75C7F5">
                  <a:alpha val="50000"/>
                </a:srgbClr>
              </a:solidFill>
              <a:ln w="19050" cap="flat" cmpd="sng" algn="ctr">
                <a:solidFill>
                  <a:srgbClr val="75C7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7-B90E-9049-A4A9-7D8FC97FEA8A}"/>
              </c:ext>
            </c:extLst>
          </c:dPt>
          <c:dPt>
            <c:idx val="36"/>
            <c:invertIfNegative val="0"/>
            <c:bubble3D val="0"/>
            <c:spPr>
              <a:solidFill>
                <a:srgbClr val="5CD3F3">
                  <a:alpha val="50000"/>
                </a:srgbClr>
              </a:solidFill>
              <a:ln w="19050" cap="flat" cmpd="sng" algn="ctr">
                <a:solidFill>
                  <a:srgbClr val="5CD3F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9-B90E-9049-A4A9-7D8FC97FEA8A}"/>
              </c:ext>
            </c:extLst>
          </c:dPt>
          <c:dPt>
            <c:idx val="37"/>
            <c:invertIfNegative val="0"/>
            <c:bubble3D val="0"/>
            <c:spPr>
              <a:solidFill>
                <a:srgbClr val="91BAF7">
                  <a:alpha val="50000"/>
                </a:srgbClr>
              </a:solidFill>
              <a:ln w="19050" cap="flat" cmpd="sng" algn="ctr">
                <a:solidFill>
                  <a:srgbClr val="91BA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B-B90E-9049-A4A9-7D8FC97FEA8A}"/>
              </c:ext>
            </c:extLst>
          </c:dPt>
          <c:dPt>
            <c:idx val="38"/>
            <c:invertIfNegative val="0"/>
            <c:bubble3D val="0"/>
            <c:spPr>
              <a:solidFill>
                <a:srgbClr val="A3B1F9">
                  <a:alpha val="50000"/>
                </a:srgbClr>
              </a:solidFill>
              <a:ln w="19050" cap="flat" cmpd="sng" algn="ctr">
                <a:solidFill>
                  <a:srgbClr val="A3B1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D-B90E-9049-A4A9-7D8FC97FEA8A}"/>
              </c:ext>
            </c:extLst>
          </c:dPt>
          <c:dPt>
            <c:idx val="39"/>
            <c:invertIfNegative val="0"/>
            <c:bubble3D val="0"/>
            <c:spPr>
              <a:solidFill>
                <a:srgbClr val="18F3EF">
                  <a:alpha val="50000"/>
                </a:srgbClr>
              </a:solidFill>
              <a:ln w="19050" cap="flat" cmpd="sng" algn="ctr">
                <a:solidFill>
                  <a:srgbClr val="18F3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F-B90E-9049-A4A9-7D8FC97FEA8A}"/>
              </c:ext>
            </c:extLst>
          </c:dPt>
          <c:dPt>
            <c:idx val="40"/>
            <c:invertIfNegative val="0"/>
            <c:bubble3D val="0"/>
            <c:spPr>
              <a:solidFill>
                <a:srgbClr val="75C7F5">
                  <a:alpha val="50000"/>
                </a:srgbClr>
              </a:solidFill>
              <a:ln w="19050" cap="flat" cmpd="sng" algn="ctr">
                <a:solidFill>
                  <a:srgbClr val="75C7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1-B90E-9049-A4A9-7D8FC97FEA8A}"/>
              </c:ext>
            </c:extLst>
          </c:dPt>
          <c:dPt>
            <c:idx val="41"/>
            <c:invertIfNegative val="0"/>
            <c:bubble3D val="0"/>
            <c:spPr>
              <a:solidFill>
                <a:srgbClr val="F58AFE">
                  <a:alpha val="50000"/>
                </a:srgbClr>
              </a:solidFill>
              <a:ln w="19050" cap="flat" cmpd="sng" algn="ctr">
                <a:solidFill>
                  <a:srgbClr val="F58A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3-B90E-9049-A4A9-7D8FC97FEA8A}"/>
              </c:ext>
            </c:extLst>
          </c:dPt>
          <c:dPt>
            <c:idx val="42"/>
            <c:invertIfNegative val="0"/>
            <c:bubble3D val="0"/>
            <c:spPr>
              <a:solidFill>
                <a:srgbClr val="CE9CFC">
                  <a:alpha val="50000"/>
                </a:srgbClr>
              </a:solidFill>
              <a:ln w="19050" cap="flat" cmpd="sng" algn="ctr">
                <a:solidFill>
                  <a:srgbClr val="CE9C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5-B90E-9049-A4A9-7D8FC97FEA8A}"/>
              </c:ext>
            </c:extLst>
          </c:dPt>
          <c:dPt>
            <c:idx val="43"/>
            <c:invertIfNegative val="0"/>
            <c:bubble3D val="0"/>
            <c:spPr>
              <a:solidFill>
                <a:srgbClr val="69CDF4">
                  <a:alpha val="50000"/>
                </a:srgbClr>
              </a:solidFill>
              <a:ln w="19050" cap="flat" cmpd="sng" algn="ctr">
                <a:solidFill>
                  <a:srgbClr val="69CD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7-B90E-9049-A4A9-7D8FC97FEA8A}"/>
              </c:ext>
            </c:extLst>
          </c:dPt>
          <c:dPt>
            <c:idx val="44"/>
            <c:invertIfNegative val="0"/>
            <c:bubble3D val="0"/>
            <c:spPr>
              <a:solidFill>
                <a:srgbClr val="8CBCF7">
                  <a:alpha val="50000"/>
                </a:srgbClr>
              </a:solidFill>
              <a:ln w="19050" cap="flat" cmpd="sng" algn="ctr">
                <a:solidFill>
                  <a:srgbClr val="8CBC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9-B90E-9049-A4A9-7D8FC97FEA8A}"/>
              </c:ext>
            </c:extLst>
          </c:dPt>
          <c:dPt>
            <c:idx val="45"/>
            <c:invertIfNegative val="0"/>
            <c:bubble3D val="0"/>
            <c:spPr>
              <a:solidFill>
                <a:srgbClr val="6ECBF5">
                  <a:alpha val="50000"/>
                </a:srgbClr>
              </a:solidFill>
              <a:ln w="19050" cap="flat" cmpd="sng" algn="ctr">
                <a:solidFill>
                  <a:srgbClr val="6ECB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B-B90E-9049-A4A9-7D8FC97FEA8A}"/>
              </c:ext>
            </c:extLst>
          </c:dPt>
          <c:dPt>
            <c:idx val="46"/>
            <c:invertIfNegative val="0"/>
            <c:bubble3D val="0"/>
            <c:spPr>
              <a:solidFill>
                <a:srgbClr val="6BCCF5">
                  <a:alpha val="50000"/>
                </a:srgbClr>
              </a:solidFill>
              <a:ln w="19050" cap="flat" cmpd="sng" algn="ctr">
                <a:solidFill>
                  <a:srgbClr val="6BCC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D-B90E-9049-A4A9-7D8FC97FEA8A}"/>
              </c:ext>
            </c:extLst>
          </c:dPt>
          <c:dPt>
            <c:idx val="47"/>
            <c:invertIfNegative val="0"/>
            <c:bubble3D val="0"/>
            <c:spPr>
              <a:solidFill>
                <a:srgbClr val="B7A8FA">
                  <a:alpha val="50000"/>
                </a:srgbClr>
              </a:solidFill>
              <a:ln w="19050" cap="flat" cmpd="sng" algn="ctr">
                <a:solidFill>
                  <a:srgbClr val="B7A8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F-B90E-9049-A4A9-7D8FC97FEA8A}"/>
              </c:ext>
            </c:extLst>
          </c:dPt>
          <c:dPt>
            <c:idx val="48"/>
            <c:invertIfNegative val="0"/>
            <c:bubble3D val="0"/>
            <c:spPr>
              <a:solidFill>
                <a:srgbClr val="B5A8FA">
                  <a:alpha val="50000"/>
                </a:srgbClr>
              </a:solidFill>
              <a:ln w="19050" cap="flat" cmpd="sng" algn="ctr">
                <a:solidFill>
                  <a:srgbClr val="B5A8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1-B90E-9049-A4A9-7D8FC97FEA8A}"/>
              </c:ext>
            </c:extLst>
          </c:dPt>
          <c:dPt>
            <c:idx val="49"/>
            <c:invertIfNegative val="0"/>
            <c:bubble3D val="0"/>
            <c:spPr>
              <a:solidFill>
                <a:srgbClr val="BBA6FA">
                  <a:alpha val="50000"/>
                </a:srgbClr>
              </a:solidFill>
              <a:ln w="19050" cap="flat" cmpd="sng" algn="ctr">
                <a:solidFill>
                  <a:srgbClr val="BBA6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3-B90E-9049-A4A9-7D8FC97FEA8A}"/>
              </c:ext>
            </c:extLst>
          </c:dPt>
          <c:dPt>
            <c:idx val="50"/>
            <c:invertIfNegative val="0"/>
            <c:bubble3D val="0"/>
            <c:spPr>
              <a:solidFill>
                <a:srgbClr val="BEA4FA">
                  <a:alpha val="50000"/>
                </a:srgbClr>
              </a:solidFill>
              <a:ln w="19050" cap="flat" cmpd="sng" algn="ctr">
                <a:solidFill>
                  <a:srgbClr val="BEA4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5-B90E-9049-A4A9-7D8FC97FEA8A}"/>
              </c:ext>
            </c:extLst>
          </c:dPt>
          <c:dPt>
            <c:idx val="51"/>
            <c:invertIfNegative val="0"/>
            <c:bubble3D val="0"/>
            <c:spPr>
              <a:solidFill>
                <a:srgbClr val="6CCBF5">
                  <a:alpha val="50000"/>
                </a:srgbClr>
              </a:solidFill>
              <a:ln w="19050" cap="flat" cmpd="sng" algn="ctr">
                <a:solidFill>
                  <a:srgbClr val="6CCB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7-B90E-9049-A4A9-7D8FC97FEA8A}"/>
              </c:ext>
            </c:extLst>
          </c:dPt>
          <c:dPt>
            <c:idx val="52"/>
            <c:invertIfNegative val="0"/>
            <c:bubble3D val="0"/>
            <c:spPr>
              <a:solidFill>
                <a:srgbClr val="63D0F4">
                  <a:alpha val="50000"/>
                </a:srgbClr>
              </a:solidFill>
              <a:ln w="19050" cap="flat" cmpd="sng" algn="ctr">
                <a:solidFill>
                  <a:srgbClr val="63D0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9-B90E-9049-A4A9-7D8FC97FEA8A}"/>
              </c:ext>
            </c:extLst>
          </c:dPt>
          <c:dPt>
            <c:idx val="53"/>
            <c:invertIfNegative val="0"/>
            <c:bubble3D val="0"/>
            <c:spPr>
              <a:solidFill>
                <a:srgbClr val="74C8F5">
                  <a:alpha val="50000"/>
                </a:srgbClr>
              </a:solidFill>
              <a:ln w="19050" cap="flat" cmpd="sng" algn="ctr">
                <a:solidFill>
                  <a:srgbClr val="74C8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B-B90E-9049-A4A9-7D8FC97FEA8A}"/>
              </c:ext>
            </c:extLst>
          </c:dPt>
          <c:dPt>
            <c:idx val="54"/>
            <c:invertIfNegative val="0"/>
            <c:bubble3D val="0"/>
            <c:spPr>
              <a:solidFill>
                <a:srgbClr val="9AB5F8">
                  <a:alpha val="50000"/>
                </a:srgbClr>
              </a:solidFill>
              <a:ln w="19050" cap="flat" cmpd="sng" algn="ctr">
                <a:solidFill>
                  <a:srgbClr val="9AB5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D-B90E-9049-A4A9-7D8FC97FEA8A}"/>
              </c:ext>
            </c:extLst>
          </c:dPt>
          <c:dPt>
            <c:idx val="55"/>
            <c:invertIfNegative val="0"/>
            <c:bubble3D val="0"/>
            <c:spPr>
              <a:solidFill>
                <a:srgbClr val="E193FD">
                  <a:alpha val="50000"/>
                </a:srgbClr>
              </a:solidFill>
              <a:ln w="19050" cap="flat" cmpd="sng" algn="ctr">
                <a:solidFill>
                  <a:srgbClr val="E193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F-B90E-9049-A4A9-7D8FC97FEA8A}"/>
              </c:ext>
            </c:extLst>
          </c:dPt>
          <c:dPt>
            <c:idx val="56"/>
            <c:invertIfNegative val="0"/>
            <c:bubble3D val="0"/>
            <c:spPr>
              <a:solidFill>
                <a:srgbClr val="94B8F7">
                  <a:alpha val="50000"/>
                </a:srgbClr>
              </a:solidFill>
              <a:ln w="19050" cap="flat" cmpd="sng" algn="ctr">
                <a:solidFill>
                  <a:srgbClr val="94B8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1-B90E-9049-A4A9-7D8FC97FEA8A}"/>
              </c:ext>
            </c:extLst>
          </c:dPt>
          <c:dPt>
            <c:idx val="57"/>
            <c:invertIfNegative val="0"/>
            <c:bubble3D val="0"/>
            <c:spPr>
              <a:solidFill>
                <a:srgbClr val="76C6F5">
                  <a:alpha val="50000"/>
                </a:srgbClr>
              </a:solidFill>
              <a:ln w="19050" cap="flat" cmpd="sng" algn="ctr">
                <a:solidFill>
                  <a:srgbClr val="76C6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3-B90E-9049-A4A9-7D8FC97FEA8A}"/>
              </c:ext>
            </c:extLst>
          </c:dPt>
          <c:dPt>
            <c:idx val="58"/>
            <c:invertIfNegative val="0"/>
            <c:bubble3D val="0"/>
            <c:spPr>
              <a:solidFill>
                <a:srgbClr val="91BAF7">
                  <a:alpha val="50000"/>
                </a:srgbClr>
              </a:solidFill>
              <a:ln w="19050" cap="flat" cmpd="sng" algn="ctr">
                <a:solidFill>
                  <a:srgbClr val="91BA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5-B90E-9049-A4A9-7D8FC97FEA8A}"/>
              </c:ext>
            </c:extLst>
          </c:dPt>
          <c:dPt>
            <c:idx val="59"/>
            <c:invertIfNegative val="0"/>
            <c:bubble3D val="0"/>
            <c:spPr>
              <a:solidFill>
                <a:srgbClr val="60D1F4">
                  <a:alpha val="50000"/>
                </a:srgbClr>
              </a:solidFill>
              <a:ln w="19050" cap="flat" cmpd="sng" algn="ctr">
                <a:solidFill>
                  <a:srgbClr val="60D1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7-B90E-9049-A4A9-7D8FC97FEA8A}"/>
              </c:ext>
            </c:extLst>
          </c:dPt>
          <c:dPt>
            <c:idx val="60"/>
            <c:invertIfNegative val="0"/>
            <c:bubble3D val="0"/>
            <c:spPr>
              <a:solidFill>
                <a:srgbClr val="9CB4F8">
                  <a:alpha val="50000"/>
                </a:srgbClr>
              </a:solidFill>
              <a:ln w="19050" cap="flat" cmpd="sng" algn="ctr">
                <a:solidFill>
                  <a:srgbClr val="9CB4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9-B90E-9049-A4A9-7D8FC97FEA8A}"/>
              </c:ext>
            </c:extLst>
          </c:dPt>
          <c:dPt>
            <c:idx val="61"/>
            <c:invertIfNegative val="0"/>
            <c:bubble3D val="0"/>
            <c:spPr>
              <a:solidFill>
                <a:srgbClr val="BCA5FA">
                  <a:alpha val="50000"/>
                </a:srgbClr>
              </a:solidFill>
              <a:ln w="19050" cap="flat" cmpd="sng" algn="ctr">
                <a:solidFill>
                  <a:srgbClr val="BCA5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B-B90E-9049-A4A9-7D8FC97FEA8A}"/>
              </c:ext>
            </c:extLst>
          </c:dPt>
          <c:dPt>
            <c:idx val="62"/>
            <c:invertIfNegative val="0"/>
            <c:bubble3D val="0"/>
            <c:spPr>
              <a:solidFill>
                <a:srgbClr val="ED8DFE">
                  <a:alpha val="50000"/>
                </a:srgbClr>
              </a:solidFill>
              <a:ln w="19050" cap="flat" cmpd="sng" algn="ctr">
                <a:solidFill>
                  <a:srgbClr val="ED8D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D-B90E-9049-A4A9-7D8FC97FEA8A}"/>
              </c:ext>
            </c:extLst>
          </c:dPt>
          <c:dPt>
            <c:idx val="63"/>
            <c:invertIfNegative val="0"/>
            <c:bubble3D val="0"/>
            <c:spPr>
              <a:solidFill>
                <a:srgbClr val="FF7EEE">
                  <a:alpha val="50000"/>
                </a:srgbClr>
              </a:solidFill>
              <a:ln w="19050" cap="flat" cmpd="sng" algn="ctr">
                <a:solidFill>
                  <a:srgbClr val="FF7EE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F-B90E-9049-A4A9-7D8FC97FEA8A}"/>
              </c:ext>
            </c:extLst>
          </c:dPt>
          <c:dPt>
            <c:idx val="64"/>
            <c:invertIfNegative val="0"/>
            <c:bubble3D val="0"/>
            <c:spPr>
              <a:solidFill>
                <a:srgbClr val="D898FC">
                  <a:alpha val="50000"/>
                </a:srgbClr>
              </a:solidFill>
              <a:ln w="19050" cap="flat" cmpd="sng" algn="ctr">
                <a:solidFill>
                  <a:srgbClr val="D898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1-B90E-9049-A4A9-7D8FC97FEA8A}"/>
              </c:ext>
            </c:extLst>
          </c:dPt>
          <c:dPt>
            <c:idx val="65"/>
            <c:invertIfNegative val="0"/>
            <c:bubble3D val="0"/>
            <c:spPr>
              <a:solidFill>
                <a:srgbClr val="6ACCF4">
                  <a:alpha val="50000"/>
                </a:srgbClr>
              </a:solidFill>
              <a:ln w="19050" cap="flat" cmpd="sng" algn="ctr">
                <a:solidFill>
                  <a:srgbClr val="6ACC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3-B90E-9049-A4A9-7D8FC97FEA8A}"/>
              </c:ext>
            </c:extLst>
          </c:dPt>
          <c:dPt>
            <c:idx val="66"/>
            <c:invertIfNegative val="0"/>
            <c:bubble3D val="0"/>
            <c:spPr>
              <a:solidFill>
                <a:srgbClr val="C99FFB">
                  <a:alpha val="50000"/>
                </a:srgbClr>
              </a:solidFill>
              <a:ln w="19050" cap="flat" cmpd="sng" algn="ctr">
                <a:solidFill>
                  <a:srgbClr val="C99F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5-B90E-9049-A4A9-7D8FC97FEA8A}"/>
              </c:ext>
            </c:extLst>
          </c:dPt>
          <c:dPt>
            <c:idx val="67"/>
            <c:invertIfNegative val="0"/>
            <c:bubble3D val="0"/>
            <c:spPr>
              <a:solidFill>
                <a:srgbClr val="B2AAFA">
                  <a:alpha val="50000"/>
                </a:srgbClr>
              </a:solidFill>
              <a:ln w="19050" cap="flat" cmpd="sng" algn="ctr">
                <a:solidFill>
                  <a:srgbClr val="B2AA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7-B90E-9049-A4A9-7D8FC97FEA8A}"/>
              </c:ext>
            </c:extLst>
          </c:dPt>
          <c:dPt>
            <c:idx val="68"/>
            <c:invertIfNegative val="0"/>
            <c:bubble3D val="0"/>
            <c:spPr>
              <a:solidFill>
                <a:srgbClr val="1CF1EF">
                  <a:alpha val="50000"/>
                </a:srgbClr>
              </a:solidFill>
              <a:ln w="19050" cap="flat" cmpd="sng" algn="ctr">
                <a:solidFill>
                  <a:srgbClr val="1CF1E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9-B90E-9049-A4A9-7D8FC97FEA8A}"/>
              </c:ext>
            </c:extLst>
          </c:dPt>
          <c:dPt>
            <c:idx val="69"/>
            <c:invertIfNegative val="0"/>
            <c:bubble3D val="0"/>
            <c:spPr>
              <a:solidFill>
                <a:srgbClr val="FF77DC">
                  <a:alpha val="50000"/>
                </a:srgbClr>
              </a:solidFill>
              <a:ln w="19050" cap="flat" cmpd="sng" algn="ctr">
                <a:solidFill>
                  <a:srgbClr val="FF77D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B-B90E-9049-A4A9-7D8FC97FEA8A}"/>
              </c:ext>
            </c:extLst>
          </c:dPt>
          <c:dPt>
            <c:idx val="70"/>
            <c:invertIfNegative val="0"/>
            <c:bubble3D val="0"/>
            <c:spPr>
              <a:solidFill>
                <a:srgbClr val="73C8F5">
                  <a:alpha val="50000"/>
                </a:srgbClr>
              </a:solidFill>
              <a:ln w="19050" cap="flat" cmpd="sng" algn="ctr">
                <a:solidFill>
                  <a:srgbClr val="73C8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D-B90E-9049-A4A9-7D8FC97FEA8A}"/>
              </c:ext>
            </c:extLst>
          </c:dPt>
          <c:dPt>
            <c:idx val="71"/>
            <c:invertIfNegative val="0"/>
            <c:bubble3D val="0"/>
            <c:spPr>
              <a:solidFill>
                <a:srgbClr val="CE9DFC">
                  <a:alpha val="50000"/>
                </a:srgbClr>
              </a:solidFill>
              <a:ln w="19050" cap="flat" cmpd="sng" algn="ctr">
                <a:solidFill>
                  <a:srgbClr val="CE9D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F-B90E-9049-A4A9-7D8FC97FEA8A}"/>
              </c:ext>
            </c:extLst>
          </c:dPt>
          <c:dPt>
            <c:idx val="72"/>
            <c:invertIfNegative val="0"/>
            <c:bubble3D val="0"/>
            <c:spPr>
              <a:solidFill>
                <a:srgbClr val="39E4F1">
                  <a:alpha val="50000"/>
                </a:srgbClr>
              </a:solidFill>
              <a:ln w="19050" cap="flat" cmpd="sng" algn="ctr">
                <a:solidFill>
                  <a:srgbClr val="39E4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1-B90E-9049-A4A9-7D8FC97FEA8A}"/>
              </c:ext>
            </c:extLst>
          </c:dPt>
          <c:dPt>
            <c:idx val="73"/>
            <c:invertIfNegative val="0"/>
            <c:bubble3D val="0"/>
            <c:spPr>
              <a:solidFill>
                <a:srgbClr val="C1A3FB">
                  <a:alpha val="50000"/>
                </a:srgbClr>
              </a:solidFill>
              <a:ln w="19050" cap="flat" cmpd="sng" algn="ctr">
                <a:solidFill>
                  <a:srgbClr val="C1A3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3-B90E-9049-A4A9-7D8FC97FEA8A}"/>
              </c:ext>
            </c:extLst>
          </c:dPt>
          <c:dPt>
            <c:idx val="74"/>
            <c:invertIfNegative val="0"/>
            <c:bubble3D val="0"/>
            <c:spPr>
              <a:solidFill>
                <a:srgbClr val="FF79E1">
                  <a:alpha val="50000"/>
                </a:srgbClr>
              </a:solidFill>
              <a:ln w="19050" cap="flat" cmpd="sng" algn="ctr">
                <a:solidFill>
                  <a:srgbClr val="FF79E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5-B90E-9049-A4A9-7D8FC97FEA8A}"/>
              </c:ext>
            </c:extLst>
          </c:dPt>
          <c:dPt>
            <c:idx val="75"/>
            <c:invertIfNegative val="0"/>
            <c:bubble3D val="0"/>
            <c:spPr>
              <a:solidFill>
                <a:srgbClr val="C7A0FB">
                  <a:alpha val="50000"/>
                </a:srgbClr>
              </a:solidFill>
              <a:ln w="19050" cap="flat" cmpd="sng" algn="ctr">
                <a:solidFill>
                  <a:srgbClr val="C7A0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7-B90E-9049-A4A9-7D8FC97FEA8A}"/>
              </c:ext>
            </c:extLst>
          </c:dPt>
          <c:dPt>
            <c:idx val="76"/>
            <c:invertIfNegative val="0"/>
            <c:bubble3D val="0"/>
            <c:spPr>
              <a:solidFill>
                <a:srgbClr val="E691FD">
                  <a:alpha val="50000"/>
                </a:srgbClr>
              </a:solidFill>
              <a:ln w="19050" cap="flat" cmpd="sng" algn="ctr">
                <a:solidFill>
                  <a:srgbClr val="E691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9-B90E-9049-A4A9-7D8FC97FEA8A}"/>
              </c:ext>
            </c:extLst>
          </c:dPt>
          <c:dPt>
            <c:idx val="77"/>
            <c:invertIfNegative val="0"/>
            <c:bubble3D val="0"/>
            <c:spPr>
              <a:solidFill>
                <a:srgbClr val="81C1F6">
                  <a:alpha val="50000"/>
                </a:srgbClr>
              </a:solidFill>
              <a:ln w="19050" cap="flat" cmpd="sng" algn="ctr">
                <a:solidFill>
                  <a:srgbClr val="81C1F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B-B90E-9049-A4A9-7D8FC97FEA8A}"/>
              </c:ext>
            </c:extLst>
          </c:dPt>
          <c:dPt>
            <c:idx val="78"/>
            <c:invertIfNegative val="0"/>
            <c:bubble3D val="0"/>
            <c:spPr>
              <a:solidFill>
                <a:srgbClr val="31E7F0">
                  <a:alpha val="50000"/>
                </a:srgbClr>
              </a:solidFill>
              <a:ln w="19050" cap="flat" cmpd="sng" algn="ctr">
                <a:solidFill>
                  <a:srgbClr val="31E7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D-B90E-9049-A4A9-7D8FC97FEA8A}"/>
              </c:ext>
            </c:extLst>
          </c:dPt>
          <c:dPt>
            <c:idx val="79"/>
            <c:invertIfNegative val="0"/>
            <c:bubble3D val="0"/>
            <c:spPr>
              <a:solidFill>
                <a:srgbClr val="BAA6FA">
                  <a:alpha val="50000"/>
                </a:srgbClr>
              </a:solidFill>
              <a:ln w="19050" cap="flat" cmpd="sng" algn="ctr">
                <a:solidFill>
                  <a:srgbClr val="BAA6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F-B90E-9049-A4A9-7D8FC97FEA8A}"/>
              </c:ext>
            </c:extLst>
          </c:dPt>
          <c:dPt>
            <c:idx val="80"/>
            <c:invertIfNegative val="0"/>
            <c:bubble3D val="0"/>
            <c:spPr>
              <a:solidFill>
                <a:srgbClr val="FF85FE">
                  <a:alpha val="50000"/>
                </a:srgbClr>
              </a:solidFill>
              <a:ln w="19050" cap="flat" cmpd="sng" algn="ctr">
                <a:solidFill>
                  <a:srgbClr val="FF85F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1-B90E-9049-A4A9-7D8FC97FEA8A}"/>
              </c:ext>
            </c:extLst>
          </c:dPt>
          <c:dPt>
            <c:idx val="81"/>
            <c:invertIfNegative val="0"/>
            <c:bubble3D val="0"/>
            <c:spPr>
              <a:solidFill>
                <a:srgbClr val="3BE3F1">
                  <a:alpha val="50000"/>
                </a:srgbClr>
              </a:solidFill>
              <a:ln w="19050" cap="flat" cmpd="sng" algn="ctr">
                <a:solidFill>
                  <a:srgbClr val="3BE3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3-B90E-9049-A4A9-7D8FC97FEA8A}"/>
              </c:ext>
            </c:extLst>
          </c:dPt>
          <c:dPt>
            <c:idx val="82"/>
            <c:invertIfNegative val="0"/>
            <c:bubble3D val="0"/>
            <c:spPr>
              <a:solidFill>
                <a:srgbClr val="B0ABF9">
                  <a:alpha val="50000"/>
                </a:srgbClr>
              </a:solidFill>
              <a:ln w="19050" cap="flat" cmpd="sng" algn="ctr">
                <a:solidFill>
                  <a:srgbClr val="B0AB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5-B90E-9049-A4A9-7D8FC97FEA8A}"/>
              </c:ext>
            </c:extLst>
          </c:dPt>
          <c:dPt>
            <c:idx val="83"/>
            <c:invertIfNegative val="0"/>
            <c:bubble3D val="0"/>
            <c:spPr>
              <a:solidFill>
                <a:srgbClr val="5FD1F4">
                  <a:alpha val="50000"/>
                </a:srgbClr>
              </a:solidFill>
              <a:ln w="19050" cap="flat" cmpd="sng" algn="ctr">
                <a:solidFill>
                  <a:srgbClr val="5FD1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7-B90E-9049-A4A9-7D8FC97FEA8A}"/>
              </c:ext>
            </c:extLst>
          </c:dPt>
          <c:dPt>
            <c:idx val="84"/>
            <c:invertIfNegative val="0"/>
            <c:bubble3D val="0"/>
            <c:spPr>
              <a:solidFill>
                <a:srgbClr val="FF7AE3">
                  <a:alpha val="50000"/>
                </a:srgbClr>
              </a:solidFill>
              <a:ln w="19050" cap="flat" cmpd="sng" algn="ctr">
                <a:solidFill>
                  <a:srgbClr val="FF7A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9-B90E-9049-A4A9-7D8FC97FEA8A}"/>
              </c:ext>
            </c:extLst>
          </c:dPt>
          <c:dPt>
            <c:idx val="85"/>
            <c:invertIfNegative val="0"/>
            <c:bubble3D val="0"/>
            <c:spPr>
              <a:solidFill>
                <a:srgbClr val="CB9EFB">
                  <a:alpha val="50000"/>
                </a:srgbClr>
              </a:solidFill>
              <a:ln w="19050" cap="flat" cmpd="sng" algn="ctr">
                <a:solidFill>
                  <a:srgbClr val="CB9E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B-B90E-9049-A4A9-7D8FC97FEA8A}"/>
              </c:ext>
            </c:extLst>
          </c:dPt>
          <c:dPt>
            <c:idx val="86"/>
            <c:invertIfNegative val="0"/>
            <c:bubble3D val="0"/>
            <c:spPr>
              <a:solidFill>
                <a:srgbClr val="FF75D8">
                  <a:alpha val="50000"/>
                </a:srgbClr>
              </a:solidFill>
              <a:ln w="19050" cap="flat" cmpd="sng" algn="ctr">
                <a:solidFill>
                  <a:srgbClr val="FF75D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D-B90E-9049-A4A9-7D8FC97FEA8A}"/>
              </c:ext>
            </c:extLst>
          </c:dPt>
          <c:dPt>
            <c:idx val="87"/>
            <c:invertIfNegative val="0"/>
            <c:bubble3D val="0"/>
            <c:spPr>
              <a:solidFill>
                <a:srgbClr val="FF83FB">
                  <a:alpha val="50000"/>
                </a:srgbClr>
              </a:solidFill>
              <a:ln w="19050" cap="flat" cmpd="sng" algn="ctr">
                <a:solidFill>
                  <a:srgbClr val="FF83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AF-B90E-9049-A4A9-7D8FC97FEA8A}"/>
              </c:ext>
            </c:extLst>
          </c:dPt>
          <c:dPt>
            <c:idx val="88"/>
            <c:invertIfNegative val="0"/>
            <c:bubble3D val="0"/>
            <c:spPr>
              <a:solidFill>
                <a:srgbClr val="A3B1F9">
                  <a:alpha val="50000"/>
                </a:srgbClr>
              </a:solidFill>
              <a:ln w="19050" cap="flat" cmpd="sng" algn="ctr">
                <a:solidFill>
                  <a:srgbClr val="A3B1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1-B90E-9049-A4A9-7D8FC97FEA8A}"/>
              </c:ext>
            </c:extLst>
          </c:dPt>
          <c:dPt>
            <c:idx val="89"/>
            <c:invertIfNegative val="0"/>
            <c:bubble3D val="0"/>
            <c:spPr>
              <a:solidFill>
                <a:srgbClr val="5ED2F4">
                  <a:alpha val="50000"/>
                </a:srgbClr>
              </a:solidFill>
              <a:ln w="19050" cap="flat" cmpd="sng" algn="ctr">
                <a:solidFill>
                  <a:srgbClr val="5ED2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3-B90E-9049-A4A9-7D8FC97FEA8A}"/>
              </c:ext>
            </c:extLst>
          </c:dPt>
          <c:dPt>
            <c:idx val="90"/>
            <c:invertIfNegative val="0"/>
            <c:bubble3D val="0"/>
            <c:spPr>
              <a:solidFill>
                <a:srgbClr val="8DBBF7">
                  <a:alpha val="50000"/>
                </a:srgbClr>
              </a:solidFill>
              <a:ln w="19050" cap="flat" cmpd="sng" algn="ctr">
                <a:solidFill>
                  <a:srgbClr val="8DBB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5-B90E-9049-A4A9-7D8FC97FEA8A}"/>
              </c:ext>
            </c:extLst>
          </c:dPt>
          <c:dPt>
            <c:idx val="91"/>
            <c:invertIfNegative val="0"/>
            <c:bubble3D val="0"/>
            <c:spPr>
              <a:solidFill>
                <a:srgbClr val="A2B1F8">
                  <a:alpha val="50000"/>
                </a:srgbClr>
              </a:solidFill>
              <a:ln w="19050" cap="flat" cmpd="sng" algn="ctr">
                <a:solidFill>
                  <a:srgbClr val="A2B1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7-B90E-9049-A4A9-7D8FC97FEA8A}"/>
              </c:ext>
            </c:extLst>
          </c:dPt>
          <c:dPt>
            <c:idx val="92"/>
            <c:invertIfNegative val="0"/>
            <c:bubble3D val="0"/>
            <c:spPr>
              <a:solidFill>
                <a:srgbClr val="D699FC">
                  <a:alpha val="50000"/>
                </a:srgbClr>
              </a:solidFill>
              <a:ln w="19050" cap="flat" cmpd="sng" algn="ctr">
                <a:solidFill>
                  <a:srgbClr val="D699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9-B90E-9049-A4A9-7D8FC97FEA8A}"/>
              </c:ext>
            </c:extLst>
          </c:dPt>
          <c:dPt>
            <c:idx val="93"/>
            <c:invertIfNegative val="0"/>
            <c:bubble3D val="0"/>
            <c:spPr>
              <a:solidFill>
                <a:srgbClr val="D09CFC">
                  <a:alpha val="50000"/>
                </a:srgbClr>
              </a:solidFill>
              <a:ln w="19050" cap="flat" cmpd="sng" algn="ctr">
                <a:solidFill>
                  <a:srgbClr val="D09C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B-B90E-9049-A4A9-7D8FC97FEA8A}"/>
              </c:ext>
            </c:extLst>
          </c:dPt>
          <c:dPt>
            <c:idx val="94"/>
            <c:invertIfNegative val="0"/>
            <c:bubble3D val="0"/>
            <c:spPr>
              <a:solidFill>
                <a:srgbClr val="FC86FF">
                  <a:alpha val="50000"/>
                </a:srgbClr>
              </a:solidFill>
              <a:ln w="19050" cap="flat" cmpd="sng" algn="ctr">
                <a:solidFill>
                  <a:srgbClr val="FC86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D-B90E-9049-A4A9-7D8FC97FEA8A}"/>
              </c:ext>
            </c:extLst>
          </c:dPt>
          <c:dPt>
            <c:idx val="95"/>
            <c:invertIfNegative val="0"/>
            <c:bubble3D val="0"/>
            <c:spPr>
              <a:solidFill>
                <a:srgbClr val="FF7FF0">
                  <a:alpha val="50000"/>
                </a:srgbClr>
              </a:solidFill>
              <a:ln w="19050" cap="flat" cmpd="sng" algn="ctr">
                <a:solidFill>
                  <a:srgbClr val="FF7FF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BF-B90E-9049-A4A9-7D8FC97FEA8A}"/>
              </c:ext>
            </c:extLst>
          </c:dPt>
          <c:dPt>
            <c:idx val="96"/>
            <c:invertIfNegative val="0"/>
            <c:bubble3D val="0"/>
            <c:spPr>
              <a:solidFill>
                <a:srgbClr val="FF7BE5">
                  <a:alpha val="50000"/>
                </a:srgbClr>
              </a:solidFill>
              <a:ln w="19050" cap="flat" cmpd="sng" algn="ctr">
                <a:solidFill>
                  <a:srgbClr val="FF7BE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1-B90E-9049-A4A9-7D8FC97FEA8A}"/>
              </c:ext>
            </c:extLst>
          </c:dPt>
          <c:dPt>
            <c:idx val="97"/>
            <c:invertIfNegative val="0"/>
            <c:bubble3D val="0"/>
            <c:spPr>
              <a:solidFill>
                <a:srgbClr val="FF80F4">
                  <a:alpha val="50000"/>
                </a:srgbClr>
              </a:solidFill>
              <a:ln w="19050" cap="flat" cmpd="sng" algn="ctr">
                <a:solidFill>
                  <a:srgbClr val="FF80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3-B90E-9049-A4A9-7D8FC97FEA8A}"/>
              </c:ext>
            </c:extLst>
          </c:dPt>
          <c:dPt>
            <c:idx val="98"/>
            <c:invertIfNegative val="0"/>
            <c:bubble3D val="0"/>
            <c:spPr>
              <a:solidFill>
                <a:srgbClr val="8BBCF7">
                  <a:alpha val="50000"/>
                </a:srgbClr>
              </a:solidFill>
              <a:ln w="19050" cap="flat" cmpd="sng" algn="ctr">
                <a:solidFill>
                  <a:srgbClr val="8BBCF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5-B90E-9049-A4A9-7D8FC97FEA8A}"/>
              </c:ext>
            </c:extLst>
          </c:dPt>
          <c:dPt>
            <c:idx val="99"/>
            <c:invertIfNegative val="0"/>
            <c:bubble3D val="0"/>
            <c:spPr>
              <a:solidFill>
                <a:srgbClr val="D09CFC">
                  <a:alpha val="50000"/>
                </a:srgbClr>
              </a:solidFill>
              <a:ln w="19050" cap="flat" cmpd="sng" algn="ctr">
                <a:solidFill>
                  <a:srgbClr val="D09C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7-B90E-9049-A4A9-7D8FC97FEA8A}"/>
              </c:ext>
            </c:extLst>
          </c:dPt>
          <c:dPt>
            <c:idx val="100"/>
            <c:invertIfNegative val="0"/>
            <c:bubble3D val="0"/>
            <c:spPr>
              <a:solidFill>
                <a:srgbClr val="FF71CE">
                  <a:alpha val="50000"/>
                </a:srgbClr>
              </a:solidFill>
              <a:ln w="19050" cap="flat" cmpd="sng" algn="ctr">
                <a:solidFill>
                  <a:srgbClr val="FF71C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9-B90E-9049-A4A9-7D8FC97FEA8A}"/>
              </c:ext>
            </c:extLst>
          </c:dPt>
          <c:dPt>
            <c:idx val="101"/>
            <c:invertIfNegative val="0"/>
            <c:bubble3D val="0"/>
            <c:spPr>
              <a:solidFill>
                <a:srgbClr val="9EB3F8">
                  <a:alpha val="50000"/>
                </a:srgbClr>
              </a:solidFill>
              <a:ln w="19050" cap="flat" cmpd="sng" algn="ctr">
                <a:solidFill>
                  <a:srgbClr val="9EB3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B-B90E-9049-A4A9-7D8FC97FEA8A}"/>
              </c:ext>
            </c:extLst>
          </c:dPt>
          <c:dPt>
            <c:idx val="102"/>
            <c:invertIfNegative val="0"/>
            <c:bubble3D val="0"/>
            <c:spPr>
              <a:solidFill>
                <a:srgbClr val="FF71CC">
                  <a:alpha val="50000"/>
                </a:srgbClr>
              </a:solidFill>
              <a:ln w="19050" cap="flat" cmpd="sng" algn="ctr">
                <a:solidFill>
                  <a:srgbClr val="FF71C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D-B90E-9049-A4A9-7D8FC97FEA8A}"/>
              </c:ext>
            </c:extLst>
          </c:dPt>
          <c:dPt>
            <c:idx val="103"/>
            <c:invertIfNegative val="0"/>
            <c:bubble3D val="0"/>
            <c:spPr>
              <a:solidFill>
                <a:srgbClr val="CA9FFB">
                  <a:alpha val="50000"/>
                </a:srgbClr>
              </a:solidFill>
              <a:ln w="19050" cap="flat" cmpd="sng" algn="ctr">
                <a:solidFill>
                  <a:srgbClr val="CA9FF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CF-B90E-9049-A4A9-7D8FC97FEA8A}"/>
              </c:ext>
            </c:extLst>
          </c:dPt>
          <c:dPt>
            <c:idx val="104"/>
            <c:invertIfNegative val="0"/>
            <c:bubble3D val="0"/>
            <c:spPr>
              <a:solidFill>
                <a:srgbClr val="DB96FC">
                  <a:alpha val="50000"/>
                </a:srgbClr>
              </a:solidFill>
              <a:ln w="19050" cap="flat" cmpd="sng" algn="ctr">
                <a:solidFill>
                  <a:srgbClr val="DB96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1-B90E-9049-A4A9-7D8FC97FEA8A}"/>
              </c:ext>
            </c:extLst>
          </c:dPt>
          <c:dPt>
            <c:idx val="105"/>
            <c:invertIfNegative val="0"/>
            <c:bubble3D val="0"/>
            <c:spPr>
              <a:solidFill>
                <a:srgbClr val="FF73D3">
                  <a:alpha val="50000"/>
                </a:srgbClr>
              </a:solidFill>
              <a:ln w="19050" cap="flat" cmpd="sng" algn="ctr">
                <a:solidFill>
                  <a:srgbClr val="FF73D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3-B90E-9049-A4A9-7D8FC97FEA8A}"/>
              </c:ext>
            </c:extLst>
          </c:dPt>
          <c:dPt>
            <c:idx val="106"/>
            <c:invertIfNegative val="0"/>
            <c:bubble3D val="0"/>
            <c:spPr>
              <a:solidFill>
                <a:srgbClr val="BEA4FA">
                  <a:alpha val="50000"/>
                </a:srgbClr>
              </a:solidFill>
              <a:ln w="19050" cap="flat" cmpd="sng" algn="ctr">
                <a:solidFill>
                  <a:srgbClr val="BEA4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5-B90E-9049-A4A9-7D8FC97FEA8A}"/>
              </c:ext>
            </c:extLst>
          </c:dPt>
          <c:dPt>
            <c:idx val="107"/>
            <c:invertIfNegative val="0"/>
            <c:bubble3D val="0"/>
            <c:spPr>
              <a:solidFill>
                <a:srgbClr val="CF9CFC">
                  <a:alpha val="50000"/>
                </a:srgbClr>
              </a:solidFill>
              <a:ln w="19050" cap="flat" cmpd="sng" algn="ctr">
                <a:solidFill>
                  <a:srgbClr val="CF9C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7-B90E-9049-A4A9-7D8FC97FEA8A}"/>
              </c:ext>
            </c:extLst>
          </c:dPt>
          <c:dPt>
            <c:idx val="108"/>
            <c:invertIfNegative val="0"/>
            <c:bubble3D val="0"/>
            <c:spPr>
              <a:solidFill>
                <a:srgbClr val="FF568B">
                  <a:alpha val="50000"/>
                </a:srgbClr>
              </a:solidFill>
              <a:ln w="19050" cap="flat" cmpd="sng" algn="ctr">
                <a:solidFill>
                  <a:srgbClr val="FF568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9-B90E-9049-A4A9-7D8FC97FEA8A}"/>
              </c:ext>
            </c:extLst>
          </c:dPt>
          <c:dPt>
            <c:idx val="109"/>
            <c:invertIfNegative val="0"/>
            <c:bubble3D val="0"/>
            <c:spPr>
              <a:solidFill>
                <a:srgbClr val="D898FC">
                  <a:alpha val="50000"/>
                </a:srgbClr>
              </a:solidFill>
              <a:ln w="19050" cap="flat" cmpd="sng" algn="ctr">
                <a:solidFill>
                  <a:srgbClr val="D898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B-B90E-9049-A4A9-7D8FC97FEA8A}"/>
              </c:ext>
            </c:extLst>
          </c:dPt>
          <c:dPt>
            <c:idx val="110"/>
            <c:invertIfNegative val="0"/>
            <c:bubble3D val="0"/>
            <c:spPr>
              <a:solidFill>
                <a:srgbClr val="FF79E2">
                  <a:alpha val="50000"/>
                </a:srgbClr>
              </a:solidFill>
              <a:ln w="19050" cap="flat" cmpd="sng" algn="ctr">
                <a:solidFill>
                  <a:srgbClr val="FF79E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D-B90E-9049-A4A9-7D8FC97FEA8A}"/>
              </c:ext>
            </c:extLst>
          </c:dPt>
          <c:dPt>
            <c:idx val="111"/>
            <c:invertIfNegative val="0"/>
            <c:bubble3D val="0"/>
            <c:spPr>
              <a:solidFill>
                <a:srgbClr val="FF77DC">
                  <a:alpha val="50000"/>
                </a:srgbClr>
              </a:solidFill>
              <a:ln w="19050" cap="flat" cmpd="sng" algn="ctr">
                <a:solidFill>
                  <a:srgbClr val="FF77D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DF-B90E-9049-A4A9-7D8FC97FEA8A}"/>
              </c:ext>
            </c:extLst>
          </c:dPt>
          <c:dPt>
            <c:idx val="112"/>
            <c:invertIfNegative val="0"/>
            <c:bubble3D val="0"/>
            <c:spPr>
              <a:solidFill>
                <a:srgbClr val="E691FD">
                  <a:alpha val="50000"/>
                </a:srgbClr>
              </a:solidFill>
              <a:ln w="19050" cap="flat" cmpd="sng" algn="ctr">
                <a:solidFill>
                  <a:srgbClr val="E691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1-B90E-9049-A4A9-7D8FC97FEA8A}"/>
              </c:ext>
            </c:extLst>
          </c:dPt>
          <c:dPt>
            <c:idx val="113"/>
            <c:invertIfNegative val="0"/>
            <c:bubble3D val="0"/>
            <c:spPr>
              <a:solidFill>
                <a:srgbClr val="FF7FF1">
                  <a:alpha val="50000"/>
                </a:srgbClr>
              </a:solidFill>
              <a:ln w="19050" cap="flat" cmpd="sng" algn="ctr">
                <a:solidFill>
                  <a:srgbClr val="FF7F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3-B90E-9049-A4A9-7D8FC97FEA8A}"/>
              </c:ext>
            </c:extLst>
          </c:dPt>
          <c:dPt>
            <c:idx val="114"/>
            <c:invertIfNegative val="0"/>
            <c:bubble3D val="0"/>
            <c:spPr>
              <a:solidFill>
                <a:srgbClr val="FF7CE9">
                  <a:alpha val="50000"/>
                </a:srgbClr>
              </a:solidFill>
              <a:ln w="19050" cap="flat" cmpd="sng" algn="ctr">
                <a:solidFill>
                  <a:srgbClr val="FF7CE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5-B90E-9049-A4A9-7D8FC97FEA8A}"/>
              </c:ext>
            </c:extLst>
          </c:dPt>
          <c:dPt>
            <c:idx val="115"/>
            <c:invertIfNegative val="0"/>
            <c:bubble3D val="0"/>
            <c:spPr>
              <a:solidFill>
                <a:srgbClr val="FF6EC5">
                  <a:alpha val="50000"/>
                </a:srgbClr>
              </a:solidFill>
              <a:ln w="19050" cap="flat" cmpd="sng" algn="ctr">
                <a:solidFill>
                  <a:srgbClr val="FF6EC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7-B90E-9049-A4A9-7D8FC97FEA8A}"/>
              </c:ext>
            </c:extLst>
          </c:dPt>
          <c:dPt>
            <c:idx val="116"/>
            <c:invertIfNegative val="0"/>
            <c:bubble3D val="0"/>
            <c:spPr>
              <a:solidFill>
                <a:srgbClr val="A8AFF9">
                  <a:alpha val="50000"/>
                </a:srgbClr>
              </a:solidFill>
              <a:ln w="19050" cap="flat" cmpd="sng" algn="ctr">
                <a:solidFill>
                  <a:srgbClr val="A8AFF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9-B90E-9049-A4A9-7D8FC97FEA8A}"/>
              </c:ext>
            </c:extLst>
          </c:dPt>
          <c:dPt>
            <c:idx val="117"/>
            <c:invertIfNegative val="0"/>
            <c:bubble3D val="0"/>
            <c:spPr>
              <a:solidFill>
                <a:srgbClr val="E094FD">
                  <a:alpha val="50000"/>
                </a:srgbClr>
              </a:solidFill>
              <a:ln w="19050" cap="flat" cmpd="sng" algn="ctr">
                <a:solidFill>
                  <a:srgbClr val="E094F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B-B90E-9049-A4A9-7D8FC97FEA8A}"/>
              </c:ext>
            </c:extLst>
          </c:dPt>
          <c:dPt>
            <c:idx val="118"/>
            <c:invertIfNegative val="0"/>
            <c:bubble3D val="0"/>
            <c:spPr>
              <a:solidFill>
                <a:srgbClr val="B4A9FA">
                  <a:alpha val="50000"/>
                </a:srgbClr>
              </a:solidFill>
              <a:ln w="19050" cap="flat" cmpd="sng" algn="ctr">
                <a:solidFill>
                  <a:srgbClr val="B4A9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D-B90E-9049-A4A9-7D8FC97FEA8A}"/>
              </c:ext>
            </c:extLst>
          </c:dPt>
          <c:dPt>
            <c:idx val="119"/>
            <c:invertIfNegative val="0"/>
            <c:bubble3D val="0"/>
            <c:spPr>
              <a:solidFill>
                <a:srgbClr val="FF7AE3">
                  <a:alpha val="50000"/>
                </a:srgbClr>
              </a:solidFill>
              <a:ln w="19050" cap="flat" cmpd="sng" algn="ctr">
                <a:solidFill>
                  <a:srgbClr val="FF7AE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EF-B90E-9049-A4A9-7D8FC97FEA8A}"/>
              </c:ext>
            </c:extLst>
          </c:dPt>
          <c:dPt>
            <c:idx val="120"/>
            <c:invertIfNegative val="0"/>
            <c:bubble3D val="0"/>
            <c:spPr>
              <a:solidFill>
                <a:srgbClr val="FF6CC1">
                  <a:alpha val="50000"/>
                </a:srgbClr>
              </a:solidFill>
              <a:ln w="19050" cap="flat" cmpd="sng" algn="ctr">
                <a:solidFill>
                  <a:srgbClr val="FF6CC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1-B90E-9049-A4A9-7D8FC97FEA8A}"/>
              </c:ext>
            </c:extLst>
          </c:dPt>
          <c:dPt>
            <c:idx val="121"/>
            <c:invertIfNegative val="0"/>
            <c:bubble3D val="0"/>
            <c:spPr>
              <a:solidFill>
                <a:srgbClr val="FF70CA">
                  <a:alpha val="50000"/>
                </a:srgbClr>
              </a:solidFill>
              <a:ln w="19050" cap="flat" cmpd="sng" algn="ctr">
                <a:solidFill>
                  <a:srgbClr val="FF70C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3-B90E-9049-A4A9-7D8FC97FEA8A}"/>
              </c:ext>
            </c:extLst>
          </c:dPt>
          <c:dPt>
            <c:idx val="122"/>
            <c:invertIfNegative val="0"/>
            <c:bubble3D val="0"/>
            <c:spPr>
              <a:solidFill>
                <a:srgbClr val="FF7BE5">
                  <a:alpha val="50000"/>
                </a:srgbClr>
              </a:solidFill>
              <a:ln w="19050" cap="flat" cmpd="sng" algn="ctr">
                <a:solidFill>
                  <a:srgbClr val="FF7BE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5-B90E-9049-A4A9-7D8FC97FEA8A}"/>
              </c:ext>
            </c:extLst>
          </c:dPt>
          <c:dPt>
            <c:idx val="123"/>
            <c:invertIfNegative val="0"/>
            <c:bubble3D val="0"/>
            <c:spPr>
              <a:solidFill>
                <a:srgbClr val="FF84FC">
                  <a:alpha val="50000"/>
                </a:srgbClr>
              </a:solidFill>
              <a:ln w="19050" cap="flat" cmpd="sng" algn="ctr">
                <a:solidFill>
                  <a:srgbClr val="FF84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7-B90E-9049-A4A9-7D8FC97FEA8A}"/>
              </c:ext>
            </c:extLst>
          </c:dPt>
          <c:dPt>
            <c:idx val="124"/>
            <c:invertIfNegative val="0"/>
            <c:bubble3D val="0"/>
            <c:spPr>
              <a:solidFill>
                <a:srgbClr val="FF7EED">
                  <a:alpha val="50000"/>
                </a:srgbClr>
              </a:solidFill>
              <a:ln w="19050" cap="flat" cmpd="sng" algn="ctr">
                <a:solidFill>
                  <a:srgbClr val="FF7E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9-B90E-9049-A4A9-7D8FC97FEA8A}"/>
              </c:ext>
            </c:extLst>
          </c:dPt>
          <c:dPt>
            <c:idx val="125"/>
            <c:invertIfNegative val="0"/>
            <c:bubble3D val="0"/>
            <c:spPr>
              <a:solidFill>
                <a:srgbClr val="FF75D7">
                  <a:alpha val="50000"/>
                </a:srgbClr>
              </a:solidFill>
              <a:ln w="19050" cap="flat" cmpd="sng" algn="ctr">
                <a:solidFill>
                  <a:srgbClr val="FF75D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B-B90E-9049-A4A9-7D8FC97FEA8A}"/>
              </c:ext>
            </c:extLst>
          </c:dPt>
          <c:dPt>
            <c:idx val="126"/>
            <c:invertIfNegative val="0"/>
            <c:bubble3D val="0"/>
            <c:spPr>
              <a:solidFill>
                <a:srgbClr val="FF73D3">
                  <a:alpha val="50000"/>
                </a:srgbClr>
              </a:solidFill>
              <a:ln w="19050" cap="flat" cmpd="sng" algn="ctr">
                <a:solidFill>
                  <a:srgbClr val="FF73D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D-B90E-9049-A4A9-7D8FC97FEA8A}"/>
              </c:ext>
            </c:extLst>
          </c:dPt>
          <c:dPt>
            <c:idx val="127"/>
            <c:invertIfNegative val="0"/>
            <c:bubble3D val="0"/>
            <c:spPr>
              <a:solidFill>
                <a:srgbClr val="FF79E0">
                  <a:alpha val="50000"/>
                </a:srgbClr>
              </a:solidFill>
              <a:ln w="19050" cap="flat" cmpd="sng" algn="ctr">
                <a:solidFill>
                  <a:srgbClr val="FF79E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FF-B90E-9049-A4A9-7D8FC97FEA8A}"/>
              </c:ext>
            </c:extLst>
          </c:dPt>
          <c:dPt>
            <c:idx val="128"/>
            <c:invertIfNegative val="0"/>
            <c:bubble3D val="0"/>
            <c:spPr>
              <a:solidFill>
                <a:srgbClr val="FF72D1">
                  <a:alpha val="50000"/>
                </a:srgbClr>
              </a:solidFill>
              <a:ln w="19050" cap="flat" cmpd="sng" algn="ctr">
                <a:solidFill>
                  <a:srgbClr val="FF72D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1-B90E-9049-A4A9-7D8FC97FEA8A}"/>
              </c:ext>
            </c:extLst>
          </c:dPt>
          <c:dPt>
            <c:idx val="129"/>
            <c:invertIfNegative val="0"/>
            <c:bubble3D val="0"/>
            <c:spPr>
              <a:solidFill>
                <a:srgbClr val="FF6FC9">
                  <a:alpha val="50000"/>
                </a:srgbClr>
              </a:solidFill>
              <a:ln w="19050" cap="flat" cmpd="sng" algn="ctr">
                <a:solidFill>
                  <a:srgbClr val="FF6FC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3-B90E-9049-A4A9-7D8FC97FEA8A}"/>
              </c:ext>
            </c:extLst>
          </c:dPt>
          <c:dPt>
            <c:idx val="130"/>
            <c:invertIfNegative val="0"/>
            <c:bubble3D val="0"/>
            <c:spPr>
              <a:solidFill>
                <a:srgbClr val="FF77DD">
                  <a:alpha val="50000"/>
                </a:srgbClr>
              </a:solidFill>
              <a:ln w="19050" cap="flat" cmpd="sng" algn="ctr">
                <a:solidFill>
                  <a:srgbClr val="FF77D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5-B90E-9049-A4A9-7D8FC97FEA8A}"/>
              </c:ext>
            </c:extLst>
          </c:dPt>
          <c:dPt>
            <c:idx val="131"/>
            <c:invertIfNegative val="0"/>
            <c:bubble3D val="0"/>
            <c:spPr>
              <a:solidFill>
                <a:srgbClr val="FF6CC0">
                  <a:alpha val="50000"/>
                </a:srgbClr>
              </a:solidFill>
              <a:ln w="19050" cap="flat" cmpd="sng" algn="ctr">
                <a:solidFill>
                  <a:srgbClr val="FF6CC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7-B90E-9049-A4A9-7D8FC97FEA8A}"/>
              </c:ext>
            </c:extLst>
          </c:dPt>
          <c:dPt>
            <c:idx val="132"/>
            <c:invertIfNegative val="0"/>
            <c:bubble3D val="0"/>
            <c:spPr>
              <a:solidFill>
                <a:srgbClr val="FF507B">
                  <a:alpha val="50000"/>
                </a:srgbClr>
              </a:solidFill>
              <a:ln w="19050" cap="flat" cmpd="sng" algn="ctr">
                <a:solidFill>
                  <a:srgbClr val="FF5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9-B90E-9049-A4A9-7D8FC97FEA8A}"/>
              </c:ext>
            </c:extLst>
          </c:dPt>
          <c:dPt>
            <c:idx val="133"/>
            <c:invertIfNegative val="0"/>
            <c:bubble3D val="0"/>
            <c:spPr>
              <a:solidFill>
                <a:srgbClr val="FF85FF">
                  <a:alpha val="50000"/>
                </a:srgbClr>
              </a:solidFill>
              <a:ln w="19050" cap="flat" cmpd="sng" algn="ctr">
                <a:solidFill>
                  <a:srgbClr val="FF85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B-B90E-9049-A4A9-7D8FC97FEA8A}"/>
              </c:ext>
            </c:extLst>
          </c:dPt>
          <c:dPt>
            <c:idx val="134"/>
            <c:invertIfNegative val="0"/>
            <c:bubble3D val="0"/>
            <c:spPr>
              <a:solidFill>
                <a:srgbClr val="FF7FF1">
                  <a:alpha val="50000"/>
                </a:srgbClr>
              </a:solidFill>
              <a:ln w="19050" cap="flat" cmpd="sng" algn="ctr">
                <a:solidFill>
                  <a:srgbClr val="FF7FF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D-B90E-9049-A4A9-7D8FC97FEA8A}"/>
              </c:ext>
            </c:extLst>
          </c:dPt>
          <c:dPt>
            <c:idx val="135"/>
            <c:invertIfNegative val="0"/>
            <c:bubble3D val="0"/>
            <c:spPr>
              <a:solidFill>
                <a:srgbClr val="D49AFC">
                  <a:alpha val="50000"/>
                </a:srgbClr>
              </a:solidFill>
              <a:ln w="19050" cap="flat" cmpd="sng" algn="ctr">
                <a:solidFill>
                  <a:srgbClr val="D49A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0F-B90E-9049-A4A9-7D8FC97FEA8A}"/>
              </c:ext>
            </c:extLst>
          </c:dPt>
          <c:dPt>
            <c:idx val="136"/>
            <c:invertIfNegative val="0"/>
            <c:bubble3D val="0"/>
            <c:spPr>
              <a:solidFill>
                <a:srgbClr val="FF69B8">
                  <a:alpha val="50000"/>
                </a:srgbClr>
              </a:solidFill>
              <a:ln w="19050" cap="flat" cmpd="sng" algn="ctr">
                <a:solidFill>
                  <a:srgbClr val="FF69B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1-B90E-9049-A4A9-7D8FC97FEA8A}"/>
              </c:ext>
            </c:extLst>
          </c:dPt>
          <c:dPt>
            <c:idx val="137"/>
            <c:invertIfNegative val="0"/>
            <c:bubble3D val="0"/>
            <c:spPr>
              <a:solidFill>
                <a:srgbClr val="D29BFC">
                  <a:alpha val="50000"/>
                </a:srgbClr>
              </a:solidFill>
              <a:ln w="19050" cap="flat" cmpd="sng" algn="ctr">
                <a:solidFill>
                  <a:srgbClr val="D29B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3-B90E-9049-A4A9-7D8FC97FEA8A}"/>
              </c:ext>
            </c:extLst>
          </c:dPt>
          <c:dPt>
            <c:idx val="138"/>
            <c:invertIfNegative val="0"/>
            <c:bubble3D val="0"/>
            <c:spPr>
              <a:solidFill>
                <a:srgbClr val="FF72D1">
                  <a:alpha val="50000"/>
                </a:srgbClr>
              </a:solidFill>
              <a:ln w="19050" cap="flat" cmpd="sng" algn="ctr">
                <a:solidFill>
                  <a:srgbClr val="FF72D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5-B90E-9049-A4A9-7D8FC97FEA8A}"/>
              </c:ext>
            </c:extLst>
          </c:dPt>
          <c:dPt>
            <c:idx val="139"/>
            <c:invertIfNegative val="0"/>
            <c:bubble3D val="0"/>
            <c:spPr>
              <a:solidFill>
                <a:srgbClr val="F988FF">
                  <a:alpha val="50000"/>
                </a:srgbClr>
              </a:solidFill>
              <a:ln w="19050" cap="flat" cmpd="sng" algn="ctr">
                <a:solidFill>
                  <a:srgbClr val="F988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7-B90E-9049-A4A9-7D8FC97FEA8A}"/>
              </c:ext>
            </c:extLst>
          </c:dPt>
          <c:dPt>
            <c:idx val="140"/>
            <c:invertIfNegative val="0"/>
            <c:bubble3D val="0"/>
            <c:spPr>
              <a:solidFill>
                <a:srgbClr val="FF80F4">
                  <a:alpha val="50000"/>
                </a:srgbClr>
              </a:solidFill>
              <a:ln w="19050" cap="flat" cmpd="sng" algn="ctr">
                <a:solidFill>
                  <a:srgbClr val="FF80F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9-B90E-9049-A4A9-7D8FC97FEA8A}"/>
              </c:ext>
            </c:extLst>
          </c:dPt>
          <c:dPt>
            <c:idx val="141"/>
            <c:invertIfNegative val="0"/>
            <c:bubble3D val="0"/>
            <c:spPr>
              <a:solidFill>
                <a:srgbClr val="B6A8FA">
                  <a:alpha val="50000"/>
                </a:srgbClr>
              </a:solidFill>
              <a:ln w="19050" cap="flat" cmpd="sng" algn="ctr">
                <a:solidFill>
                  <a:srgbClr val="B6A8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B-B90E-9049-A4A9-7D8FC97FEA8A}"/>
              </c:ext>
            </c:extLst>
          </c:dPt>
          <c:dPt>
            <c:idx val="142"/>
            <c:invertIfNegative val="0"/>
            <c:bubble3D val="0"/>
            <c:spPr>
              <a:solidFill>
                <a:srgbClr val="FF5280">
                  <a:alpha val="50000"/>
                </a:srgbClr>
              </a:solidFill>
              <a:ln w="19050" cap="flat" cmpd="sng" algn="ctr">
                <a:solidFill>
                  <a:srgbClr val="FF528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D-B90E-9049-A4A9-7D8FC97FEA8A}"/>
              </c:ext>
            </c:extLst>
          </c:dPt>
          <c:dPt>
            <c:idx val="143"/>
            <c:invertIfNegative val="0"/>
            <c:bubble3D val="0"/>
            <c:spPr>
              <a:solidFill>
                <a:srgbClr val="FF7CE9">
                  <a:alpha val="50000"/>
                </a:srgbClr>
              </a:solidFill>
              <a:ln w="19050" cap="flat" cmpd="sng" algn="ctr">
                <a:solidFill>
                  <a:srgbClr val="FF7CE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1F-B90E-9049-A4A9-7D8FC97FEA8A}"/>
              </c:ext>
            </c:extLst>
          </c:dPt>
          <c:dPt>
            <c:idx val="144"/>
            <c:invertIfNegative val="0"/>
            <c:bubble3D val="0"/>
            <c:spPr>
              <a:solidFill>
                <a:srgbClr val="FF63AA">
                  <a:alpha val="50000"/>
                </a:srgbClr>
              </a:solidFill>
              <a:ln w="19050" cap="flat" cmpd="sng" algn="ctr">
                <a:solidFill>
                  <a:srgbClr val="FF63A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1-B90E-9049-A4A9-7D8FC97FEA8A}"/>
              </c:ext>
            </c:extLst>
          </c:dPt>
          <c:dPt>
            <c:idx val="145"/>
            <c:invertIfNegative val="0"/>
            <c:bubble3D val="0"/>
            <c:spPr>
              <a:solidFill>
                <a:srgbClr val="FF5B97">
                  <a:alpha val="50000"/>
                </a:srgbClr>
              </a:solidFill>
              <a:ln w="19050" cap="flat" cmpd="sng" algn="ctr">
                <a:solidFill>
                  <a:srgbClr val="FF5B9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3-B90E-9049-A4A9-7D8FC97FEA8A}"/>
              </c:ext>
            </c:extLst>
          </c:dPt>
          <c:dPt>
            <c:idx val="146"/>
            <c:invertIfNegative val="0"/>
            <c:bubble3D val="0"/>
            <c:spPr>
              <a:solidFill>
                <a:srgbClr val="FF71CD">
                  <a:alpha val="50000"/>
                </a:srgbClr>
              </a:solidFill>
              <a:ln w="19050" cap="flat" cmpd="sng" algn="ctr">
                <a:solidFill>
                  <a:srgbClr val="FF71C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5-B90E-9049-A4A9-7D8FC97FEA8A}"/>
              </c:ext>
            </c:extLst>
          </c:dPt>
          <c:dPt>
            <c:idx val="147"/>
            <c:invertIfNegative val="0"/>
            <c:bubble3D val="0"/>
            <c:spPr>
              <a:solidFill>
                <a:srgbClr val="B9A7FA">
                  <a:alpha val="50000"/>
                </a:srgbClr>
              </a:solidFill>
              <a:ln w="19050" cap="flat" cmpd="sng" algn="ctr">
                <a:solidFill>
                  <a:srgbClr val="B9A7F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7-B90E-9049-A4A9-7D8FC97FEA8A}"/>
              </c:ext>
            </c:extLst>
          </c:dPt>
          <c:dPt>
            <c:idx val="148"/>
            <c:invertIfNegative val="0"/>
            <c:bubble3D val="0"/>
            <c:spPr>
              <a:solidFill>
                <a:srgbClr val="FF588F">
                  <a:alpha val="50000"/>
                </a:srgbClr>
              </a:solidFill>
              <a:ln w="19050" cap="flat" cmpd="sng" algn="ctr">
                <a:solidFill>
                  <a:srgbClr val="FF588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9-B90E-9049-A4A9-7D8FC97FEA8A}"/>
              </c:ext>
            </c:extLst>
          </c:dPt>
          <c:dPt>
            <c:idx val="149"/>
            <c:invertIfNegative val="0"/>
            <c:bubble3D val="0"/>
            <c:spPr>
              <a:solidFill>
                <a:srgbClr val="FF75D8">
                  <a:alpha val="50000"/>
                </a:srgbClr>
              </a:solidFill>
              <a:ln w="19050" cap="flat" cmpd="sng" algn="ctr">
                <a:solidFill>
                  <a:srgbClr val="FF75D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B-B90E-9049-A4A9-7D8FC97FEA8A}"/>
              </c:ext>
            </c:extLst>
          </c:dPt>
          <c:dPt>
            <c:idx val="150"/>
            <c:invertIfNegative val="0"/>
            <c:bubble3D val="0"/>
            <c:spPr>
              <a:solidFill>
                <a:srgbClr val="FF6CC1">
                  <a:alpha val="50000"/>
                </a:srgbClr>
              </a:solidFill>
              <a:ln w="19050" cap="flat" cmpd="sng" algn="ctr">
                <a:solidFill>
                  <a:srgbClr val="FF6CC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D-B90E-9049-A4A9-7D8FC97FEA8A}"/>
              </c:ext>
            </c:extLst>
          </c:dPt>
          <c:dPt>
            <c:idx val="151"/>
            <c:invertIfNegative val="0"/>
            <c:bubble3D val="0"/>
            <c:spPr>
              <a:solidFill>
                <a:srgbClr val="FF84FC">
                  <a:alpha val="50000"/>
                </a:srgbClr>
              </a:solidFill>
              <a:ln w="19050" cap="flat" cmpd="sng" algn="ctr">
                <a:solidFill>
                  <a:srgbClr val="FF84F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2F-B90E-9049-A4A9-7D8FC97FEA8A}"/>
              </c:ext>
            </c:extLst>
          </c:dPt>
          <c:dPt>
            <c:idx val="152"/>
            <c:invertIfNegative val="0"/>
            <c:bubble3D val="0"/>
            <c:spPr>
              <a:solidFill>
                <a:srgbClr val="FF373C">
                  <a:alpha val="50000"/>
                </a:srgbClr>
              </a:solidFill>
              <a:ln w="19050" cap="flat" cmpd="sng" algn="ctr">
                <a:solidFill>
                  <a:srgbClr val="FF373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1-B90E-9049-A4A9-7D8FC97FEA8A}"/>
              </c:ext>
            </c:extLst>
          </c:dPt>
          <c:dPt>
            <c:idx val="153"/>
            <c:invertIfNegative val="0"/>
            <c:bubble3D val="0"/>
            <c:spPr>
              <a:solidFill>
                <a:srgbClr val="FF62A8">
                  <a:alpha val="50000"/>
                </a:srgbClr>
              </a:solidFill>
              <a:ln w="19050" cap="flat" cmpd="sng" algn="ctr">
                <a:solidFill>
                  <a:srgbClr val="FF62A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3-B90E-9049-A4A9-7D8FC97FEA8A}"/>
              </c:ext>
            </c:extLst>
          </c:dPt>
          <c:dPt>
            <c:idx val="154"/>
            <c:invertIfNegative val="0"/>
            <c:bubble3D val="0"/>
            <c:spPr>
              <a:solidFill>
                <a:srgbClr val="FF4B6E">
                  <a:alpha val="50000"/>
                </a:srgbClr>
              </a:solidFill>
              <a:ln w="19050" cap="flat" cmpd="sng" algn="ctr">
                <a:solidFill>
                  <a:srgbClr val="FF4B6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5-B90E-9049-A4A9-7D8FC97FEA8A}"/>
              </c:ext>
            </c:extLst>
          </c:dPt>
          <c:dPt>
            <c:idx val="155"/>
            <c:invertIfNegative val="0"/>
            <c:bubble3D val="0"/>
            <c:spPr>
              <a:solidFill>
                <a:srgbClr val="FF4F79">
                  <a:alpha val="50000"/>
                </a:srgbClr>
              </a:solidFill>
              <a:ln w="19050" cap="flat" cmpd="sng" algn="ctr">
                <a:solidFill>
                  <a:srgbClr val="FF4F7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7-B90E-9049-A4A9-7D8FC97FEA8A}"/>
              </c:ext>
            </c:extLst>
          </c:dPt>
          <c:dPt>
            <c:idx val="156"/>
            <c:invertIfNegative val="0"/>
            <c:bubble3D val="0"/>
            <c:spPr>
              <a:solidFill>
                <a:srgbClr val="FF74D5">
                  <a:alpha val="50000"/>
                </a:srgbClr>
              </a:solidFill>
              <a:ln w="19050" cap="flat" cmpd="sng" algn="ctr">
                <a:solidFill>
                  <a:srgbClr val="FF74D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9-B90E-9049-A4A9-7D8FC97FEA8A}"/>
              </c:ext>
            </c:extLst>
          </c:dPt>
          <c:dPt>
            <c:idx val="157"/>
            <c:invertIfNegative val="0"/>
            <c:bubble3D val="0"/>
            <c:spPr>
              <a:solidFill>
                <a:srgbClr val="FF4E76">
                  <a:alpha val="50000"/>
                </a:srgbClr>
              </a:solidFill>
              <a:ln w="19050" cap="flat" cmpd="sng" algn="ctr">
                <a:solidFill>
                  <a:srgbClr val="FF4E7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B-B90E-9049-A4A9-7D8FC97FEA8A}"/>
              </c:ext>
            </c:extLst>
          </c:dPt>
          <c:dPt>
            <c:idx val="158"/>
            <c:invertIfNegative val="0"/>
            <c:bubble3D val="0"/>
            <c:spPr>
              <a:solidFill>
                <a:srgbClr val="FF4E75">
                  <a:alpha val="50000"/>
                </a:srgbClr>
              </a:solidFill>
              <a:ln w="19050" cap="flat" cmpd="sng" algn="ctr">
                <a:solidFill>
                  <a:srgbClr val="FF4E7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D-B90E-9049-A4A9-7D8FC97FEA8A}"/>
              </c:ext>
            </c:extLst>
          </c:dPt>
          <c:dPt>
            <c:idx val="159"/>
            <c:invertIfNegative val="0"/>
            <c:bubble3D val="0"/>
            <c:spPr>
              <a:solidFill>
                <a:srgbClr val="FF65B0">
                  <a:alpha val="50000"/>
                </a:srgbClr>
              </a:solidFill>
              <a:ln w="19050" cap="flat" cmpd="sng" algn="ctr">
                <a:solidFill>
                  <a:srgbClr val="FF65B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3F-B90E-9049-A4A9-7D8FC97FEA8A}"/>
              </c:ext>
            </c:extLst>
          </c:dPt>
          <c:dPt>
            <c:idx val="160"/>
            <c:invertIfNegative val="0"/>
            <c:bubble3D val="0"/>
            <c:spPr>
              <a:solidFill>
                <a:srgbClr val="FF6BBE">
                  <a:alpha val="50000"/>
                </a:srgbClr>
              </a:solidFill>
              <a:ln w="19050" cap="flat" cmpd="sng" algn="ctr">
                <a:solidFill>
                  <a:srgbClr val="FF6BB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1-B90E-9049-A4A9-7D8FC97FEA8A}"/>
              </c:ext>
            </c:extLst>
          </c:dPt>
          <c:dPt>
            <c:idx val="161"/>
            <c:invertIfNegative val="0"/>
            <c:bubble3D val="0"/>
            <c:spPr>
              <a:solidFill>
                <a:srgbClr val="FF75D8">
                  <a:alpha val="50000"/>
                </a:srgbClr>
              </a:solidFill>
              <a:ln w="19050" cap="flat" cmpd="sng" algn="ctr">
                <a:solidFill>
                  <a:srgbClr val="FF75D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3-B90E-9049-A4A9-7D8FC97FEA8A}"/>
              </c:ext>
            </c:extLst>
          </c:dPt>
          <c:dPt>
            <c:idx val="162"/>
            <c:invertIfNegative val="0"/>
            <c:bubble3D val="0"/>
            <c:spPr>
              <a:solidFill>
                <a:srgbClr val="FF71CE">
                  <a:alpha val="50000"/>
                </a:srgbClr>
              </a:solidFill>
              <a:ln w="19050" cap="flat" cmpd="sng" algn="ctr">
                <a:solidFill>
                  <a:srgbClr val="FF71C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5-B90E-9049-A4A9-7D8FC97FEA8A}"/>
              </c:ext>
            </c:extLst>
          </c:dPt>
          <c:dPt>
            <c:idx val="163"/>
            <c:invertIfNegative val="0"/>
            <c:bubble3D val="0"/>
            <c:spPr>
              <a:solidFill>
                <a:srgbClr val="FF3D4C">
                  <a:alpha val="50000"/>
                </a:srgbClr>
              </a:solidFill>
              <a:ln w="19050" cap="flat" cmpd="sng" algn="ctr">
                <a:solidFill>
                  <a:srgbClr val="FF3D4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7-B90E-9049-A4A9-7D8FC97FEA8A}"/>
              </c:ext>
            </c:extLst>
          </c:dPt>
          <c:dPt>
            <c:idx val="164"/>
            <c:invertIfNegative val="0"/>
            <c:bubble3D val="0"/>
            <c:spPr>
              <a:solidFill>
                <a:srgbClr val="FF70CA">
                  <a:alpha val="50000"/>
                </a:srgbClr>
              </a:solidFill>
              <a:ln w="19050" cap="flat" cmpd="sng" algn="ctr">
                <a:solidFill>
                  <a:srgbClr val="FF70C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9-B90E-9049-A4A9-7D8FC97FEA8A}"/>
              </c:ext>
            </c:extLst>
          </c:dPt>
          <c:dPt>
            <c:idx val="165"/>
            <c:invertIfNegative val="0"/>
            <c:bubble3D val="0"/>
            <c:spPr>
              <a:solidFill>
                <a:srgbClr val="FF81F5">
                  <a:alpha val="50000"/>
                </a:srgbClr>
              </a:solidFill>
              <a:ln w="19050" cap="flat" cmpd="sng" algn="ctr">
                <a:solidFill>
                  <a:srgbClr val="FF81F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B-B90E-9049-A4A9-7D8FC97FEA8A}"/>
              </c:ext>
            </c:extLst>
          </c:dPt>
          <c:dPt>
            <c:idx val="166"/>
            <c:invertIfNegative val="0"/>
            <c:bubble3D val="0"/>
            <c:spPr>
              <a:solidFill>
                <a:srgbClr val="FF5FA1">
                  <a:alpha val="50000"/>
                </a:srgbClr>
              </a:solidFill>
              <a:ln w="19050" cap="flat" cmpd="sng" algn="ctr">
                <a:solidFill>
                  <a:srgbClr val="FF5FA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D-B90E-9049-A4A9-7D8FC97FEA8A}"/>
              </c:ext>
            </c:extLst>
          </c:dPt>
          <c:dPt>
            <c:idx val="167"/>
            <c:invertIfNegative val="0"/>
            <c:bubble3D val="0"/>
            <c:spPr>
              <a:solidFill>
                <a:srgbClr val="9FB3F8">
                  <a:alpha val="50000"/>
                </a:srgbClr>
              </a:solidFill>
              <a:ln w="19050" cap="flat" cmpd="sng" algn="ctr">
                <a:solidFill>
                  <a:srgbClr val="9FB3F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4F-B90E-9049-A4A9-7D8FC97FEA8A}"/>
              </c:ext>
            </c:extLst>
          </c:dPt>
          <c:dPt>
            <c:idx val="168"/>
            <c:invertIfNegative val="0"/>
            <c:bubble3D val="0"/>
            <c:spPr>
              <a:solidFill>
                <a:srgbClr val="FF4C71">
                  <a:alpha val="50000"/>
                </a:srgbClr>
              </a:solidFill>
              <a:ln w="19050" cap="flat" cmpd="sng" algn="ctr">
                <a:solidFill>
                  <a:srgbClr val="FF4C7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1-B90E-9049-A4A9-7D8FC97FEA8A}"/>
              </c:ext>
            </c:extLst>
          </c:dPt>
          <c:dPt>
            <c:idx val="169"/>
            <c:invertIfNegative val="0"/>
            <c:bubble3D val="0"/>
            <c:spPr>
              <a:solidFill>
                <a:srgbClr val="FF69B9">
                  <a:alpha val="50000"/>
                </a:srgbClr>
              </a:solidFill>
              <a:ln w="19050" cap="flat" cmpd="sng" algn="ctr">
                <a:solidFill>
                  <a:srgbClr val="FF69B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3-B90E-9049-A4A9-7D8FC97FEA8A}"/>
              </c:ext>
            </c:extLst>
          </c:dPt>
          <c:dPt>
            <c:idx val="170"/>
            <c:invertIfNegative val="0"/>
            <c:bubble3D val="0"/>
            <c:spPr>
              <a:solidFill>
                <a:srgbClr val="FF5486">
                  <a:alpha val="50000"/>
                </a:srgbClr>
              </a:solidFill>
              <a:ln w="19050" cap="flat" cmpd="sng" algn="ctr">
                <a:solidFill>
                  <a:srgbClr val="FF54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5-B90E-9049-A4A9-7D8FC97FEA8A}"/>
              </c:ext>
            </c:extLst>
          </c:dPt>
          <c:dPt>
            <c:idx val="171"/>
            <c:invertIfNegative val="0"/>
            <c:bubble3D val="0"/>
            <c:spPr>
              <a:solidFill>
                <a:srgbClr val="FF4C72">
                  <a:alpha val="50000"/>
                </a:srgbClr>
              </a:solidFill>
              <a:ln w="19050" cap="flat" cmpd="sng" algn="ctr">
                <a:solidFill>
                  <a:srgbClr val="FF4C7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7-B90E-9049-A4A9-7D8FC97FEA8A}"/>
              </c:ext>
            </c:extLst>
          </c:dPt>
          <c:dPt>
            <c:idx val="172"/>
            <c:invertIfNegative val="0"/>
            <c:bubble3D val="0"/>
            <c:spPr>
              <a:solidFill>
                <a:srgbClr val="FF61A5">
                  <a:alpha val="50000"/>
                </a:srgbClr>
              </a:solidFill>
              <a:ln w="19050" cap="flat" cmpd="sng" algn="ctr">
                <a:solidFill>
                  <a:srgbClr val="FF61A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9-B90E-9049-A4A9-7D8FC97FEA8A}"/>
              </c:ext>
            </c:extLst>
          </c:dPt>
          <c:dPt>
            <c:idx val="173"/>
            <c:invertIfNegative val="0"/>
            <c:bubble3D val="0"/>
            <c:spPr>
              <a:solidFill>
                <a:srgbClr val="FF6CC0">
                  <a:alpha val="50000"/>
                </a:srgbClr>
              </a:solidFill>
              <a:ln w="19050" cap="flat" cmpd="sng" algn="ctr">
                <a:solidFill>
                  <a:srgbClr val="FF6CC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B-B90E-9049-A4A9-7D8FC97FEA8A}"/>
              </c:ext>
            </c:extLst>
          </c:dPt>
          <c:dPt>
            <c:idx val="174"/>
            <c:invertIfNegative val="0"/>
            <c:bubble3D val="0"/>
            <c:spPr>
              <a:solidFill>
                <a:srgbClr val="FF6FC7">
                  <a:alpha val="50000"/>
                </a:srgbClr>
              </a:solidFill>
              <a:ln w="19050" cap="flat" cmpd="sng" algn="ctr">
                <a:solidFill>
                  <a:srgbClr val="FF6FC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D-B90E-9049-A4A9-7D8FC97FEA8A}"/>
              </c:ext>
            </c:extLst>
          </c:dPt>
          <c:dPt>
            <c:idx val="175"/>
            <c:invertIfNegative val="0"/>
            <c:bubble3D val="0"/>
            <c:spPr>
              <a:solidFill>
                <a:srgbClr val="FF4B70">
                  <a:alpha val="50000"/>
                </a:srgbClr>
              </a:solidFill>
              <a:ln w="19050" cap="flat" cmpd="sng" algn="ctr">
                <a:solidFill>
                  <a:srgbClr val="FF4B7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5F-B90E-9049-A4A9-7D8FC97FEA8A}"/>
              </c:ext>
            </c:extLst>
          </c:dPt>
          <c:dPt>
            <c:idx val="176"/>
            <c:invertIfNegative val="0"/>
            <c:bubble3D val="0"/>
            <c:spPr>
              <a:solidFill>
                <a:srgbClr val="FF4F78">
                  <a:alpha val="50000"/>
                </a:srgbClr>
              </a:solidFill>
              <a:ln w="19050" cap="flat" cmpd="sng" algn="ctr">
                <a:solidFill>
                  <a:srgbClr val="FF4F7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1-B90E-9049-A4A9-7D8FC97FEA8A}"/>
              </c:ext>
            </c:extLst>
          </c:dPt>
          <c:dPt>
            <c:idx val="177"/>
            <c:invertIfNegative val="0"/>
            <c:bubble3D val="0"/>
            <c:spPr>
              <a:solidFill>
                <a:srgbClr val="FF6BBD">
                  <a:alpha val="50000"/>
                </a:srgbClr>
              </a:solidFill>
              <a:ln w="19050" cap="flat" cmpd="sng" algn="ctr">
                <a:solidFill>
                  <a:srgbClr val="FF6BB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3-B90E-9049-A4A9-7D8FC97FEA8A}"/>
              </c:ext>
            </c:extLst>
          </c:dPt>
          <c:dPt>
            <c:idx val="178"/>
            <c:invertIfNegative val="0"/>
            <c:bubble3D val="0"/>
            <c:spPr>
              <a:solidFill>
                <a:srgbClr val="FF5FA1">
                  <a:alpha val="50000"/>
                </a:srgbClr>
              </a:solidFill>
              <a:ln w="19050" cap="flat" cmpd="sng" algn="ctr">
                <a:solidFill>
                  <a:srgbClr val="FF5FA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5-B90E-9049-A4A9-7D8FC97FEA8A}"/>
              </c:ext>
            </c:extLst>
          </c:dPt>
          <c:dPt>
            <c:idx val="179"/>
            <c:invertIfNegative val="0"/>
            <c:bubble3D val="0"/>
            <c:spPr>
              <a:solidFill>
                <a:srgbClr val="FF63AB">
                  <a:alpha val="50000"/>
                </a:srgbClr>
              </a:solidFill>
              <a:ln w="19050" cap="flat" cmpd="sng" algn="ctr">
                <a:solidFill>
                  <a:srgbClr val="FF63A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7-B90E-9049-A4A9-7D8FC97FEA8A}"/>
              </c:ext>
            </c:extLst>
          </c:dPt>
          <c:dPt>
            <c:idx val="180"/>
            <c:invertIfNegative val="0"/>
            <c:bubble3D val="0"/>
            <c:spPr>
              <a:solidFill>
                <a:srgbClr val="FF6DC4">
                  <a:alpha val="50000"/>
                </a:srgbClr>
              </a:solidFill>
              <a:ln w="19050" cap="flat" cmpd="sng" algn="ctr">
                <a:solidFill>
                  <a:srgbClr val="FF6DC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9-B90E-9049-A4A9-7D8FC97FEA8A}"/>
              </c:ext>
            </c:extLst>
          </c:dPt>
          <c:dPt>
            <c:idx val="181"/>
            <c:invertIfNegative val="0"/>
            <c:bubble3D val="0"/>
            <c:spPr>
              <a:solidFill>
                <a:srgbClr val="FF67B4">
                  <a:alpha val="50000"/>
                </a:srgbClr>
              </a:solidFill>
              <a:ln w="19050" cap="flat" cmpd="sng" algn="ctr">
                <a:solidFill>
                  <a:srgbClr val="FF67B4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B-B90E-9049-A4A9-7D8FC97FEA8A}"/>
              </c:ext>
            </c:extLst>
          </c:dPt>
          <c:dPt>
            <c:idx val="182"/>
            <c:invertIfNegative val="0"/>
            <c:bubble3D val="0"/>
            <c:spPr>
              <a:solidFill>
                <a:srgbClr val="FF3D4C">
                  <a:alpha val="50000"/>
                </a:srgbClr>
              </a:solidFill>
              <a:ln w="19050" cap="flat" cmpd="sng" algn="ctr">
                <a:solidFill>
                  <a:srgbClr val="FF3D4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D-B90E-9049-A4A9-7D8FC97FEA8A}"/>
              </c:ext>
            </c:extLst>
          </c:dPt>
          <c:dPt>
            <c:idx val="183"/>
            <c:invertIfNegative val="0"/>
            <c:bubble3D val="0"/>
            <c:spPr>
              <a:solidFill>
                <a:srgbClr val="FF62A7">
                  <a:alpha val="50000"/>
                </a:srgbClr>
              </a:solidFill>
              <a:ln w="19050" cap="flat" cmpd="sng" algn="ctr">
                <a:solidFill>
                  <a:srgbClr val="FF62A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6F-B90E-9049-A4A9-7D8FC97FEA8A}"/>
              </c:ext>
            </c:extLst>
          </c:dPt>
          <c:dPt>
            <c:idx val="18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1-B90E-9049-A4A9-7D8FC97FEA8A}"/>
              </c:ext>
            </c:extLst>
          </c:dPt>
          <c:dPt>
            <c:idx val="185"/>
            <c:invertIfNegative val="0"/>
            <c:bubble3D val="0"/>
            <c:spPr>
              <a:solidFill>
                <a:srgbClr val="FF5589">
                  <a:alpha val="50000"/>
                </a:srgbClr>
              </a:solidFill>
              <a:ln w="19050" cap="flat" cmpd="sng" algn="ctr">
                <a:solidFill>
                  <a:srgbClr val="FF558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3-B90E-9049-A4A9-7D8FC97FEA8A}"/>
              </c:ext>
            </c:extLst>
          </c:dPt>
          <c:dPt>
            <c:idx val="186"/>
            <c:invertIfNegative val="0"/>
            <c:bubble3D val="0"/>
            <c:spPr>
              <a:solidFill>
                <a:srgbClr val="FF79E2">
                  <a:alpha val="50000"/>
                </a:srgbClr>
              </a:solidFill>
              <a:ln w="19050" cap="flat" cmpd="sng" algn="ctr">
                <a:solidFill>
                  <a:srgbClr val="FF79E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5-B90E-9049-A4A9-7D8FC97FEA8A}"/>
              </c:ext>
            </c:extLst>
          </c:dPt>
          <c:dPt>
            <c:idx val="187"/>
            <c:invertIfNegative val="0"/>
            <c:bubble3D val="0"/>
            <c:spPr>
              <a:solidFill>
                <a:srgbClr val="FF5B95">
                  <a:alpha val="50000"/>
                </a:srgbClr>
              </a:solidFill>
              <a:ln w="19050" cap="flat" cmpd="sng" algn="ctr">
                <a:solidFill>
                  <a:srgbClr val="FF5B9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7-B90E-9049-A4A9-7D8FC97FEA8A}"/>
              </c:ext>
            </c:extLst>
          </c:dPt>
          <c:dPt>
            <c:idx val="188"/>
            <c:invertIfNegative val="0"/>
            <c:bubble3D val="0"/>
            <c:spPr>
              <a:solidFill>
                <a:srgbClr val="FF3A45">
                  <a:alpha val="50000"/>
                </a:srgbClr>
              </a:solidFill>
              <a:ln w="19050" cap="flat" cmpd="sng" algn="ctr">
                <a:solidFill>
                  <a:srgbClr val="FF3A4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9-B90E-9049-A4A9-7D8FC97FEA8A}"/>
              </c:ext>
            </c:extLst>
          </c:dPt>
          <c:dPt>
            <c:idx val="189"/>
            <c:invertIfNegative val="0"/>
            <c:bubble3D val="0"/>
            <c:spPr>
              <a:solidFill>
                <a:srgbClr val="FF5FA0">
                  <a:alpha val="50000"/>
                </a:srgbClr>
              </a:solidFill>
              <a:ln w="19050" cap="flat" cmpd="sng" algn="ctr">
                <a:solidFill>
                  <a:srgbClr val="FF5FA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B-B90E-9049-A4A9-7D8FC97FEA8A}"/>
              </c:ext>
            </c:extLst>
          </c:dPt>
          <c:dPt>
            <c:idx val="190"/>
            <c:invertIfNegative val="0"/>
            <c:bubble3D val="0"/>
            <c:spPr>
              <a:solidFill>
                <a:srgbClr val="FF3B46">
                  <a:alpha val="50000"/>
                </a:srgbClr>
              </a:solidFill>
              <a:ln w="19050" cap="flat" cmpd="sng" algn="ctr">
                <a:solidFill>
                  <a:srgbClr val="FF3B4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D-B90E-9049-A4A9-7D8FC97FEA8A}"/>
              </c:ext>
            </c:extLst>
          </c:dPt>
          <c:dPt>
            <c:idx val="191"/>
            <c:invertIfNegative val="0"/>
            <c:bubble3D val="0"/>
            <c:spPr>
              <a:solidFill>
                <a:srgbClr val="FF5FA0">
                  <a:alpha val="50000"/>
                </a:srgbClr>
              </a:solidFill>
              <a:ln w="19050" cap="flat" cmpd="sng" algn="ctr">
                <a:solidFill>
                  <a:srgbClr val="FF5FA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7F-B90E-9049-A4A9-7D8FC97FEA8A}"/>
              </c:ext>
            </c:extLst>
          </c:dPt>
          <c:dPt>
            <c:idx val="192"/>
            <c:invertIfNegative val="0"/>
            <c:bubble3D val="0"/>
            <c:spPr>
              <a:solidFill>
                <a:srgbClr val="FF3E4D">
                  <a:alpha val="50000"/>
                </a:srgbClr>
              </a:solidFill>
              <a:ln w="19050" cap="flat" cmpd="sng" algn="ctr">
                <a:solidFill>
                  <a:srgbClr val="FF3E4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1-B90E-9049-A4A9-7D8FC97FEA8A}"/>
              </c:ext>
            </c:extLst>
          </c:dPt>
          <c:dPt>
            <c:idx val="19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3-B90E-9049-A4A9-7D8FC97FEA8A}"/>
              </c:ext>
            </c:extLst>
          </c:dPt>
          <c:dPt>
            <c:idx val="19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5-B90E-9049-A4A9-7D8FC97FEA8A}"/>
              </c:ext>
            </c:extLst>
          </c:dPt>
          <c:dPt>
            <c:idx val="19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7-B90E-9049-A4A9-7D8FC97FEA8A}"/>
              </c:ext>
            </c:extLst>
          </c:dPt>
          <c:dPt>
            <c:idx val="19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9-B90E-9049-A4A9-7D8FC97FEA8A}"/>
              </c:ext>
            </c:extLst>
          </c:dPt>
          <c:dPt>
            <c:idx val="19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B-B90E-9049-A4A9-7D8FC97FEA8A}"/>
              </c:ext>
            </c:extLst>
          </c:dPt>
          <c:dPt>
            <c:idx val="19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D-B90E-9049-A4A9-7D8FC97FEA8A}"/>
              </c:ext>
            </c:extLst>
          </c:dPt>
          <c:dPt>
            <c:idx val="19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8F-B90E-9049-A4A9-7D8FC97FEA8A}"/>
              </c:ext>
            </c:extLst>
          </c:dPt>
          <c:dPt>
            <c:idx val="20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1-B90E-9049-A4A9-7D8FC97FEA8A}"/>
              </c:ext>
            </c:extLst>
          </c:dPt>
          <c:dPt>
            <c:idx val="20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3-B90E-9049-A4A9-7D8FC97FEA8A}"/>
              </c:ext>
            </c:extLst>
          </c:dPt>
          <c:dPt>
            <c:idx val="20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5-B90E-9049-A4A9-7D8FC97FEA8A}"/>
              </c:ext>
            </c:extLst>
          </c:dPt>
          <c:dPt>
            <c:idx val="20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7-B90E-9049-A4A9-7D8FC97FEA8A}"/>
              </c:ext>
            </c:extLst>
          </c:dPt>
          <c:dPt>
            <c:idx val="20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9-B90E-9049-A4A9-7D8FC97FEA8A}"/>
              </c:ext>
            </c:extLst>
          </c:dPt>
          <c:dPt>
            <c:idx val="20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B-B90E-9049-A4A9-7D8FC97FEA8A}"/>
              </c:ext>
            </c:extLst>
          </c:dPt>
          <c:dPt>
            <c:idx val="20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D-B90E-9049-A4A9-7D8FC97FEA8A}"/>
              </c:ext>
            </c:extLst>
          </c:dPt>
          <c:dPt>
            <c:idx val="20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9F-B90E-9049-A4A9-7D8FC97FEA8A}"/>
              </c:ext>
            </c:extLst>
          </c:dPt>
          <c:dPt>
            <c:idx val="20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1-B90E-9049-A4A9-7D8FC97FEA8A}"/>
              </c:ext>
            </c:extLst>
          </c:dPt>
          <c:dPt>
            <c:idx val="20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3-B90E-9049-A4A9-7D8FC97FEA8A}"/>
              </c:ext>
            </c:extLst>
          </c:dPt>
          <c:dPt>
            <c:idx val="21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5-B90E-9049-A4A9-7D8FC97FEA8A}"/>
              </c:ext>
            </c:extLst>
          </c:dPt>
          <c:dPt>
            <c:idx val="21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7-B90E-9049-A4A9-7D8FC97FEA8A}"/>
              </c:ext>
            </c:extLst>
          </c:dPt>
          <c:dPt>
            <c:idx val="21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9-B90E-9049-A4A9-7D8FC97FEA8A}"/>
              </c:ext>
            </c:extLst>
          </c:dPt>
          <c:dPt>
            <c:idx val="21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B-B90E-9049-A4A9-7D8FC97FEA8A}"/>
              </c:ext>
            </c:extLst>
          </c:dPt>
          <c:dPt>
            <c:idx val="21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D-B90E-9049-A4A9-7D8FC97FEA8A}"/>
              </c:ext>
            </c:extLst>
          </c:dPt>
          <c:dPt>
            <c:idx val="21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AF-B90E-9049-A4A9-7D8FC97FEA8A}"/>
              </c:ext>
            </c:extLst>
          </c:dPt>
          <c:dPt>
            <c:idx val="21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1-B90E-9049-A4A9-7D8FC97FEA8A}"/>
              </c:ext>
            </c:extLst>
          </c:dPt>
          <c:dPt>
            <c:idx val="21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3-B90E-9049-A4A9-7D8FC97FEA8A}"/>
              </c:ext>
            </c:extLst>
          </c:dPt>
          <c:dPt>
            <c:idx val="21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5-B90E-9049-A4A9-7D8FC97FEA8A}"/>
              </c:ext>
            </c:extLst>
          </c:dPt>
          <c:dPt>
            <c:idx val="21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7-B90E-9049-A4A9-7D8FC97FEA8A}"/>
              </c:ext>
            </c:extLst>
          </c:dPt>
          <c:dPt>
            <c:idx val="22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9-B90E-9049-A4A9-7D8FC97FEA8A}"/>
              </c:ext>
            </c:extLst>
          </c:dPt>
          <c:dPt>
            <c:idx val="22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B-B90E-9049-A4A9-7D8FC97FEA8A}"/>
              </c:ext>
            </c:extLst>
          </c:dPt>
          <c:dPt>
            <c:idx val="22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D-B90E-9049-A4A9-7D8FC97FEA8A}"/>
              </c:ext>
            </c:extLst>
          </c:dPt>
          <c:dPt>
            <c:idx val="22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BF-B90E-9049-A4A9-7D8FC97FEA8A}"/>
              </c:ext>
            </c:extLst>
          </c:dPt>
          <c:dPt>
            <c:idx val="22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1-B90E-9049-A4A9-7D8FC97FEA8A}"/>
              </c:ext>
            </c:extLst>
          </c:dPt>
          <c:dPt>
            <c:idx val="22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3-B90E-9049-A4A9-7D8FC97FEA8A}"/>
              </c:ext>
            </c:extLst>
          </c:dPt>
          <c:dPt>
            <c:idx val="22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5-B90E-9049-A4A9-7D8FC97FEA8A}"/>
              </c:ext>
            </c:extLst>
          </c:dPt>
          <c:dPt>
            <c:idx val="22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7-B90E-9049-A4A9-7D8FC97FEA8A}"/>
              </c:ext>
            </c:extLst>
          </c:dPt>
          <c:dPt>
            <c:idx val="228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9-B90E-9049-A4A9-7D8FC97FEA8A}"/>
              </c:ext>
            </c:extLst>
          </c:dPt>
          <c:dPt>
            <c:idx val="229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B-B90E-9049-A4A9-7D8FC97FEA8A}"/>
              </c:ext>
            </c:extLst>
          </c:dPt>
          <c:dPt>
            <c:idx val="230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D-B90E-9049-A4A9-7D8FC97FEA8A}"/>
              </c:ext>
            </c:extLst>
          </c:dPt>
          <c:dPt>
            <c:idx val="231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CF-B90E-9049-A4A9-7D8FC97FEA8A}"/>
              </c:ext>
            </c:extLst>
          </c:dPt>
          <c:dPt>
            <c:idx val="232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1-B90E-9049-A4A9-7D8FC97FEA8A}"/>
              </c:ext>
            </c:extLst>
          </c:dPt>
          <c:dPt>
            <c:idx val="233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3-B90E-9049-A4A9-7D8FC97FEA8A}"/>
              </c:ext>
            </c:extLst>
          </c:dPt>
          <c:dPt>
            <c:idx val="234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5-B90E-9049-A4A9-7D8FC97FEA8A}"/>
              </c:ext>
            </c:extLst>
          </c:dPt>
          <c:dPt>
            <c:idx val="235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7-B90E-9049-A4A9-7D8FC97FEA8A}"/>
              </c:ext>
            </c:extLst>
          </c:dPt>
          <c:dPt>
            <c:idx val="236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9-B90E-9049-A4A9-7D8FC97FEA8A}"/>
              </c:ext>
            </c:extLst>
          </c:dPt>
          <c:dPt>
            <c:idx val="237"/>
            <c:invertIfNegative val="0"/>
            <c:bubble3D val="0"/>
            <c:spPr>
              <a:solidFill>
                <a:srgbClr val="FF3333">
                  <a:alpha val="50000"/>
                </a:srgbClr>
              </a:solidFill>
              <a:ln w="19050" cap="flat" cmpd="sng" algn="ctr">
                <a:solidFill>
                  <a:srgbClr val="FF333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1DB-B90E-9049-A4A9-7D8FC97FEA8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0129B39-E6EE-2745-A90A-B7762954F553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0E-9049-A4A9-7D8FC97FEA8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65" b="0" i="0" u="none" strike="noStrike" kern="1200" baseline="0">
                        <a:solidFill>
                          <a:srgbClr val="74747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65" b="0" i="0" u="none" strike="noStrike" kern="1200" baseline="0">
                      <a:solidFill>
                        <a:srgbClr val="74747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0E-9049-A4A9-7D8FC97FEA8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CCC140C-0DD7-E04D-890A-B12CD23AA09B}" type="CELLRANGE">
                      <a:rPr lang="en-GB"/>
                      <a:pPr>
                        <a:defRPr sz="805">
                          <a:solidFill>
                            <a:srgbClr val="9C9C9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0E-9049-A4A9-7D8FC97FEA8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5" b="0" i="0" u="none" strike="noStrike" kern="1200" baseline="0">
                        <a:solidFill>
                          <a:srgbClr val="63636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750FB18-B273-8746-BC35-6562232B09EB}" type="CELLRANGE">
                      <a:rPr lang="en-GB"/>
                      <a:pPr>
                        <a:defRPr sz="895">
                          <a:solidFill>
                            <a:srgbClr val="63636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5" b="0" i="0" u="none" strike="noStrike" kern="1200" baseline="0">
                      <a:solidFill>
                        <a:srgbClr val="63636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0E-9049-A4A9-7D8FC97FEA8A}"/>
                </c:ext>
              </c:extLst>
            </c:dLbl>
            <c:dLbl>
              <c:idx val="4"/>
              <c:layout>
                <c:manualLayout>
                  <c:x val="-2.6736436548465876E-2"/>
                  <c:y val="1.362456721884069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2828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2828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9-B90E-9049-A4A9-7D8FC97FEA8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205716C-7FD7-5A41-8EB9-3A245C60C567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0E-9049-A4A9-7D8FC97FEA8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2.7856492163407329E-2"/>
                      <c:h val="3.8040886947166348E-2"/>
                    </c:manualLayout>
                  </c15:layout>
                  <c15:showDataLabelsRange val="1"/>
                </c:ext>
                <c:ext xmlns:c16="http://schemas.microsoft.com/office/drawing/2014/chart" uri="{C3380CC4-5D6E-409C-BE32-E72D297353CC}">
                  <c16:uniqueId val="{0000000D-B90E-9049-A4A9-7D8FC97FEA8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0E-9049-A4A9-7D8FC97FEA8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0" b="0" i="0" u="none" strike="noStrike" kern="1200" baseline="0">
                        <a:solidFill>
                          <a:srgbClr val="66666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E63B490-1EFE-7448-B225-283A2540D5EB}" type="CELLRANGE">
                      <a:rPr lang="en-GB"/>
                      <a:pPr>
                        <a:defRPr sz="890">
                          <a:solidFill>
                            <a:srgbClr val="66666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0" b="0" i="0" u="none" strike="noStrike" kern="1200" baseline="0">
                      <a:solidFill>
                        <a:srgbClr val="66666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0E-9049-A4A9-7D8FC97FEA8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19191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0DA817E-2064-E343-A3C4-DE6BFFF18898}" type="CELLRANGE">
                      <a:rPr lang="en-GB"/>
                      <a:pPr>
                        <a:defRPr sz="820">
                          <a:solidFill>
                            <a:srgbClr val="919191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1919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0E-9049-A4A9-7D8FC97FEA8A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0E-9049-A4A9-7D8FC97FEA8A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381C14A-691B-9B40-A128-4D494F3A4D68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0E-9049-A4A9-7D8FC97FEA8A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0E-9049-A4A9-7D8FC97FEA8A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124333D-B3B7-954E-9A81-C5C8C2178DEB}" type="CELLRANGE">
                      <a:rPr lang="en-GB"/>
                      <a:pPr>
                        <a:defRPr sz="960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0E-9049-A4A9-7D8FC97FEA8A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5" b="0" i="0" u="none" strike="noStrike" kern="1200" baseline="0">
                        <a:solidFill>
                          <a:srgbClr val="43434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CC87EDC-09B5-1F47-9446-77FA49827629}" type="CELLRANGE">
                      <a:rPr lang="en-GB"/>
                      <a:pPr>
                        <a:defRPr sz="945">
                          <a:solidFill>
                            <a:srgbClr val="43434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5" b="0" i="0" u="none" strike="noStrike" kern="1200" baseline="0">
                      <a:solidFill>
                        <a:srgbClr val="43434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0E-9049-A4A9-7D8FC97FEA8A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7676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D4DAF1E-E9C6-F446-86E6-81938A1F79D4}" type="CELLRANGE">
                      <a:rPr lang="en-GB"/>
                      <a:pPr>
                        <a:defRPr sz="885">
                          <a:solidFill>
                            <a:srgbClr val="676767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7676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0E-9049-A4A9-7D8FC97FEA8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5988E57-501A-E54F-858F-B681D498F721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0E-9049-A4A9-7D8FC97FEA8A}"/>
                </c:ext>
              </c:extLst>
            </c:dLbl>
            <c:dLbl>
              <c:idx val="17"/>
              <c:layout>
                <c:manualLayout>
                  <c:x val="-4.2810383400839855E-2"/>
                  <c:y val="1.3624567218840694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C1C9081-C7CA-5A4A-BF61-15EBA86DBF46}" type="CELLRANGE">
                      <a:rPr lang="en-US"/>
                      <a:pPr>
                        <a:defRPr sz="980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B90E-9049-A4A9-7D8FC97FEA8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B9B9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B9B9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0E-9049-A4A9-7D8FC97FEA8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F9DE9B0-A769-994B-9789-C33F0DAF1FBC}" type="CELLRANGE">
                      <a:rPr lang="en-GB"/>
                      <a:pPr>
                        <a:defRPr sz="820">
                          <a:solidFill>
                            <a:srgbClr val="93939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0E-9049-A4A9-7D8FC97FEA8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0C5219D-83F2-6B4A-B2B1-69A18BECBF0D}" type="CELLRANGE">
                      <a:rPr lang="en-GB"/>
                      <a:pPr>
                        <a:defRPr sz="950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0E-9049-A4A9-7D8FC97FEA8A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70" b="0" i="0" u="none" strike="noStrike" kern="1200" baseline="0">
                        <a:solidFill>
                          <a:srgbClr val="72727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70" b="0" i="0" u="none" strike="noStrike" kern="1200" baseline="0">
                      <a:solidFill>
                        <a:srgbClr val="72727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0E-9049-A4A9-7D8FC97FEA8A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5" b="0" i="0" u="none" strike="noStrike" kern="1200" baseline="0">
                        <a:solidFill>
                          <a:srgbClr val="8E8E8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5" b="0" i="0" u="none" strike="noStrike" kern="1200" baseline="0">
                      <a:solidFill>
                        <a:srgbClr val="8E8E8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0E-9049-A4A9-7D8FC97FEA8A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29786B3-149D-DB43-9D13-2FA7247312BC}" type="CELLRANGE">
                      <a:rPr lang="en-GB"/>
                      <a:pPr>
                        <a:defRPr sz="885">
                          <a:solidFill>
                            <a:srgbClr val="686868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0E-9049-A4A9-7D8FC97FEA8A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0" b="0" i="0" u="none" strike="noStrike" kern="1200" baseline="0">
                        <a:solidFill>
                          <a:srgbClr val="59595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0" b="0" i="0" u="none" strike="noStrike" kern="1200" baseline="0">
                      <a:solidFill>
                        <a:srgbClr val="59595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0E-9049-A4A9-7D8FC97FEA8A}"/>
                </c:ext>
              </c:extLst>
            </c:dLbl>
            <c:dLbl>
              <c:idx val="25"/>
              <c:layout>
                <c:manualLayout>
                  <c:x val="-3.5308708437905026E-2"/>
                  <c:y val="1.3624567218838198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EC7BD45-6737-394F-9B37-D4705137A8A8}" type="CELLRANGE">
                      <a:rPr lang="en-US"/>
                      <a:pPr>
                        <a:defRPr sz="845">
                          <a:solidFill>
                            <a:srgbClr val="838383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B90E-9049-A4A9-7D8FC97FEA8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120" b="0" i="0" u="none" strike="noStrike" kern="1200" baseline="0">
                        <a:solidFill>
                          <a:srgbClr val="313131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FE2D3C2-9743-9741-8304-D11B87C00EE8}" type="CELLRANGE">
                      <a:rPr lang="en-GB"/>
                      <a:pPr>
                        <a:defRPr sz="1120">
                          <a:solidFill>
                            <a:srgbClr val="313131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20" b="0" i="0" u="none" strike="noStrike" kern="1200" baseline="0">
                      <a:solidFill>
                        <a:srgbClr val="31313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0E-9049-A4A9-7D8FC97FEA8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0E-9049-A4A9-7D8FC97FEA8A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249584B-4378-3F4F-B655-0BF3F8614581}" type="CELLRANGE">
                      <a:rPr lang="en-GB"/>
                      <a:pPr>
                        <a:defRPr sz="970">
                          <a:solidFill>
                            <a:srgbClr val="3E3E3E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0E-9049-A4A9-7D8FC97FEA8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C6C6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1CEC4CF-E1BD-5D45-A256-8242A9754286}" type="CELLRANGE">
                      <a:rPr lang="en-GB"/>
                      <a:pPr>
                        <a:defRPr sz="880">
                          <a:solidFill>
                            <a:srgbClr val="6C6C6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C6C6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0E-9049-A4A9-7D8FC97FEA8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0" b="0" i="0" u="none" strike="noStrike" kern="1200" baseline="0">
                        <a:solidFill>
                          <a:srgbClr val="46464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3BE25A5-2D9F-C942-927E-6E873DC2CFF2}" type="CELLRANGE">
                      <a:rPr lang="en-GB"/>
                      <a:pPr>
                        <a:defRPr sz="940">
                          <a:solidFill>
                            <a:srgbClr val="464646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0" b="0" i="0" u="none" strike="noStrike" kern="1200" baseline="0">
                      <a:solidFill>
                        <a:srgbClr val="46464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0E-9049-A4A9-7D8FC97FEA8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20" b="0" i="0" u="none" strike="noStrike" kern="1200" baseline="0">
                        <a:solidFill>
                          <a:srgbClr val="3A3A3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20" b="0" i="0" u="none" strike="noStrike" kern="1200" baseline="0">
                      <a:solidFill>
                        <a:srgbClr val="3A3A3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0E-9049-A4A9-7D8FC97FEA8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4799636-9019-FB40-BEE0-E5045B8F662C}" type="CELLRANGE">
                      <a:rPr lang="en-GB"/>
                      <a:pPr>
                        <a:defRPr sz="955">
                          <a:solidFill>
                            <a:srgbClr val="3F3F3F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0E-9049-A4A9-7D8FC97FEA8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D25F025-9EBE-884B-BB65-BBBB468DFB50}" type="CELLRANGE">
                      <a:rPr lang="en-GB"/>
                      <a:pPr>
                        <a:defRPr sz="1010">
                          <a:solidFill>
                            <a:srgbClr val="3B3B3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0E-9049-A4A9-7D8FC97FEA8A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0E-9049-A4A9-7D8FC97FEA8A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0E-9049-A4A9-7D8FC97FEA8A}"/>
                </c:ext>
              </c:extLst>
            </c:dLbl>
            <c:dLbl>
              <c:idx val="36"/>
              <c:layout>
                <c:manualLayout>
                  <c:x val="-3.4223918180846823E-2"/>
                  <c:y val="1.3624567218838198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C7C7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580B543-D422-B546-A07C-477EC31AECE8}" type="CELLRANGE">
                      <a:rPr lang="en-US"/>
                      <a:pPr>
                        <a:defRPr sz="855">
                          <a:solidFill>
                            <a:srgbClr val="7C7C7C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C7C7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B90E-9049-A4A9-7D8FC97FEA8A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0E-9049-A4A9-7D8FC97FEA8A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0" b="0" i="0" u="none" strike="noStrike" kern="1200" baseline="0">
                        <a:solidFill>
                          <a:srgbClr val="7D7D7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0" b="0" i="0" u="none" strike="noStrike" kern="1200" baseline="0">
                      <a:solidFill>
                        <a:srgbClr val="7D7D7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0E-9049-A4A9-7D8FC97FEA8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5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C0C4971-EB2D-D643-9C7B-F2D98B26CC8A}" type="CELLRANGE">
                      <a:rPr lang="en-GB"/>
                      <a:pPr>
                        <a:defRPr sz="985">
                          <a:solidFill>
                            <a:srgbClr val="3D3D3D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5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0E-9049-A4A9-7D8FC97FEA8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B02EA55-D94A-4C40-8163-F96A8E3D6B55}" type="CELLRANGE">
                      <a:rPr lang="en-GB"/>
                      <a:pPr>
                        <a:defRPr sz="955">
                          <a:solidFill>
                            <a:srgbClr val="40404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0E-9049-A4A9-7D8FC97FEA8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0E-9049-A4A9-7D8FC97FEA8A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0E-9049-A4A9-7D8FC97FEA8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8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8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0E-9049-A4A9-7D8FC97FEA8A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5" b="0" i="0" u="none" strike="noStrike" kern="1200" baseline="0">
                        <a:solidFill>
                          <a:srgbClr val="5B5B5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5" b="0" i="0" u="none" strike="noStrike" kern="1200" baseline="0">
                      <a:solidFill>
                        <a:srgbClr val="5B5B5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0E-9049-A4A9-7D8FC97FEA8A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0E-9049-A4A9-7D8FC97FEA8A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60" b="0" i="0" u="none" strike="noStrike" kern="1200" baseline="0">
                        <a:solidFill>
                          <a:srgbClr val="78787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60" b="0" i="0" u="none" strike="noStrike" kern="1200" baseline="0">
                      <a:solidFill>
                        <a:srgbClr val="78787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0E-9049-A4A9-7D8FC97FEA8A}"/>
                </c:ext>
              </c:extLst>
            </c:dLbl>
            <c:dLbl>
              <c:idx val="4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0E-9049-A4A9-7D8FC97FEA8A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D5D5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D5D5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0E-9049-A4A9-7D8FC97FEA8A}"/>
                </c:ext>
              </c:extLst>
            </c:dLbl>
            <c:dLbl>
              <c:idx val="4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0E-9049-A4A9-7D8FC97FEA8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0E-9049-A4A9-7D8FC97FEA8A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0E-9049-A4A9-7D8FC97FEA8A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A7A7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A7A7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0E-9049-A4A9-7D8FC97FEA8A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0E-9049-A4A9-7D8FC97FEA8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695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95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0E-9049-A4A9-7D8FC97FEA8A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0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0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0E-9049-A4A9-7D8FC97FEA8A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0E-9049-A4A9-7D8FC97FEA8A}"/>
                </c:ext>
              </c:extLst>
            </c:dLbl>
            <c:dLbl>
              <c:idx val="57"/>
              <c:layout>
                <c:manualLayout>
                  <c:x val="1.2694035072919235E-4"/>
                  <c:y val="1.3624567218835699E-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3-B90E-9049-A4A9-7D8FC97FEA8A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0E-9049-A4A9-7D8FC97FEA8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4949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4949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0E-9049-A4A9-7D8FC97FEA8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A6A6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A6A6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0E-9049-A4A9-7D8FC97FEA8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0E-9049-A4A9-7D8FC97FEA8A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0E-9049-A4A9-7D8FC97FEA8A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0E-9049-A4A9-7D8FC97FEA8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5" b="0" i="0" u="none" strike="noStrike" kern="1200" baseline="0">
                        <a:solidFill>
                          <a:srgbClr val="5B5B5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5" b="0" i="0" u="none" strike="noStrike" kern="1200" baseline="0">
                      <a:solidFill>
                        <a:srgbClr val="5B5B5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0E-9049-A4A9-7D8FC97FEA8A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0E-9049-A4A9-7D8FC97FEA8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5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5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0E-9049-A4A9-7D8FC97FEA8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0E-9049-A4A9-7D8FC97FEA8A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B6B6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86D6BDE-F85E-FC46-8081-7F29C1F44235}" type="CELLRANGE">
                      <a:rPr lang="en-GB"/>
                      <a:pPr>
                        <a:defRPr sz="880">
                          <a:solidFill>
                            <a:srgbClr val="6B6B6B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B6B6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0E-9049-A4A9-7D8FC97FEA8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0E-9049-A4A9-7D8FC97FEA8A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0E-9049-A4A9-7D8FC97FEA8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0E-9049-A4A9-7D8FC97FEA8A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0E-9049-A4A9-7D8FC97FEA8A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0E-9049-A4A9-7D8FC97FEA8A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7878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7878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0E-9049-A4A9-7D8FC97FEA8A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90" b="0" i="0" u="none" strike="noStrike" kern="1200" baseline="0">
                        <a:solidFill>
                          <a:srgbClr val="34343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90" b="0" i="0" u="none" strike="noStrike" kern="1200" baseline="0">
                      <a:solidFill>
                        <a:srgbClr val="34343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0E-9049-A4A9-7D8FC97FEA8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70" b="0" i="0" u="none" strike="noStrike" kern="1200" baseline="0">
                        <a:solidFill>
                          <a:srgbClr val="73737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70" b="0" i="0" u="none" strike="noStrike" kern="1200" baseline="0">
                      <a:solidFill>
                        <a:srgbClr val="73737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0E-9049-A4A9-7D8FC97FEA8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0E-9049-A4A9-7D8FC97FEA8A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0E-9049-A4A9-7D8FC97FEA8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0E-9049-A4A9-7D8FC97FEA8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0E-9049-A4A9-7D8FC97FEA8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0" b="0" i="0" u="none" strike="noStrike" kern="1200" baseline="0">
                        <a:solidFill>
                          <a:srgbClr val="3D3D3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0" b="0" i="0" u="none" strike="noStrike" kern="1200" baseline="0">
                      <a:solidFill>
                        <a:srgbClr val="3D3D3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0E-9049-A4A9-7D8FC97FEA8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0E-9049-A4A9-7D8FC97FEA8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0E-9049-A4A9-7D8FC97FEA8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8888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8888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0E-9049-A4A9-7D8FC97FEA8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0E-9049-A4A9-7D8FC97FEA8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8989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8989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0E-9049-A4A9-7D8FC97FEA8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0E-9049-A4A9-7D8FC97FEA8A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0" b="0" i="0" u="none" strike="noStrike" kern="1200" baseline="0">
                        <a:solidFill>
                          <a:srgbClr val="85858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0" b="0" i="0" u="none" strike="noStrike" kern="1200" baseline="0">
                      <a:solidFill>
                        <a:srgbClr val="85858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0E-9049-A4A9-7D8FC97FEA8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0E-9049-A4A9-7D8FC97FEA8A}"/>
                </c:ext>
              </c:extLst>
            </c:dLbl>
            <c:dLbl>
              <c:idx val="9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55" b="0" i="0" u="none" strike="noStrike" kern="1200" baseline="0">
                        <a:solidFill>
                          <a:srgbClr val="37373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5" b="0" i="0" u="none" strike="noStrike" kern="1200" baseline="0">
                      <a:solidFill>
                        <a:srgbClr val="37373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0E-9049-A4A9-7D8FC97FEA8A}"/>
                </c:ext>
              </c:extLst>
            </c:dLbl>
            <c:dLbl>
              <c:idx val="9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0E-9049-A4A9-7D8FC97FEA8A}"/>
                </c:ext>
              </c:extLst>
            </c:dLbl>
            <c:dLbl>
              <c:idx val="9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5" b="0" i="0" u="none" strike="noStrike" kern="1200" baseline="0">
                        <a:solidFill>
                          <a:srgbClr val="55555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5" b="0" i="0" u="none" strike="noStrike" kern="1200" baseline="0">
                      <a:solidFill>
                        <a:srgbClr val="55555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0E-9049-A4A9-7D8FC97FEA8A}"/>
                </c:ext>
              </c:extLst>
            </c:dLbl>
            <c:dLbl>
              <c:idx val="9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0E-9049-A4A9-7D8FC97FEA8A}"/>
                </c:ext>
              </c:extLst>
            </c:dLbl>
            <c:dLbl>
              <c:idx val="9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0E-9049-A4A9-7D8FC97FEA8A}"/>
                </c:ext>
              </c:extLst>
            </c:dLbl>
            <c:dLbl>
              <c:idx val="9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B9B9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B9B9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0E-9049-A4A9-7D8FC97FEA8A}"/>
                </c:ext>
              </c:extLst>
            </c:dLbl>
            <c:dLbl>
              <c:idx val="9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4949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4949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0E-9049-A4A9-7D8FC97FEA8A}"/>
                </c:ext>
              </c:extLst>
            </c:dLbl>
            <c:dLbl>
              <c:idx val="9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0" b="0" i="0" u="none" strike="noStrike" kern="1200" baseline="0">
                        <a:solidFill>
                          <a:srgbClr val="7F7F7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0" b="0" i="0" u="none" strike="noStrike" kern="1200" baseline="0">
                      <a:solidFill>
                        <a:srgbClr val="7F7F7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0E-9049-A4A9-7D8FC97FEA8A}"/>
                </c:ext>
              </c:extLst>
            </c:dLbl>
            <c:dLbl>
              <c:idx val="9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0E-9049-A4A9-7D8FC97FEA8A}"/>
                </c:ext>
              </c:extLst>
            </c:dLbl>
            <c:dLbl>
              <c:idx val="9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29292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29292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0E-9049-A4A9-7D8FC97FEA8A}"/>
                </c:ext>
              </c:extLst>
            </c:dLbl>
            <c:dLbl>
              <c:idx val="10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0E-9049-A4A9-7D8FC97FEA8A}"/>
                </c:ext>
              </c:extLst>
            </c:dLbl>
            <c:dLbl>
              <c:idx val="10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D9D9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D9D9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0E-9049-A4A9-7D8FC97FEA8A}"/>
                </c:ext>
              </c:extLst>
            </c:dLbl>
            <c:dLbl>
              <c:idx val="10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0E-9049-A4A9-7D8FC97FEA8A}"/>
                </c:ext>
              </c:extLst>
            </c:dLbl>
            <c:dLbl>
              <c:idx val="10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05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5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0E-9049-A4A9-7D8FC97FEA8A}"/>
                </c:ext>
              </c:extLst>
            </c:dLbl>
            <c:dLbl>
              <c:idx val="10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0E-9049-A4A9-7D8FC97FEA8A}"/>
                </c:ext>
              </c:extLst>
            </c:dLbl>
            <c:dLbl>
              <c:idx val="10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D5D5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D5D5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0E-9049-A4A9-7D8FC97FEA8A}"/>
                </c:ext>
              </c:extLst>
            </c:dLbl>
            <c:dLbl>
              <c:idx val="10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7979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7979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0E-9049-A4A9-7D8FC97FEA8A}"/>
                </c:ext>
              </c:extLst>
            </c:dLbl>
            <c:dLbl>
              <c:idx val="10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0E-9049-A4A9-7D8FC97FEA8A}"/>
                </c:ext>
              </c:extLst>
            </c:dLbl>
            <c:dLbl>
              <c:idx val="10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0E-9049-A4A9-7D8FC97FEA8A}"/>
                </c:ext>
              </c:extLst>
            </c:dLbl>
            <c:dLbl>
              <c:idx val="10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0E-9049-A4A9-7D8FC97FEA8A}"/>
                </c:ext>
              </c:extLst>
            </c:dLbl>
            <c:dLbl>
              <c:idx val="1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0" b="0" i="0" u="none" strike="noStrike" kern="1200" baseline="0">
                        <a:solidFill>
                          <a:srgbClr val="86868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0" b="0" i="0" u="none" strike="noStrike" kern="1200" baseline="0">
                      <a:solidFill>
                        <a:srgbClr val="86868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0E-9049-A4A9-7D8FC97FEA8A}"/>
                </c:ext>
              </c:extLst>
            </c:dLbl>
            <c:dLbl>
              <c:idx val="1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0E-9049-A4A9-7D8FC97FEA8A}"/>
                </c:ext>
              </c:extLst>
            </c:dLbl>
            <c:dLbl>
              <c:idx val="1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0E-9049-A4A9-7D8FC97FEA8A}"/>
                </c:ext>
              </c:extLst>
            </c:dLbl>
            <c:dLbl>
              <c:idx val="1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0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0E-9049-A4A9-7D8FC97FEA8A}"/>
                </c:ext>
              </c:extLst>
            </c:dLbl>
            <c:dLbl>
              <c:idx val="1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8989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8989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0E-9049-A4A9-7D8FC97FEA8A}"/>
                </c:ext>
              </c:extLst>
            </c:dLbl>
            <c:dLbl>
              <c:idx val="1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0E-9049-A4A9-7D8FC97FEA8A}"/>
                </c:ext>
              </c:extLst>
            </c:dLbl>
            <c:dLbl>
              <c:idx val="1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0E-9049-A4A9-7D8FC97FEA8A}"/>
                </c:ext>
              </c:extLst>
            </c:dLbl>
            <c:dLbl>
              <c:idx val="1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0E-9049-A4A9-7D8FC97FEA8A}"/>
                </c:ext>
              </c:extLst>
            </c:dLbl>
            <c:dLbl>
              <c:idx val="1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0E-9049-A4A9-7D8FC97FEA8A}"/>
                </c:ext>
              </c:extLst>
            </c:dLbl>
            <c:dLbl>
              <c:idx val="1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0E-9049-A4A9-7D8FC97FEA8A}"/>
                </c:ext>
              </c:extLst>
            </c:dLbl>
            <c:dLbl>
              <c:idx val="1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0E-9049-A4A9-7D8FC97FEA8A}"/>
                </c:ext>
              </c:extLst>
            </c:dLbl>
            <c:dLbl>
              <c:idx val="1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0E-9049-A4A9-7D8FC97FEA8A}"/>
                </c:ext>
              </c:extLst>
            </c:dLbl>
            <c:dLbl>
              <c:idx val="1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35" b="0" i="0" u="none" strike="noStrike" kern="1200" baseline="0">
                        <a:solidFill>
                          <a:srgbClr val="39393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35" b="0" i="0" u="none" strike="noStrike" kern="1200" baseline="0">
                      <a:solidFill>
                        <a:srgbClr val="39393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0E-9049-A4A9-7D8FC97FEA8A}"/>
                </c:ext>
              </c:extLst>
            </c:dLbl>
            <c:dLbl>
              <c:idx val="1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0E-9049-A4A9-7D8FC97FEA8A}"/>
                </c:ext>
              </c:extLst>
            </c:dLbl>
            <c:dLbl>
              <c:idx val="1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0E-9049-A4A9-7D8FC97FEA8A}"/>
                </c:ext>
              </c:extLst>
            </c:dLbl>
            <c:dLbl>
              <c:idx val="1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9696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9696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0E-9049-A4A9-7D8FC97FEA8A}"/>
                </c:ext>
              </c:extLst>
            </c:dLbl>
            <c:dLbl>
              <c:idx val="1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D9D9D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D9D9D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0E-9049-A4A9-7D8FC97FEA8A}"/>
                </c:ext>
              </c:extLst>
            </c:dLbl>
            <c:dLbl>
              <c:idx val="1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A9A9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A9A9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0E-9049-A4A9-7D8FC97FEA8A}"/>
                </c:ext>
              </c:extLst>
            </c:dLbl>
            <c:dLbl>
              <c:idx val="1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0E-9049-A4A9-7D8FC97FEA8A}"/>
                </c:ext>
              </c:extLst>
            </c:dLbl>
            <c:dLbl>
              <c:idx val="1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0E-9049-A4A9-7D8FC97FEA8A}"/>
                </c:ext>
              </c:extLst>
            </c:dLbl>
            <c:dLbl>
              <c:idx val="1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10" b="0" i="0" u="none" strike="noStrike" kern="1200" baseline="0">
                        <a:solidFill>
                          <a:srgbClr val="58585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10" b="0" i="0" u="none" strike="noStrike" kern="1200" baseline="0">
                      <a:solidFill>
                        <a:srgbClr val="58585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0E-9049-A4A9-7D8FC97FEA8A}"/>
                </c:ext>
              </c:extLst>
            </c:dLbl>
            <c:dLbl>
              <c:idx val="1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0E-9049-A4A9-7D8FC97FEA8A}"/>
                </c:ext>
              </c:extLst>
            </c:dLbl>
            <c:dLbl>
              <c:idx val="1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0" b="0" i="0" u="none" strike="noStrike" kern="1200" baseline="0">
                        <a:solidFill>
                          <a:srgbClr val="6C6C6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0" b="0" i="0" u="none" strike="noStrike" kern="1200" baseline="0">
                      <a:solidFill>
                        <a:srgbClr val="6C6C6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0E-9049-A4A9-7D8FC97FEA8A}"/>
                </c:ext>
              </c:extLst>
            </c:dLbl>
            <c:dLbl>
              <c:idx val="1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0E-9049-A4A9-7D8FC97FEA8A}"/>
                </c:ext>
              </c:extLst>
            </c:dLbl>
            <c:dLbl>
              <c:idx val="1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7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7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0E-9049-A4A9-7D8FC97FEA8A}"/>
                </c:ext>
              </c:extLst>
            </c:dLbl>
            <c:dLbl>
              <c:idx val="1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0E-9049-A4A9-7D8FC97FEA8A}"/>
                </c:ext>
              </c:extLst>
            </c:dLbl>
            <c:dLbl>
              <c:idx val="1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20" b="0" i="0" u="none" strike="noStrike" kern="1200" baseline="0">
                        <a:solidFill>
                          <a:srgbClr val="53535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20" b="0" i="0" u="none" strike="noStrike" kern="1200" baseline="0">
                      <a:solidFill>
                        <a:srgbClr val="53535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0E-9049-A4A9-7D8FC97FEA8A}"/>
                </c:ext>
              </c:extLst>
            </c:dLbl>
            <c:dLbl>
              <c:idx val="1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0E-9049-A4A9-7D8FC97FEA8A}"/>
                </c:ext>
              </c:extLst>
            </c:dLbl>
            <c:dLbl>
              <c:idx val="13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5" b="0" i="0" u="none" strike="noStrike" kern="1200" baseline="0">
                        <a:solidFill>
                          <a:srgbClr val="9C9C9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5" b="0" i="0" u="none" strike="noStrike" kern="1200" baseline="0">
                      <a:solidFill>
                        <a:srgbClr val="9C9C9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0E-9049-A4A9-7D8FC97FEA8A}"/>
                </c:ext>
              </c:extLst>
            </c:dLbl>
            <c:dLbl>
              <c:idx val="13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rgbClr val="5F5F5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5F5F5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0E-9049-A4A9-7D8FC97FEA8A}"/>
                </c:ext>
              </c:extLst>
            </c:dLbl>
            <c:dLbl>
              <c:idx val="14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0E-9049-A4A9-7D8FC97FEA8A}"/>
                </c:ext>
              </c:extLst>
            </c:dLbl>
            <c:dLbl>
              <c:idx val="14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0E-9049-A4A9-7D8FC97FEA8A}"/>
                </c:ext>
              </c:extLst>
            </c:dLbl>
            <c:dLbl>
              <c:idx val="14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0" b="0" i="0" u="none" strike="noStrike" kern="1200" baseline="0">
                        <a:solidFill>
                          <a:srgbClr val="8A8A8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0" b="0" i="0" u="none" strike="noStrike" kern="1200" baseline="0">
                      <a:solidFill>
                        <a:srgbClr val="8A8A8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0E-9049-A4A9-7D8FC97FEA8A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0E-9049-A4A9-7D8FC97FEA8A}"/>
                </c:ext>
              </c:extLst>
            </c:dLbl>
            <c:dLbl>
              <c:idx val="14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60" b="0" i="0" u="none" strike="noStrike" kern="1200" baseline="0">
                        <a:solidFill>
                          <a:srgbClr val="36363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60" b="0" i="0" u="none" strike="noStrike" kern="1200" baseline="0">
                      <a:solidFill>
                        <a:srgbClr val="36363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0E-9049-A4A9-7D8FC97FEA8A}"/>
                </c:ext>
              </c:extLst>
            </c:dLbl>
            <c:dLbl>
              <c:idx val="14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0E-9049-A4A9-7D8FC97FEA8A}"/>
                </c:ext>
              </c:extLst>
            </c:dLbl>
            <c:dLbl>
              <c:idx val="14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0E-9049-A4A9-7D8FC97FEA8A}"/>
                </c:ext>
              </c:extLst>
            </c:dLbl>
            <c:dLbl>
              <c:idx val="14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0E-9049-A4A9-7D8FC97FEA8A}"/>
                </c:ext>
              </c:extLst>
            </c:dLbl>
            <c:dLbl>
              <c:idx val="14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70" b="0" i="0" u="none" strike="noStrike" kern="1200" baseline="0">
                        <a:solidFill>
                          <a:srgbClr val="36363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70" b="0" i="0" u="none" strike="noStrike" kern="1200" baseline="0">
                      <a:solidFill>
                        <a:srgbClr val="36363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0E-9049-A4A9-7D8FC97FEA8A}"/>
                </c:ext>
              </c:extLst>
            </c:dLbl>
            <c:dLbl>
              <c:idx val="14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0E-9049-A4A9-7D8FC97FEA8A}"/>
                </c:ext>
              </c:extLst>
            </c:dLbl>
            <c:dLbl>
              <c:idx val="15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35" b="0" i="0" u="none" strike="noStrike" kern="1200" baseline="0">
                        <a:solidFill>
                          <a:srgbClr val="89898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35" b="0" i="0" u="none" strike="noStrike" kern="1200" baseline="0">
                      <a:solidFill>
                        <a:srgbClr val="89898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B90E-9049-A4A9-7D8FC97FEA8A}"/>
                </c:ext>
              </c:extLst>
            </c:dLbl>
            <c:dLbl>
              <c:idx val="15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E9E9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E9E9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B90E-9049-A4A9-7D8FC97FEA8A}"/>
                </c:ext>
              </c:extLst>
            </c:dLbl>
            <c:dLbl>
              <c:idx val="15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B90E-9049-A4A9-7D8FC97FEA8A}"/>
                </c:ext>
              </c:extLst>
            </c:dLbl>
            <c:dLbl>
              <c:idx val="15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B90E-9049-A4A9-7D8FC97FEA8A}"/>
                </c:ext>
              </c:extLst>
            </c:dLbl>
            <c:dLbl>
              <c:idx val="15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0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0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B90E-9049-A4A9-7D8FC97FEA8A}"/>
                </c:ext>
              </c:extLst>
            </c:dLbl>
            <c:dLbl>
              <c:idx val="15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B90E-9049-A4A9-7D8FC97FEA8A}"/>
                </c:ext>
              </c:extLst>
            </c:dLbl>
            <c:dLbl>
              <c:idx val="15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B90E-9049-A4A9-7D8FC97FEA8A}"/>
                </c:ext>
              </c:extLst>
            </c:dLbl>
            <c:dLbl>
              <c:idx val="15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45" b="0" i="0" u="none" strike="noStrike" kern="1200" baseline="0">
                        <a:solidFill>
                          <a:srgbClr val="83838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45" b="0" i="0" u="none" strike="noStrike" kern="1200" baseline="0">
                      <a:solidFill>
                        <a:srgbClr val="83838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B90E-9049-A4A9-7D8FC97FEA8A}"/>
                </c:ext>
              </c:extLst>
            </c:dLbl>
            <c:dLbl>
              <c:idx val="15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5" b="0" i="0" u="none" strike="noStrike" kern="1200" baseline="0">
                        <a:solidFill>
                          <a:srgbClr val="959595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5" b="0" i="0" u="none" strike="noStrike" kern="1200" baseline="0">
                      <a:solidFill>
                        <a:srgbClr val="959595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B90E-9049-A4A9-7D8FC97FEA8A}"/>
                </c:ext>
              </c:extLst>
            </c:dLbl>
            <c:dLbl>
              <c:idx val="15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7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7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B90E-9049-A4A9-7D8FC97FEA8A}"/>
                </c:ext>
              </c:extLst>
            </c:dLbl>
            <c:dLbl>
              <c:idx val="16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B90E-9049-A4A9-7D8FC97FEA8A}"/>
                </c:ext>
              </c:extLst>
            </c:dLbl>
            <c:dLbl>
              <c:idx val="16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B90E-9049-A4A9-7D8FC97FEA8A}"/>
                </c:ext>
              </c:extLst>
            </c:dLbl>
            <c:dLbl>
              <c:idx val="16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B90E-9049-A4A9-7D8FC97FEA8A}"/>
                </c:ext>
              </c:extLst>
            </c:dLbl>
            <c:dLbl>
              <c:idx val="16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B90E-9049-A4A9-7D8FC97FEA8A}"/>
                </c:ext>
              </c:extLst>
            </c:dLbl>
            <c:dLbl>
              <c:idx val="16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0" b="0" i="0" u="none" strike="noStrike" kern="1200" baseline="0">
                        <a:solidFill>
                          <a:srgbClr val="939393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0" b="0" i="0" u="none" strike="noStrike" kern="1200" baseline="0">
                      <a:solidFill>
                        <a:srgbClr val="939393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B90E-9049-A4A9-7D8FC97FEA8A}"/>
                </c:ext>
              </c:extLst>
            </c:dLbl>
            <c:dLbl>
              <c:idx val="16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B90E-9049-A4A9-7D8FC97FEA8A}"/>
                </c:ext>
              </c:extLst>
            </c:dLbl>
            <c:dLbl>
              <c:idx val="16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7979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7979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B90E-9049-A4A9-7D8FC97FEA8A}"/>
                </c:ext>
              </c:extLst>
            </c:dLbl>
            <c:dLbl>
              <c:idx val="16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B90E-9049-A4A9-7D8FC97FEA8A}"/>
                </c:ext>
              </c:extLst>
            </c:dLbl>
            <c:dLbl>
              <c:idx val="16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B90E-9049-A4A9-7D8FC97FEA8A}"/>
                </c:ext>
              </c:extLst>
            </c:dLbl>
            <c:dLbl>
              <c:idx val="16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90" b="0" i="0" u="none" strike="noStrike" kern="1200" baseline="0">
                        <a:solidFill>
                          <a:srgbClr val="646464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90" b="0" i="0" u="none" strike="noStrike" kern="1200" baseline="0">
                      <a:solidFill>
                        <a:srgbClr val="646464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B90E-9049-A4A9-7D8FC97FEA8A}"/>
                </c:ext>
              </c:extLst>
            </c:dLbl>
            <c:dLbl>
              <c:idx val="17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10" b="0" i="0" u="none" strike="noStrike" kern="1200" baseline="0">
                        <a:solidFill>
                          <a:srgbClr val="3B3B3B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10" b="0" i="0" u="none" strike="noStrike" kern="1200" baseline="0">
                      <a:solidFill>
                        <a:srgbClr val="3B3B3B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B90E-9049-A4A9-7D8FC97FEA8A}"/>
                </c:ext>
              </c:extLst>
            </c:dLbl>
            <c:dLbl>
              <c:idx val="17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40" b="0" i="0" u="none" strike="noStrike" kern="1200" baseline="0">
                        <a:solidFill>
                          <a:srgbClr val="464646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40" b="0" i="0" u="none" strike="noStrike" kern="1200" baseline="0">
                      <a:solidFill>
                        <a:srgbClr val="464646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B90E-9049-A4A9-7D8FC97FEA8A}"/>
                </c:ext>
              </c:extLst>
            </c:dLbl>
            <c:dLbl>
              <c:idx val="17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25" b="0" i="0" u="none" strike="noStrike" kern="1200" baseline="0">
                        <a:solidFill>
                          <a:srgbClr val="8F8F8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25" b="0" i="0" u="none" strike="noStrike" kern="1200" baseline="0">
                      <a:solidFill>
                        <a:srgbClr val="8F8F8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B90E-9049-A4A9-7D8FC97FEA8A}"/>
                </c:ext>
              </c:extLst>
            </c:dLbl>
            <c:dLbl>
              <c:idx val="17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35" b="0" i="0" u="none" strike="noStrike" kern="1200" baseline="0">
                        <a:solidFill>
                          <a:srgbClr val="48484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35" b="0" i="0" u="none" strike="noStrike" kern="1200" baseline="0">
                      <a:solidFill>
                        <a:srgbClr val="48484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B90E-9049-A4A9-7D8FC97FEA8A}"/>
                </c:ext>
              </c:extLst>
            </c:dLbl>
            <c:dLbl>
              <c:idx val="17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E3E3E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E3E3E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B90E-9049-A4A9-7D8FC97FEA8A}"/>
                </c:ext>
              </c:extLst>
            </c:dLbl>
            <c:dLbl>
              <c:idx val="17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B90E-9049-A4A9-7D8FC97FEA8A}"/>
                </c:ext>
              </c:extLst>
            </c:dLbl>
            <c:dLbl>
              <c:idx val="17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B90E-9049-A4A9-7D8FC97FEA8A}"/>
                </c:ext>
              </c:extLst>
            </c:dLbl>
            <c:dLbl>
              <c:idx val="17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B90E-9049-A4A9-7D8FC97FEA8A}"/>
                </c:ext>
              </c:extLst>
            </c:dLbl>
            <c:dLbl>
              <c:idx val="17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B90E-9049-A4A9-7D8FC97FEA8A}"/>
                </c:ext>
              </c:extLst>
            </c:dLbl>
            <c:dLbl>
              <c:idx val="17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10" b="0" i="0" u="none" strike="noStrike" kern="1200" baseline="0">
                        <a:solidFill>
                          <a:srgbClr val="999999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10" b="0" i="0" u="none" strike="noStrike" kern="1200" baseline="0">
                      <a:solidFill>
                        <a:srgbClr val="999999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B90E-9049-A4A9-7D8FC97FEA8A}"/>
                </c:ext>
              </c:extLst>
            </c:dLbl>
            <c:dLbl>
              <c:idx val="18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B90E-9049-A4A9-7D8FC97FEA8A}"/>
                </c:ext>
              </c:extLst>
            </c:dLbl>
            <c:dLbl>
              <c:idx val="18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95" b="0" i="0" u="none" strike="noStrike" kern="1200" baseline="0">
                        <a:solidFill>
                          <a:srgbClr val="3C3C3C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95" b="0" i="0" u="none" strike="noStrike" kern="1200" baseline="0">
                      <a:solidFill>
                        <a:srgbClr val="3C3C3C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B90E-9049-A4A9-7D8FC97FEA8A}"/>
                </c:ext>
              </c:extLst>
            </c:dLbl>
            <c:dLbl>
              <c:idx val="18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5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5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B90E-9049-A4A9-7D8FC97FEA8A}"/>
                </c:ext>
              </c:extLst>
            </c:dLbl>
            <c:dLbl>
              <c:idx val="18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B90E-9049-A4A9-7D8FC97FEA8A}"/>
                </c:ext>
              </c:extLst>
            </c:dLbl>
            <c:dLbl>
              <c:idx val="18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B90E-9049-A4A9-7D8FC97FEA8A}"/>
                </c:ext>
              </c:extLst>
            </c:dLbl>
            <c:dLbl>
              <c:idx val="18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55" b="0" i="0" u="none" strike="noStrike" kern="1200" baseline="0">
                        <a:solidFill>
                          <a:srgbClr val="7A7A7A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55" b="0" i="0" u="none" strike="noStrike" kern="1200" baseline="0">
                      <a:solidFill>
                        <a:srgbClr val="7A7A7A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B90E-9049-A4A9-7D8FC97FEA8A}"/>
                </c:ext>
              </c:extLst>
            </c:dLbl>
            <c:dLbl>
              <c:idx val="18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00" b="0" i="0" u="none" strike="noStrike" kern="1200" baseline="0">
                        <a:solidFill>
                          <a:srgbClr val="9F9F9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rgbClr val="9F9F9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B90E-9049-A4A9-7D8FC97FEA8A}"/>
                </c:ext>
              </c:extLst>
            </c:dLbl>
            <c:dLbl>
              <c:idx val="18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86868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86868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B90E-9049-A4A9-7D8FC97FEA8A}"/>
                </c:ext>
              </c:extLst>
            </c:dLbl>
            <c:dLbl>
              <c:idx val="18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B90E-9049-A4A9-7D8FC97FEA8A}"/>
                </c:ext>
              </c:extLst>
            </c:dLbl>
            <c:dLbl>
              <c:idx val="18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60" b="0" i="0" u="none" strike="noStrike" kern="1200" baseline="0">
                        <a:solidFill>
                          <a:srgbClr val="3F3F3F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60" b="0" i="0" u="none" strike="noStrike" kern="1200" baseline="0">
                      <a:solidFill>
                        <a:srgbClr val="3F3F3F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B90E-9049-A4A9-7D8FC97FEA8A}"/>
                </c:ext>
              </c:extLst>
            </c:dLbl>
            <c:dLbl>
              <c:idx val="19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B90E-9049-A4A9-7D8FC97FEA8A}"/>
                </c:ext>
              </c:extLst>
            </c:dLbl>
            <c:dLbl>
              <c:idx val="19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50" b="0" i="0" u="none" strike="noStrike" kern="1200" baseline="0">
                        <a:solidFill>
                          <a:srgbClr val="40404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50" b="0" i="0" u="none" strike="noStrike" kern="1200" baseline="0">
                      <a:solidFill>
                        <a:srgbClr val="40404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B90E-9049-A4A9-7D8FC97FEA8A}"/>
                </c:ext>
              </c:extLst>
            </c:dLbl>
            <c:dLbl>
              <c:idx val="19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885" b="0" i="0" u="none" strike="noStrike" kern="1200" baseline="0">
                        <a:solidFill>
                          <a:srgbClr val="676767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85" b="0" i="0" u="none" strike="noStrike" kern="1200" baseline="0">
                      <a:solidFill>
                        <a:srgbClr val="676767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B90E-9049-A4A9-7D8FC97FEA8A}"/>
                </c:ext>
              </c:extLst>
            </c:dLbl>
            <c:dLbl>
              <c:idx val="19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B90E-9049-A4A9-7D8FC97FEA8A}"/>
                </c:ext>
              </c:extLst>
            </c:dLbl>
            <c:dLbl>
              <c:idx val="19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B90E-9049-A4A9-7D8FC97FEA8A}"/>
                </c:ext>
              </c:extLst>
            </c:dLbl>
            <c:dLbl>
              <c:idx val="19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B90E-9049-A4A9-7D8FC97FEA8A}"/>
                </c:ext>
              </c:extLst>
            </c:dLbl>
            <c:dLbl>
              <c:idx val="19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B90E-9049-A4A9-7D8FC97FEA8A}"/>
                </c:ext>
              </c:extLst>
            </c:dLbl>
            <c:dLbl>
              <c:idx val="19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B90E-9049-A4A9-7D8FC97FEA8A}"/>
                </c:ext>
              </c:extLst>
            </c:dLbl>
            <c:dLbl>
              <c:idx val="19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B90E-9049-A4A9-7D8FC97FEA8A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B90E-9049-A4A9-7D8FC97FEA8A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B90E-9049-A4A9-7D8FC97FEA8A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B90E-9049-A4A9-7D8FC97FEA8A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B90E-9049-A4A9-7D8FC97FEA8A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B90E-9049-A4A9-7D8FC97FEA8A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B90E-9049-A4A9-7D8FC97FEA8A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B90E-9049-A4A9-7D8FC97FEA8A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B90E-9049-A4A9-7D8FC97FEA8A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B90E-9049-A4A9-7D8FC97FEA8A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B90E-9049-A4A9-7D8FC97FEA8A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B90E-9049-A4A9-7D8FC97FEA8A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B90E-9049-A4A9-7D8FC97FEA8A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B90E-9049-A4A9-7D8FC97FEA8A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B90E-9049-A4A9-7D8FC97FEA8A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B90E-9049-A4A9-7D8FC97FEA8A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B90E-9049-A4A9-7D8FC97FEA8A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B90E-9049-A4A9-7D8FC97FEA8A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B90E-9049-A4A9-7D8FC97FEA8A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B90E-9049-A4A9-7D8FC97FEA8A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B90E-9049-A4A9-7D8FC97FEA8A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B90E-9049-A4A9-7D8FC97FEA8A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B90E-9049-A4A9-7D8FC97FEA8A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B90E-9049-A4A9-7D8FC97FEA8A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B90E-9049-A4A9-7D8FC97FEA8A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B90E-9049-A4A9-7D8FC97FEA8A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B90E-9049-A4A9-7D8FC97FEA8A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B90E-9049-A4A9-7D8FC97FEA8A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B90E-9049-A4A9-7D8FC97FEA8A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B90E-9049-A4A9-7D8FC97FEA8A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B90E-9049-A4A9-7D8FC97FEA8A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B90E-9049-A4A9-7D8FC97FEA8A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B90E-9049-A4A9-7D8FC97FEA8A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B90E-9049-A4A9-7D8FC97FEA8A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B90E-9049-A4A9-7D8FC97FEA8A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B90E-9049-A4A9-7D8FC97FEA8A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B90E-9049-A4A9-7D8FC97FEA8A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B90E-9049-A4A9-7D8FC97FEA8A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B90E-9049-A4A9-7D8FC97FEA8A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795" b="0" i="0" u="none" strike="noStrike" kern="1200" baseline="0">
                        <a:solidFill>
                          <a:srgbClr val="A0A0A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95" b="0" i="0" u="none" strike="noStrike" kern="1200" baseline="0">
                      <a:solidFill>
                        <a:srgbClr val="A0A0A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B90E-9049-A4A9-7D8FC97FEA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TII!$D$2:$D$239</c:f>
              <c:numCache>
                <c:formatCode>General</c:formatCode>
                <c:ptCount val="238"/>
                <c:pt idx="0">
                  <c:v>74410</c:v>
                </c:pt>
                <c:pt idx="1">
                  <c:v>74630</c:v>
                </c:pt>
                <c:pt idx="2">
                  <c:v>55220</c:v>
                </c:pt>
                <c:pt idx="3">
                  <c:v>68300</c:v>
                </c:pt>
                <c:pt idx="4">
                  <c:v>88070</c:v>
                </c:pt>
                <c:pt idx="5">
                  <c:v>44740</c:v>
                </c:pt>
                <c:pt idx="7">
                  <c:v>82230</c:v>
                </c:pt>
                <c:pt idx="8">
                  <c:v>116500</c:v>
                </c:pt>
                <c:pt idx="9">
                  <c:v>47850</c:v>
                </c:pt>
                <c:pt idx="10">
                  <c:v>83530</c:v>
                </c:pt>
                <c:pt idx="11">
                  <c:v>58780</c:v>
                </c:pt>
                <c:pt idx="12">
                  <c:v>28650</c:v>
                </c:pt>
                <c:pt idx="13">
                  <c:v>46120</c:v>
                </c:pt>
                <c:pt idx="14">
                  <c:v>60840</c:v>
                </c:pt>
                <c:pt idx="15">
                  <c:v>53040</c:v>
                </c:pt>
                <c:pt idx="16">
                  <c:v>44740</c:v>
                </c:pt>
                <c:pt idx="17">
                  <c:v>53070</c:v>
                </c:pt>
                <c:pt idx="18">
                  <c:v>54910</c:v>
                </c:pt>
                <c:pt idx="19">
                  <c:v>38110</c:v>
                </c:pt>
                <c:pt idx="20">
                  <c:v>61000</c:v>
                </c:pt>
                <c:pt idx="21">
                  <c:v>39840</c:v>
                </c:pt>
                <c:pt idx="22">
                  <c:v>35230</c:v>
                </c:pt>
                <c:pt idx="23">
                  <c:v>74940</c:v>
                </c:pt>
                <c:pt idx="24">
                  <c:v>13910</c:v>
                </c:pt>
                <c:pt idx="25">
                  <c:v>42510</c:v>
                </c:pt>
                <c:pt idx="26">
                  <c:v>70480</c:v>
                </c:pt>
                <c:pt idx="27">
                  <c:v>37710</c:v>
                </c:pt>
                <c:pt idx="28">
                  <c:v>42520</c:v>
                </c:pt>
                <c:pt idx="29">
                  <c:v>99240</c:v>
                </c:pt>
                <c:pt idx="30">
                  <c:v>74250</c:v>
                </c:pt>
                <c:pt idx="31">
                  <c:v>28710</c:v>
                </c:pt>
                <c:pt idx="32">
                  <c:v>55100</c:v>
                </c:pt>
                <c:pt idx="33">
                  <c:v>44600</c:v>
                </c:pt>
                <c:pt idx="35">
                  <c:v>25670</c:v>
                </c:pt>
                <c:pt idx="36">
                  <c:v>25660</c:v>
                </c:pt>
                <c:pt idx="37">
                  <c:v>19110</c:v>
                </c:pt>
                <c:pt idx="38">
                  <c:v>13350</c:v>
                </c:pt>
                <c:pt idx="39">
                  <c:v>58370</c:v>
                </c:pt>
                <c:pt idx="40">
                  <c:v>26940</c:v>
                </c:pt>
                <c:pt idx="42">
                  <c:v>22940</c:v>
                </c:pt>
                <c:pt idx="43">
                  <c:v>50660</c:v>
                </c:pt>
                <c:pt idx="44">
                  <c:v>23170</c:v>
                </c:pt>
                <c:pt idx="45">
                  <c:v>45130</c:v>
                </c:pt>
                <c:pt idx="46">
                  <c:v>34740</c:v>
                </c:pt>
                <c:pt idx="48">
                  <c:v>27800</c:v>
                </c:pt>
                <c:pt idx="49">
                  <c:v>24310</c:v>
                </c:pt>
                <c:pt idx="50">
                  <c:v>20080</c:v>
                </c:pt>
                <c:pt idx="51">
                  <c:v>43770</c:v>
                </c:pt>
                <c:pt idx="52">
                  <c:v>18170</c:v>
                </c:pt>
                <c:pt idx="53">
                  <c:v>47190</c:v>
                </c:pt>
                <c:pt idx="54">
                  <c:v>18140</c:v>
                </c:pt>
                <c:pt idx="55">
                  <c:v>16790</c:v>
                </c:pt>
                <c:pt idx="56">
                  <c:v>38540</c:v>
                </c:pt>
                <c:pt idx="57">
                  <c:v>38730</c:v>
                </c:pt>
                <c:pt idx="58">
                  <c:v>13360</c:v>
                </c:pt>
                <c:pt idx="59">
                  <c:v>42230</c:v>
                </c:pt>
                <c:pt idx="60">
                  <c:v>23340</c:v>
                </c:pt>
                <c:pt idx="61">
                  <c:v>34520</c:v>
                </c:pt>
                <c:pt idx="62">
                  <c:v>26320</c:v>
                </c:pt>
                <c:pt idx="63">
                  <c:v>9230</c:v>
                </c:pt>
                <c:pt idx="64">
                  <c:v>5300</c:v>
                </c:pt>
                <c:pt idx="66">
                  <c:v>11260</c:v>
                </c:pt>
                <c:pt idx="67">
                  <c:v>9470</c:v>
                </c:pt>
                <c:pt idx="68">
                  <c:v>48830</c:v>
                </c:pt>
                <c:pt idx="69">
                  <c:v>15120</c:v>
                </c:pt>
                <c:pt idx="70">
                  <c:v>54640</c:v>
                </c:pt>
                <c:pt idx="71">
                  <c:v>25940</c:v>
                </c:pt>
                <c:pt idx="72">
                  <c:v>32160</c:v>
                </c:pt>
                <c:pt idx="73">
                  <c:v>34860</c:v>
                </c:pt>
                <c:pt idx="74">
                  <c:v>17220</c:v>
                </c:pt>
                <c:pt idx="75">
                  <c:v>12310</c:v>
                </c:pt>
                <c:pt idx="76">
                  <c:v>30990</c:v>
                </c:pt>
                <c:pt idx="77">
                  <c:v>14480</c:v>
                </c:pt>
                <c:pt idx="78">
                  <c:v>22270</c:v>
                </c:pt>
                <c:pt idx="79">
                  <c:v>12480</c:v>
                </c:pt>
                <c:pt idx="80">
                  <c:v>11870</c:v>
                </c:pt>
                <c:pt idx="81">
                  <c:v>32730</c:v>
                </c:pt>
                <c:pt idx="82">
                  <c:v>20960</c:v>
                </c:pt>
                <c:pt idx="83">
                  <c:v>35540</c:v>
                </c:pt>
                <c:pt idx="84">
                  <c:v>14970</c:v>
                </c:pt>
                <c:pt idx="85">
                  <c:v>14540</c:v>
                </c:pt>
                <c:pt idx="86">
                  <c:v>10840</c:v>
                </c:pt>
                <c:pt idx="87">
                  <c:v>11430</c:v>
                </c:pt>
                <c:pt idx="88">
                  <c:v>14260</c:v>
                </c:pt>
                <c:pt idx="89">
                  <c:v>55970</c:v>
                </c:pt>
                <c:pt idx="90">
                  <c:v>15600</c:v>
                </c:pt>
                <c:pt idx="91">
                  <c:v>16580</c:v>
                </c:pt>
                <c:pt idx="92">
                  <c:v>13990</c:v>
                </c:pt>
                <c:pt idx="93">
                  <c:v>21840</c:v>
                </c:pt>
                <c:pt idx="94">
                  <c:v>12570</c:v>
                </c:pt>
                <c:pt idx="95">
                  <c:v>19150</c:v>
                </c:pt>
                <c:pt idx="96">
                  <c:v>9550</c:v>
                </c:pt>
                <c:pt idx="97">
                  <c:v>17650</c:v>
                </c:pt>
                <c:pt idx="98">
                  <c:v>16000</c:v>
                </c:pt>
                <c:pt idx="99">
                  <c:v>26730</c:v>
                </c:pt>
                <c:pt idx="100">
                  <c:v>4190</c:v>
                </c:pt>
                <c:pt idx="101">
                  <c:v>17450</c:v>
                </c:pt>
                <c:pt idx="102">
                  <c:v>4580</c:v>
                </c:pt>
                <c:pt idx="103">
                  <c:v>9820</c:v>
                </c:pt>
                <c:pt idx="104">
                  <c:v>18210</c:v>
                </c:pt>
                <c:pt idx="105">
                  <c:v>9000</c:v>
                </c:pt>
                <c:pt idx="106">
                  <c:v>12080</c:v>
                </c:pt>
                <c:pt idx="107">
                  <c:v>20640</c:v>
                </c:pt>
                <c:pt idx="108">
                  <c:v>4090</c:v>
                </c:pt>
                <c:pt idx="109">
                  <c:v>10990</c:v>
                </c:pt>
                <c:pt idx="110">
                  <c:v>9650</c:v>
                </c:pt>
                <c:pt idx="111">
                  <c:v>6220</c:v>
                </c:pt>
                <c:pt idx="112">
                  <c:v>8550</c:v>
                </c:pt>
                <c:pt idx="113">
                  <c:v>14000</c:v>
                </c:pt>
                <c:pt idx="115">
                  <c:v>14160</c:v>
                </c:pt>
                <c:pt idx="116">
                  <c:v>11500</c:v>
                </c:pt>
                <c:pt idx="117">
                  <c:v>14990</c:v>
                </c:pt>
                <c:pt idx="119">
                  <c:v>12740</c:v>
                </c:pt>
                <c:pt idx="120">
                  <c:v>6090</c:v>
                </c:pt>
                <c:pt idx="121">
                  <c:v>5140</c:v>
                </c:pt>
                <c:pt idx="122">
                  <c:v>6530</c:v>
                </c:pt>
                <c:pt idx="123">
                  <c:v>11980</c:v>
                </c:pt>
                <c:pt idx="124">
                  <c:v>13740</c:v>
                </c:pt>
                <c:pt idx="125">
                  <c:v>11800</c:v>
                </c:pt>
                <c:pt idx="126">
                  <c:v>3310</c:v>
                </c:pt>
                <c:pt idx="127">
                  <c:v>7000</c:v>
                </c:pt>
                <c:pt idx="128">
                  <c:v>5150</c:v>
                </c:pt>
                <c:pt idx="130">
                  <c:v>5790</c:v>
                </c:pt>
                <c:pt idx="131">
                  <c:v>9110</c:v>
                </c:pt>
                <c:pt idx="132">
                  <c:v>5860</c:v>
                </c:pt>
                <c:pt idx="133">
                  <c:v>4170</c:v>
                </c:pt>
                <c:pt idx="134">
                  <c:v>7130</c:v>
                </c:pt>
                <c:pt idx="135">
                  <c:v>17440</c:v>
                </c:pt>
                <c:pt idx="136">
                  <c:v>12122</c:v>
                </c:pt>
                <c:pt idx="137">
                  <c:v>8920</c:v>
                </c:pt>
                <c:pt idx="138">
                  <c:v>9420</c:v>
                </c:pt>
                <c:pt idx="139">
                  <c:v>16050</c:v>
                </c:pt>
                <c:pt idx="140">
                  <c:v>3630</c:v>
                </c:pt>
                <c:pt idx="141">
                  <c:v>14370</c:v>
                </c:pt>
                <c:pt idx="142">
                  <c:v>2370</c:v>
                </c:pt>
                <c:pt idx="143">
                  <c:v>4170</c:v>
                </c:pt>
                <c:pt idx="144">
                  <c:v>5000</c:v>
                </c:pt>
                <c:pt idx="145">
                  <c:v>3740</c:v>
                </c:pt>
                <c:pt idx="146">
                  <c:v>6500</c:v>
                </c:pt>
                <c:pt idx="148">
                  <c:v>5860</c:v>
                </c:pt>
                <c:pt idx="149">
                  <c:v>7790</c:v>
                </c:pt>
                <c:pt idx="150">
                  <c:v>2740</c:v>
                </c:pt>
                <c:pt idx="151">
                  <c:v>6310</c:v>
                </c:pt>
                <c:pt idx="152">
                  <c:v>2540</c:v>
                </c:pt>
                <c:pt idx="153">
                  <c:v>4610</c:v>
                </c:pt>
                <c:pt idx="154">
                  <c:v>3870</c:v>
                </c:pt>
                <c:pt idx="155">
                  <c:v>3000</c:v>
                </c:pt>
                <c:pt idx="156">
                  <c:v>2150</c:v>
                </c:pt>
                <c:pt idx="157">
                  <c:v>2280</c:v>
                </c:pt>
                <c:pt idx="158">
                  <c:v>4900</c:v>
                </c:pt>
                <c:pt idx="159">
                  <c:v>3000</c:v>
                </c:pt>
                <c:pt idx="160">
                  <c:v>6090</c:v>
                </c:pt>
                <c:pt idx="161">
                  <c:v>2370</c:v>
                </c:pt>
                <c:pt idx="162">
                  <c:v>4090</c:v>
                </c:pt>
                <c:pt idx="163">
                  <c:v>2420</c:v>
                </c:pt>
                <c:pt idx="164">
                  <c:v>4170</c:v>
                </c:pt>
                <c:pt idx="165">
                  <c:v>2530</c:v>
                </c:pt>
                <c:pt idx="166">
                  <c:v>3620</c:v>
                </c:pt>
                <c:pt idx="167">
                  <c:v>6310</c:v>
                </c:pt>
                <c:pt idx="168">
                  <c:v>1840</c:v>
                </c:pt>
                <c:pt idx="169">
                  <c:v>4170</c:v>
                </c:pt>
                <c:pt idx="170">
                  <c:v>2370</c:v>
                </c:pt>
                <c:pt idx="171">
                  <c:v>1660</c:v>
                </c:pt>
                <c:pt idx="173">
                  <c:v>2800</c:v>
                </c:pt>
                <c:pt idx="174">
                  <c:v>2370</c:v>
                </c:pt>
                <c:pt idx="175">
                  <c:v>1500</c:v>
                </c:pt>
                <c:pt idx="176">
                  <c:v>2110</c:v>
                </c:pt>
                <c:pt idx="177">
                  <c:v>1500</c:v>
                </c:pt>
                <c:pt idx="178">
                  <c:v>4230</c:v>
                </c:pt>
                <c:pt idx="179">
                  <c:v>2700</c:v>
                </c:pt>
                <c:pt idx="180">
                  <c:v>840</c:v>
                </c:pt>
                <c:pt idx="181">
                  <c:v>1270</c:v>
                </c:pt>
                <c:pt idx="182">
                  <c:v>1830</c:v>
                </c:pt>
                <c:pt idx="183">
                  <c:v>1600</c:v>
                </c:pt>
                <c:pt idx="184">
                  <c:v>0</c:v>
                </c:pt>
                <c:pt idx="185">
                  <c:v>980</c:v>
                </c:pt>
                <c:pt idx="186">
                  <c:v>3740</c:v>
                </c:pt>
                <c:pt idx="187">
                  <c:v>1620</c:v>
                </c:pt>
                <c:pt idx="188">
                  <c:v>920</c:v>
                </c:pt>
                <c:pt idx="189">
                  <c:v>1520</c:v>
                </c:pt>
                <c:pt idx="190">
                  <c:v>1200</c:v>
                </c:pt>
                <c:pt idx="191">
                  <c:v>840</c:v>
                </c:pt>
              </c:numCache>
            </c:numRef>
          </c:xVal>
          <c:yVal>
            <c:numRef>
              <c:f>TII_VH!$C$2:$C$239</c:f>
              <c:numCache>
                <c:formatCode>General</c:formatCode>
                <c:ptCount val="238"/>
                <c:pt idx="0">
                  <c:v>1</c:v>
                </c:pt>
                <c:pt idx="1">
                  <c:v>#N/A</c:v>
                </c:pt>
                <c:pt idx="2">
                  <c:v>0.99829000000000001</c:v>
                </c:pt>
                <c:pt idx="3">
                  <c:v>0.99661999999999995</c:v>
                </c:pt>
                <c:pt idx="4">
                  <c:v>#N/A</c:v>
                </c:pt>
                <c:pt idx="5">
                  <c:v>0.99170000000000003</c:v>
                </c:pt>
                <c:pt idx="6">
                  <c:v>#N/A</c:v>
                </c:pt>
                <c:pt idx="7">
                  <c:v>#N/A</c:v>
                </c:pt>
                <c:pt idx="8">
                  <c:v>0.98806000000000005</c:v>
                </c:pt>
                <c:pt idx="9">
                  <c:v>0.98773</c:v>
                </c:pt>
                <c:pt idx="10">
                  <c:v>#N/A</c:v>
                </c:pt>
                <c:pt idx="11">
                  <c:v>0.98678999999999994</c:v>
                </c:pt>
                <c:pt idx="12">
                  <c:v>#N/A</c:v>
                </c:pt>
                <c:pt idx="13">
                  <c:v>0.98411000000000004</c:v>
                </c:pt>
                <c:pt idx="14">
                  <c:v>0.98096000000000005</c:v>
                </c:pt>
                <c:pt idx="15">
                  <c:v>0.97909000000000002</c:v>
                </c:pt>
                <c:pt idx="16">
                  <c:v>0.97633000000000003</c:v>
                </c:pt>
                <c:pt idx="17">
                  <c:v>0.97467000000000004</c:v>
                </c:pt>
                <c:pt idx="18">
                  <c:v>#N/A</c:v>
                </c:pt>
                <c:pt idx="19">
                  <c:v>0.97309000000000001</c:v>
                </c:pt>
                <c:pt idx="20">
                  <c:v>0.97150999999999998</c:v>
                </c:pt>
                <c:pt idx="21">
                  <c:v>#N/A</c:v>
                </c:pt>
                <c:pt idx="22">
                  <c:v>#N/A</c:v>
                </c:pt>
                <c:pt idx="23">
                  <c:v>0.96538999999999997</c:v>
                </c:pt>
                <c:pt idx="24">
                  <c:v>#N/A</c:v>
                </c:pt>
                <c:pt idx="25">
                  <c:v>0.96309</c:v>
                </c:pt>
                <c:pt idx="26">
                  <c:v>0.96052000000000004</c:v>
                </c:pt>
                <c:pt idx="27">
                  <c:v>#N/A</c:v>
                </c:pt>
                <c:pt idx="28">
                  <c:v>0.96031</c:v>
                </c:pt>
                <c:pt idx="29">
                  <c:v>0.95987</c:v>
                </c:pt>
                <c:pt idx="30">
                  <c:v>0.95757000000000003</c:v>
                </c:pt>
                <c:pt idx="31">
                  <c:v>#N/A</c:v>
                </c:pt>
                <c:pt idx="32">
                  <c:v>0.95091999999999999</c:v>
                </c:pt>
                <c:pt idx="33">
                  <c:v>0.95091000000000003</c:v>
                </c:pt>
                <c:pt idx="34">
                  <c:v>#N/A</c:v>
                </c:pt>
                <c:pt idx="35">
                  <c:v>#N/A</c:v>
                </c:pt>
                <c:pt idx="36">
                  <c:v>0.94374000000000002</c:v>
                </c:pt>
                <c:pt idx="37">
                  <c:v>#N/A</c:v>
                </c:pt>
                <c:pt idx="38">
                  <c:v>#N/A</c:v>
                </c:pt>
                <c:pt idx="39">
                  <c:v>0.92359000000000002</c:v>
                </c:pt>
                <c:pt idx="40">
                  <c:v>0.92352999999999996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0.87280999999999997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</c:numCache>
            </c:numRef>
          </c:yVal>
          <c:bubbleSize>
            <c:numRef>
              <c:f>TII!$E$2:$E$239</c:f>
              <c:numCache>
                <c:formatCode>General</c:formatCode>
                <c:ptCount val="238"/>
                <c:pt idx="0">
                  <c:v>9.3000000000000007</c:v>
                </c:pt>
                <c:pt idx="1">
                  <c:v>4.3</c:v>
                </c:pt>
                <c:pt idx="2">
                  <c:v>0.4</c:v>
                </c:pt>
                <c:pt idx="3">
                  <c:v>5.9</c:v>
                </c:pt>
                <c:pt idx="4">
                  <c:v>2.9</c:v>
                </c:pt>
                <c:pt idx="5">
                  <c:v>51.8</c:v>
                </c:pt>
                <c:pt idx="6">
                  <c:v>0.04</c:v>
                </c:pt>
                <c:pt idx="7">
                  <c:v>0.6</c:v>
                </c:pt>
                <c:pt idx="8">
                  <c:v>5.6</c:v>
                </c:pt>
                <c:pt idx="9">
                  <c:v>1.5</c:v>
                </c:pt>
                <c:pt idx="10">
                  <c:v>0.4</c:v>
                </c:pt>
                <c:pt idx="11">
                  <c:v>10.4</c:v>
                </c:pt>
                <c:pt idx="12">
                  <c:v>33.6</c:v>
                </c:pt>
                <c:pt idx="13">
                  <c:v>35.799999999999997</c:v>
                </c:pt>
                <c:pt idx="14">
                  <c:v>9</c:v>
                </c:pt>
                <c:pt idx="15">
                  <c:v>5.5</c:v>
                </c:pt>
                <c:pt idx="16">
                  <c:v>9.3000000000000007</c:v>
                </c:pt>
                <c:pt idx="17">
                  <c:v>67.3</c:v>
                </c:pt>
                <c:pt idx="18">
                  <c:v>0.5</c:v>
                </c:pt>
                <c:pt idx="19">
                  <c:v>1.3</c:v>
                </c:pt>
                <c:pt idx="20">
                  <c:v>17.5</c:v>
                </c:pt>
                <c:pt idx="21">
                  <c:v>4.5</c:v>
                </c:pt>
                <c:pt idx="22">
                  <c:v>1.8</c:v>
                </c:pt>
                <c:pt idx="23">
                  <c:v>5.4</c:v>
                </c:pt>
                <c:pt idx="24">
                  <c:v>6.9</c:v>
                </c:pt>
                <c:pt idx="25">
                  <c:v>2.8</c:v>
                </c:pt>
                <c:pt idx="26">
                  <c:v>333.3</c:v>
                </c:pt>
                <c:pt idx="27">
                  <c:v>37.799999999999997</c:v>
                </c:pt>
                <c:pt idx="28">
                  <c:v>47.4</c:v>
                </c:pt>
                <c:pt idx="29">
                  <c:v>5</c:v>
                </c:pt>
                <c:pt idx="30">
                  <c:v>8.6999999999999993</c:v>
                </c:pt>
                <c:pt idx="31">
                  <c:v>143.6</c:v>
                </c:pt>
                <c:pt idx="32">
                  <c:v>25.7</c:v>
                </c:pt>
                <c:pt idx="33">
                  <c:v>125.1</c:v>
                </c:pt>
                <c:pt idx="34">
                  <c:v>0.03</c:v>
                </c:pt>
                <c:pt idx="35">
                  <c:v>19.5</c:v>
                </c:pt>
                <c:pt idx="36">
                  <c:v>3.5</c:v>
                </c:pt>
                <c:pt idx="37">
                  <c:v>71.7</c:v>
                </c:pt>
                <c:pt idx="38">
                  <c:v>3.4</c:v>
                </c:pt>
                <c:pt idx="39">
                  <c:v>83.2</c:v>
                </c:pt>
                <c:pt idx="40">
                  <c:v>19.399999999999999</c:v>
                </c:pt>
                <c:pt idx="41">
                  <c:v>0.08</c:v>
                </c:pt>
                <c:pt idx="42">
                  <c:v>0.6</c:v>
                </c:pt>
                <c:pt idx="43">
                  <c:v>67.8</c:v>
                </c:pt>
                <c:pt idx="44">
                  <c:v>6.7</c:v>
                </c:pt>
                <c:pt idx="45">
                  <c:v>10.7</c:v>
                </c:pt>
                <c:pt idx="46">
                  <c:v>3.9</c:v>
                </c:pt>
                <c:pt idx="47">
                  <c:v>0.04</c:v>
                </c:pt>
                <c:pt idx="48">
                  <c:v>6.5</c:v>
                </c:pt>
                <c:pt idx="49">
                  <c:v>1.3</c:v>
                </c:pt>
                <c:pt idx="50">
                  <c:v>9.3000000000000007</c:v>
                </c:pt>
                <c:pt idx="51">
                  <c:v>2.1</c:v>
                </c:pt>
                <c:pt idx="52">
                  <c:v>3.7</c:v>
                </c:pt>
                <c:pt idx="53">
                  <c:v>59</c:v>
                </c:pt>
                <c:pt idx="54">
                  <c:v>1412.2</c:v>
                </c:pt>
                <c:pt idx="55">
                  <c:v>88.6</c:v>
                </c:pt>
                <c:pt idx="56">
                  <c:v>5.4</c:v>
                </c:pt>
                <c:pt idx="57">
                  <c:v>10.3</c:v>
                </c:pt>
                <c:pt idx="58">
                  <c:v>60</c:v>
                </c:pt>
                <c:pt idx="59">
                  <c:v>1.2</c:v>
                </c:pt>
                <c:pt idx="60">
                  <c:v>5.2</c:v>
                </c:pt>
                <c:pt idx="61">
                  <c:v>19</c:v>
                </c:pt>
                <c:pt idx="62">
                  <c:v>0.1</c:v>
                </c:pt>
                <c:pt idx="63">
                  <c:v>37.799999999999997</c:v>
                </c:pt>
                <c:pt idx="64">
                  <c:v>6.7</c:v>
                </c:pt>
                <c:pt idx="65">
                  <c:v>2.8</c:v>
                </c:pt>
                <c:pt idx="66">
                  <c:v>98.2</c:v>
                </c:pt>
                <c:pt idx="67">
                  <c:v>35.299999999999997</c:v>
                </c:pt>
                <c:pt idx="68">
                  <c:v>5.0999999999999996</c:v>
                </c:pt>
                <c:pt idx="69">
                  <c:v>0.6</c:v>
                </c:pt>
                <c:pt idx="70">
                  <c:v>11.7</c:v>
                </c:pt>
                <c:pt idx="71">
                  <c:v>0.05</c:v>
                </c:pt>
                <c:pt idx="72">
                  <c:v>10.4</c:v>
                </c:pt>
                <c:pt idx="73">
                  <c:v>0.4</c:v>
                </c:pt>
                <c:pt idx="74">
                  <c:v>2.4</c:v>
                </c:pt>
                <c:pt idx="75">
                  <c:v>275.5</c:v>
                </c:pt>
                <c:pt idx="76">
                  <c:v>4.4000000000000004</c:v>
                </c:pt>
                <c:pt idx="77">
                  <c:v>41.2</c:v>
                </c:pt>
                <c:pt idx="78">
                  <c:v>45.8</c:v>
                </c:pt>
                <c:pt idx="79">
                  <c:v>33.700000000000003</c:v>
                </c:pt>
                <c:pt idx="80">
                  <c:v>12.3</c:v>
                </c:pt>
                <c:pt idx="81">
                  <c:v>85.3</c:v>
                </c:pt>
                <c:pt idx="82">
                  <c:v>127.5</c:v>
                </c:pt>
                <c:pt idx="83">
                  <c:v>9.6</c:v>
                </c:pt>
                <c:pt idx="84">
                  <c:v>2.2999999999999998</c:v>
                </c:pt>
                <c:pt idx="85">
                  <c:v>10.199999999999999</c:v>
                </c:pt>
                <c:pt idx="86">
                  <c:v>0.8</c:v>
                </c:pt>
                <c:pt idx="87">
                  <c:v>46.2</c:v>
                </c:pt>
                <c:pt idx="88">
                  <c:v>2.6</c:v>
                </c:pt>
                <c:pt idx="89">
                  <c:v>38.200000000000003</c:v>
                </c:pt>
                <c:pt idx="90">
                  <c:v>215.3</c:v>
                </c:pt>
                <c:pt idx="91">
                  <c:v>51.5</c:v>
                </c:pt>
                <c:pt idx="92">
                  <c:v>7.3</c:v>
                </c:pt>
                <c:pt idx="93">
                  <c:v>0.1</c:v>
                </c:pt>
                <c:pt idx="94">
                  <c:v>21.5</c:v>
                </c:pt>
                <c:pt idx="95">
                  <c:v>0.5</c:v>
                </c:pt>
                <c:pt idx="96">
                  <c:v>1.2</c:v>
                </c:pt>
                <c:pt idx="97">
                  <c:v>3.2</c:v>
                </c:pt>
                <c:pt idx="98">
                  <c:v>2.8</c:v>
                </c:pt>
                <c:pt idx="99">
                  <c:v>1.4</c:v>
                </c:pt>
                <c:pt idx="100">
                  <c:v>30</c:v>
                </c:pt>
                <c:pt idx="101">
                  <c:v>0.3</c:v>
                </c:pt>
                <c:pt idx="102">
                  <c:v>16.899999999999999</c:v>
                </c:pt>
                <c:pt idx="103">
                  <c:v>115.6</c:v>
                </c:pt>
                <c:pt idx="104">
                  <c:v>2.1</c:v>
                </c:pt>
                <c:pt idx="105">
                  <c:v>6.5</c:v>
                </c:pt>
                <c:pt idx="106">
                  <c:v>0.9</c:v>
                </c:pt>
                <c:pt idx="107">
                  <c:v>10.8</c:v>
                </c:pt>
                <c:pt idx="108">
                  <c:v>17.899999999999999</c:v>
                </c:pt>
                <c:pt idx="109">
                  <c:v>2.8</c:v>
                </c:pt>
                <c:pt idx="110">
                  <c:v>2.5</c:v>
                </c:pt>
                <c:pt idx="111">
                  <c:v>32.799999999999997</c:v>
                </c:pt>
                <c:pt idx="112">
                  <c:v>12.1</c:v>
                </c:pt>
                <c:pt idx="113">
                  <c:v>110.9</c:v>
                </c:pt>
                <c:pt idx="114">
                  <c:v>0.8</c:v>
                </c:pt>
                <c:pt idx="115">
                  <c:v>44.5</c:v>
                </c:pt>
                <c:pt idx="116">
                  <c:v>18.100000000000001</c:v>
                </c:pt>
                <c:pt idx="117">
                  <c:v>0.1</c:v>
                </c:pt>
                <c:pt idx="118">
                  <c:v>0.1</c:v>
                </c:pt>
                <c:pt idx="119">
                  <c:v>7.0000000000000007E-2</c:v>
                </c:pt>
                <c:pt idx="120">
                  <c:v>29.4</c:v>
                </c:pt>
                <c:pt idx="121">
                  <c:v>54.2</c:v>
                </c:pt>
                <c:pt idx="122">
                  <c:v>171.2</c:v>
                </c:pt>
                <c:pt idx="123">
                  <c:v>11.1</c:v>
                </c:pt>
                <c:pt idx="124">
                  <c:v>0.2</c:v>
                </c:pt>
                <c:pt idx="125">
                  <c:v>5.3</c:v>
                </c:pt>
                <c:pt idx="126">
                  <c:v>0.3</c:v>
                </c:pt>
                <c:pt idx="127">
                  <c:v>0.6</c:v>
                </c:pt>
                <c:pt idx="128">
                  <c:v>54</c:v>
                </c:pt>
                <c:pt idx="129">
                  <c:v>0.01</c:v>
                </c:pt>
                <c:pt idx="130">
                  <c:v>7</c:v>
                </c:pt>
                <c:pt idx="131">
                  <c:v>18.100000000000001</c:v>
                </c:pt>
                <c:pt idx="132">
                  <c:v>5</c:v>
                </c:pt>
                <c:pt idx="133">
                  <c:v>10</c:v>
                </c:pt>
                <c:pt idx="134">
                  <c:v>1417.2</c:v>
                </c:pt>
                <c:pt idx="135">
                  <c:v>28.2</c:v>
                </c:pt>
                <c:pt idx="136">
                  <c:v>7.5</c:v>
                </c:pt>
                <c:pt idx="137">
                  <c:v>11.1</c:v>
                </c:pt>
                <c:pt idx="138">
                  <c:v>0.4</c:v>
                </c:pt>
                <c:pt idx="139">
                  <c:v>6.3</c:v>
                </c:pt>
                <c:pt idx="140">
                  <c:v>19.600000000000001</c:v>
                </c:pt>
                <c:pt idx="141">
                  <c:v>0.02</c:v>
                </c:pt>
                <c:pt idx="142">
                  <c:v>2.1</c:v>
                </c:pt>
                <c:pt idx="143">
                  <c:v>0.2</c:v>
                </c:pt>
                <c:pt idx="144">
                  <c:v>218.5</c:v>
                </c:pt>
                <c:pt idx="145">
                  <c:v>13.7</c:v>
                </c:pt>
                <c:pt idx="146">
                  <c:v>10.3</c:v>
                </c:pt>
                <c:pt idx="147">
                  <c:v>0.1</c:v>
                </c:pt>
                <c:pt idx="148">
                  <c:v>235.8</c:v>
                </c:pt>
                <c:pt idx="149">
                  <c:v>0.01</c:v>
                </c:pt>
                <c:pt idx="150">
                  <c:v>2.2000000000000002</c:v>
                </c:pt>
                <c:pt idx="151">
                  <c:v>0.2</c:v>
                </c:pt>
                <c:pt idx="152">
                  <c:v>23.3</c:v>
                </c:pt>
                <c:pt idx="153">
                  <c:v>22.1</c:v>
                </c:pt>
                <c:pt idx="154">
                  <c:v>48.1</c:v>
                </c:pt>
                <c:pt idx="155">
                  <c:v>13.5</c:v>
                </c:pt>
                <c:pt idx="156">
                  <c:v>16</c:v>
                </c:pt>
                <c:pt idx="157">
                  <c:v>2.8</c:v>
                </c:pt>
                <c:pt idx="158">
                  <c:v>1.1000000000000001</c:v>
                </c:pt>
                <c:pt idx="159">
                  <c:v>63.6</c:v>
                </c:pt>
                <c:pt idx="160">
                  <c:v>35.6</c:v>
                </c:pt>
                <c:pt idx="161">
                  <c:v>13.5</c:v>
                </c:pt>
                <c:pt idx="162">
                  <c:v>27.2</c:v>
                </c:pt>
                <c:pt idx="163">
                  <c:v>23.3</c:v>
                </c:pt>
                <c:pt idx="164">
                  <c:v>1.3</c:v>
                </c:pt>
                <c:pt idx="165">
                  <c:v>0.1</c:v>
                </c:pt>
                <c:pt idx="166">
                  <c:v>0.9</c:v>
                </c:pt>
                <c:pt idx="167">
                  <c:v>0.06</c:v>
                </c:pt>
                <c:pt idx="168">
                  <c:v>34.4</c:v>
                </c:pt>
                <c:pt idx="169">
                  <c:v>5.8</c:v>
                </c:pt>
                <c:pt idx="170">
                  <c:v>123.4</c:v>
                </c:pt>
                <c:pt idx="171">
                  <c:v>8.6999999999999993</c:v>
                </c:pt>
                <c:pt idx="172">
                  <c:v>1.7</c:v>
                </c:pt>
                <c:pt idx="173">
                  <c:v>8.5</c:v>
                </c:pt>
                <c:pt idx="174">
                  <c:v>45.9</c:v>
                </c:pt>
                <c:pt idx="175">
                  <c:v>41.1</c:v>
                </c:pt>
                <c:pt idx="176">
                  <c:v>11.7</c:v>
                </c:pt>
                <c:pt idx="177">
                  <c:v>20</c:v>
                </c:pt>
                <c:pt idx="178">
                  <c:v>10.9</c:v>
                </c:pt>
                <c:pt idx="179">
                  <c:v>0.7</c:v>
                </c:pt>
                <c:pt idx="180">
                  <c:v>26.1</c:v>
                </c:pt>
                <c:pt idx="181">
                  <c:v>102.3</c:v>
                </c:pt>
                <c:pt idx="182">
                  <c:v>27.2</c:v>
                </c:pt>
                <c:pt idx="183">
                  <c:v>29.1</c:v>
                </c:pt>
                <c:pt idx="184">
                  <c:v>17.600000000000001</c:v>
                </c:pt>
                <c:pt idx="185">
                  <c:v>3.7</c:v>
                </c:pt>
                <c:pt idx="186">
                  <c:v>0.1</c:v>
                </c:pt>
                <c:pt idx="187">
                  <c:v>5.4</c:v>
                </c:pt>
                <c:pt idx="188">
                  <c:v>17.8</c:v>
                </c:pt>
                <c:pt idx="189">
                  <c:v>33.9</c:v>
                </c:pt>
                <c:pt idx="190">
                  <c:v>10.9</c:v>
                </c:pt>
                <c:pt idx="191">
                  <c:v>12.9</c:v>
                </c:pt>
                <c:pt idx="192">
                  <c:v>5.5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TII!$A$2:$A$194</c15:f>
                <c15:dlblRangeCache>
                  <c:ptCount val="193"/>
                  <c:pt idx="0">
                    <c:v>U.A.E.</c:v>
                  </c:pt>
                  <c:pt idx="1">
                    <c:v>Kuwait</c:v>
                  </c:pt>
                  <c:pt idx="3">
                    <c:v>Denmark</c:v>
                  </c:pt>
                  <c:pt idx="4">
                    <c:v>Qatar</c:v>
                  </c:pt>
                  <c:pt idx="5">
                    <c:v>South Korea</c:v>
                  </c:pt>
                  <c:pt idx="8">
                    <c:v>Singapore</c:v>
                  </c:pt>
                  <c:pt idx="9">
                    <c:v>Bahrain</c:v>
                  </c:pt>
                  <c:pt idx="11">
                    <c:v>Sweden</c:v>
                  </c:pt>
                  <c:pt idx="12">
                    <c:v>Malaysia</c:v>
                  </c:pt>
                  <c:pt idx="13">
                    <c:v>Saudi Arabia</c:v>
                  </c:pt>
                  <c:pt idx="14">
                    <c:v>Austria</c:v>
                  </c:pt>
                  <c:pt idx="15">
                    <c:v>Finland</c:v>
                  </c:pt>
                  <c:pt idx="16">
                    <c:v>Israel</c:v>
                  </c:pt>
                  <c:pt idx="17">
                    <c:v>U.K.</c:v>
                  </c:pt>
                  <c:pt idx="19">
                    <c:v>Estonia</c:v>
                  </c:pt>
                  <c:pt idx="20">
                    <c:v>Netherlands</c:v>
                  </c:pt>
                  <c:pt idx="21">
                    <c:v>Oman</c:v>
                  </c:pt>
                  <c:pt idx="22">
                    <c:v>Latvia</c:v>
                  </c:pt>
                  <c:pt idx="23">
                    <c:v>Norway</c:v>
                  </c:pt>
                  <c:pt idx="24">
                    <c:v>Libya</c:v>
                  </c:pt>
                  <c:pt idx="25">
                    <c:v>Lithuania</c:v>
                  </c:pt>
                  <c:pt idx="26">
                    <c:v>U.S.A.</c:v>
                  </c:pt>
                  <c:pt idx="27">
                    <c:v>Poland</c:v>
                  </c:pt>
                  <c:pt idx="28">
                    <c:v>Spain</c:v>
                  </c:pt>
                  <c:pt idx="29">
                    <c:v>Ireland</c:v>
                  </c:pt>
                  <c:pt idx="30">
                    <c:v>Switzerland</c:v>
                  </c:pt>
                  <c:pt idx="31">
                    <c:v>Russia</c:v>
                  </c:pt>
                  <c:pt idx="32">
                    <c:v>Australia</c:v>
                  </c:pt>
                  <c:pt idx="33">
                    <c:v>Japan</c:v>
                  </c:pt>
                  <c:pt idx="35">
                    <c:v>Chile</c:v>
                  </c:pt>
                  <c:pt idx="36">
                    <c:v>Uruguay</c:v>
                  </c:pt>
                  <c:pt idx="37">
                    <c:v>Thailand</c:v>
                  </c:pt>
                  <c:pt idx="38">
                    <c:v>Mongolia</c:v>
                  </c:pt>
                  <c:pt idx="39">
                    <c:v>Germany</c:v>
                  </c:pt>
                  <c:pt idx="40">
                    <c:v>Kazakhstan</c:v>
                  </c:pt>
                  <c:pt idx="43">
                    <c:v>France</c:v>
                  </c:pt>
                  <c:pt idx="44">
                    <c:v>Serbia</c:v>
                  </c:pt>
                  <c:pt idx="45">
                    <c:v>Czechia</c:v>
                  </c:pt>
                  <c:pt idx="46">
                    <c:v>Croatia</c:v>
                  </c:pt>
                  <c:pt idx="48">
                    <c:v>Bulgaria</c:v>
                  </c:pt>
                  <c:pt idx="49">
                    <c:v>Mauritius</c:v>
                  </c:pt>
                  <c:pt idx="50">
                    <c:v>Belarus</c:v>
                  </c:pt>
                  <c:pt idx="51">
                    <c:v>Slovenia</c:v>
                  </c:pt>
                  <c:pt idx="52">
                    <c:v>Georgia</c:v>
                  </c:pt>
                  <c:pt idx="53">
                    <c:v>Italy</c:v>
                  </c:pt>
                  <c:pt idx="54">
                    <c:v>China</c:v>
                  </c:pt>
                  <c:pt idx="55">
                    <c:v>Iran</c:v>
                  </c:pt>
                  <c:pt idx="56">
                    <c:v>Slovakia</c:v>
                  </c:pt>
                  <c:pt idx="57">
                    <c:v>Portugal</c:v>
                  </c:pt>
                  <c:pt idx="58">
                    <c:v>South Africa</c:v>
                  </c:pt>
                  <c:pt idx="59">
                    <c:v>Cyprus</c:v>
                  </c:pt>
                  <c:pt idx="60">
                    <c:v>Costa Rica</c:v>
                  </c:pt>
                  <c:pt idx="61">
                    <c:v>Romania</c:v>
                  </c:pt>
                  <c:pt idx="63">
                    <c:v>Morocco</c:v>
                  </c:pt>
                  <c:pt idx="64">
                    <c:v>Kyrgyzstan</c:v>
                  </c:pt>
                  <c:pt idx="65">
                    <c:v>Armenia</c:v>
                  </c:pt>
                  <c:pt idx="66">
                    <c:v>Vietnam</c:v>
                  </c:pt>
                  <c:pt idx="67">
                    <c:v>Uzbekistan</c:v>
                  </c:pt>
                  <c:pt idx="68">
                    <c:v>New Zealand</c:v>
                  </c:pt>
                  <c:pt idx="70">
                    <c:v>Belgium</c:v>
                  </c:pt>
                  <c:pt idx="72">
                    <c:v>Greece</c:v>
                  </c:pt>
                  <c:pt idx="74">
                    <c:v>Botswana</c:v>
                  </c:pt>
                  <c:pt idx="75">
                    <c:v>Indonesia</c:v>
                  </c:pt>
                  <c:pt idx="76">
                    <c:v>Panama</c:v>
                  </c:pt>
                  <c:pt idx="77">
                    <c:v>Ukraine</c:v>
                  </c:pt>
                  <c:pt idx="78">
                    <c:v>Argentina</c:v>
                  </c:pt>
                  <c:pt idx="79">
                    <c:v>Peru</c:v>
                  </c:pt>
                  <c:pt idx="80">
                    <c:v>Tunisia</c:v>
                  </c:pt>
                  <c:pt idx="81">
                    <c:v>Turkiye</c:v>
                  </c:pt>
                  <c:pt idx="82">
                    <c:v>Mexico</c:v>
                  </c:pt>
                  <c:pt idx="83">
                    <c:v>Hungary</c:v>
                  </c:pt>
                  <c:pt idx="84">
                    <c:v>Gabon</c:v>
                  </c:pt>
                  <c:pt idx="85">
                    <c:v>Azerbaijan</c:v>
                  </c:pt>
                  <c:pt idx="87">
                    <c:v>Algeria</c:v>
                  </c:pt>
                  <c:pt idx="88">
                    <c:v>Moldova</c:v>
                  </c:pt>
                  <c:pt idx="89">
                    <c:v>Canada</c:v>
                  </c:pt>
                  <c:pt idx="90">
                    <c:v>Brazil</c:v>
                  </c:pt>
                  <c:pt idx="91">
                    <c:v>Colombia</c:v>
                  </c:pt>
                  <c:pt idx="92">
                    <c:v>Paraguay</c:v>
                  </c:pt>
                  <c:pt idx="94">
                    <c:v>Sri Lanka</c:v>
                  </c:pt>
                  <c:pt idx="96">
                    <c:v>Eswatini</c:v>
                  </c:pt>
                  <c:pt idx="97">
                    <c:v>Bosnia and Herzegovina</c:v>
                  </c:pt>
                  <c:pt idx="98">
                    <c:v>Albania</c:v>
                  </c:pt>
                  <c:pt idx="99">
                    <c:v>Trinidad and Tobago</c:v>
                  </c:pt>
                  <c:pt idx="100">
                    <c:v>Nepal</c:v>
                  </c:pt>
                  <c:pt idx="102">
                    <c:v>Cambodia</c:v>
                  </c:pt>
                  <c:pt idx="103">
                    <c:v>Philippines</c:v>
                  </c:pt>
                  <c:pt idx="104">
                    <c:v>North Macedonia</c:v>
                  </c:pt>
                  <c:pt idx="105">
                    <c:v>El Salvador</c:v>
                  </c:pt>
                  <c:pt idx="107">
                    <c:v>Dominican Republic</c:v>
                  </c:pt>
                  <c:pt idx="108">
                    <c:v>Senegal</c:v>
                  </c:pt>
                  <c:pt idx="109">
                    <c:v>Jamaica</c:v>
                  </c:pt>
                  <c:pt idx="110">
                    <c:v>Namibia</c:v>
                  </c:pt>
                  <c:pt idx="111">
                    <c:v>Ghana</c:v>
                  </c:pt>
                  <c:pt idx="112">
                    <c:v>Bolivia</c:v>
                  </c:pt>
                  <c:pt idx="113">
                    <c:v>Egypt</c:v>
                  </c:pt>
                  <c:pt idx="115">
                    <c:v>Iraq</c:v>
                  </c:pt>
                  <c:pt idx="116">
                    <c:v>Ecuador</c:v>
                  </c:pt>
                  <c:pt idx="120">
                    <c:v>Côte d'Ivoire</c:v>
                  </c:pt>
                  <c:pt idx="121">
                    <c:v>Myanmar</c:v>
                  </c:pt>
                  <c:pt idx="122">
                    <c:v>Bangladesh</c:v>
                  </c:pt>
                  <c:pt idx="123">
                    <c:v>Jordan</c:v>
                  </c:pt>
                  <c:pt idx="125">
                    <c:v>Lebanon</c:v>
                  </c:pt>
                  <c:pt idx="128">
                    <c:v>Kenya</c:v>
                  </c:pt>
                  <c:pt idx="130">
                    <c:v>Nicaragua</c:v>
                  </c:pt>
                  <c:pt idx="131">
                    <c:v>Guatemala</c:v>
                  </c:pt>
                  <c:pt idx="132">
                    <c:v>Mauritania</c:v>
                  </c:pt>
                  <c:pt idx="133">
                    <c:v>Tajikistan</c:v>
                  </c:pt>
                  <c:pt idx="134">
                    <c:v>India</c:v>
                  </c:pt>
                  <c:pt idx="135">
                    <c:v>Venezuela</c:v>
                  </c:pt>
                  <c:pt idx="136">
                    <c:v>Laos</c:v>
                  </c:pt>
                  <c:pt idx="137">
                    <c:v>Cuba</c:v>
                  </c:pt>
                  <c:pt idx="139">
                    <c:v>Turkmenistan</c:v>
                  </c:pt>
                  <c:pt idx="140">
                    <c:v>Zambia</c:v>
                  </c:pt>
                  <c:pt idx="142">
                    <c:v>Guinea-Bissau</c:v>
                  </c:pt>
                  <c:pt idx="144">
                    <c:v>Nigeria</c:v>
                  </c:pt>
                  <c:pt idx="145">
                    <c:v>Benin</c:v>
                  </c:pt>
                  <c:pt idx="146">
                    <c:v>Honduras</c:v>
                  </c:pt>
                  <c:pt idx="148">
                    <c:v>Pakistan</c:v>
                  </c:pt>
                  <c:pt idx="150">
                    <c:v>Lesotho</c:v>
                  </c:pt>
                  <c:pt idx="152">
                    <c:v>Mali</c:v>
                  </c:pt>
                  <c:pt idx="153">
                    <c:v>Syria</c:v>
                  </c:pt>
                  <c:pt idx="154">
                    <c:v>Sudan</c:v>
                  </c:pt>
                  <c:pt idx="155">
                    <c:v>Guinea</c:v>
                  </c:pt>
                  <c:pt idx="156">
                    <c:v>Zimbabwe</c:v>
                  </c:pt>
                  <c:pt idx="157">
                    <c:v>Gambia</c:v>
                  </c:pt>
                  <c:pt idx="158">
                    <c:v>Djibouti</c:v>
                  </c:pt>
                  <c:pt idx="159">
                    <c:v>Tanzania</c:v>
                  </c:pt>
                  <c:pt idx="160">
                    <c:v>Angola</c:v>
                  </c:pt>
                  <c:pt idx="161">
                    <c:v>Rwanda</c:v>
                  </c:pt>
                  <c:pt idx="162">
                    <c:v>Cameroon</c:v>
                  </c:pt>
                  <c:pt idx="163">
                    <c:v>Burkina Faso</c:v>
                  </c:pt>
                  <c:pt idx="164">
                    <c:v>Timor-Leste</c:v>
                  </c:pt>
                  <c:pt idx="168">
                    <c:v>Yemen</c:v>
                  </c:pt>
                  <c:pt idx="169">
                    <c:v>Congo</c:v>
                  </c:pt>
                  <c:pt idx="170">
                    <c:v>Ethiopia</c:v>
                  </c:pt>
                  <c:pt idx="171">
                    <c:v>Sierra Leone</c:v>
                  </c:pt>
                  <c:pt idx="172">
                    <c:v>Equatorial Guinea</c:v>
                  </c:pt>
                  <c:pt idx="173">
                    <c:v>Togo</c:v>
                  </c:pt>
                  <c:pt idx="174">
                    <c:v>Uganda</c:v>
                  </c:pt>
                  <c:pt idx="175">
                    <c:v>Afghanistan</c:v>
                  </c:pt>
                  <c:pt idx="176">
                    <c:v>Haiti</c:v>
                  </c:pt>
                  <c:pt idx="177">
                    <c:v>Malawi</c:v>
                  </c:pt>
                  <c:pt idx="178">
                    <c:v>P.N.G.</c:v>
                  </c:pt>
                  <c:pt idx="180">
                    <c:v>North Korea</c:v>
                  </c:pt>
                  <c:pt idx="181">
                    <c:v>Democratic Republic of the Congo</c:v>
                  </c:pt>
                  <c:pt idx="182">
                    <c:v>Niger</c:v>
                  </c:pt>
                  <c:pt idx="183">
                    <c:v>Madagascar</c:v>
                  </c:pt>
                  <c:pt idx="184">
                    <c:v>Somalia</c:v>
                  </c:pt>
                  <c:pt idx="185">
                    <c:v>Eritrea</c:v>
                  </c:pt>
                  <c:pt idx="187">
                    <c:v>Liberia</c:v>
                  </c:pt>
                  <c:pt idx="188">
                    <c:v>Chad</c:v>
                  </c:pt>
                  <c:pt idx="189">
                    <c:v>Mozambique</c:v>
                  </c:pt>
                  <c:pt idx="190">
                    <c:v>South Sudan</c:v>
                  </c:pt>
                  <c:pt idx="191">
                    <c:v>Burundi</c:v>
                  </c:pt>
                  <c:pt idx="192">
                    <c:v>C.A.R.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DC-B90E-9049-A4A9-7D8FC97FEA8A}"/>
            </c:ext>
          </c:extLst>
        </c:ser>
        <c:ser>
          <c:idx val="1"/>
          <c:order val="1"/>
          <c:spPr>
            <a:solidFill>
              <a:srgbClr val="E97132">
                <a:alpha val="75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D-B90E-9049-A4A9-7D8FC97FEA8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E-B90E-9049-A4A9-7D8FC97FEA8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F-B90E-9049-A4A9-7D8FC97FEA8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0-B90E-9049-A4A9-7D8FC97FEA8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1-B90E-9049-A4A9-7D8FC97FEA8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2-B90E-9049-A4A9-7D8FC97FEA8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3-B90E-9049-A4A9-7D8FC97FEA8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4-B90E-9049-A4A9-7D8FC97FEA8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5-B90E-9049-A4A9-7D8FC97FEA8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1.0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6-B90E-9049-A4A9-7D8FC97FEA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0"/>
              <c:pt idx="0">
                <c:v>0.05</c:v>
              </c:pt>
              <c:pt idx="1">
                <c:v>0.05</c:v>
              </c:pt>
              <c:pt idx="2">
                <c:v>0.05</c:v>
              </c:pt>
              <c:pt idx="3">
                <c:v>0.05</c:v>
              </c:pt>
              <c:pt idx="4">
                <c:v>0.05</c:v>
              </c:pt>
              <c:pt idx="5">
                <c:v>0.05</c:v>
              </c:pt>
              <c:pt idx="6">
                <c:v>0.05</c:v>
              </c:pt>
              <c:pt idx="7">
                <c:v>0.05</c:v>
              </c:pt>
              <c:pt idx="8">
                <c:v>0.05</c:v>
              </c:pt>
              <c:pt idx="9">
                <c:v>0.05</c:v>
              </c:pt>
            </c:numLit>
          </c:xVal>
          <c:yVal>
            <c:numLit>
              <c:formatCode>General</c:formatCode>
              <c:ptCount val="10"/>
              <c:pt idx="0">
                <c:v>0.1</c:v>
              </c:pt>
              <c:pt idx="1">
                <c:v>0.2</c:v>
              </c:pt>
              <c:pt idx="2">
                <c:v>0.3</c:v>
              </c:pt>
              <c:pt idx="3">
                <c:v>0.4</c:v>
              </c:pt>
              <c:pt idx="4">
                <c:v>0.5</c:v>
              </c:pt>
              <c:pt idx="5">
                <c:v>0.6</c:v>
              </c:pt>
              <c:pt idx="6">
                <c:v>0.7</c:v>
              </c:pt>
              <c:pt idx="7">
                <c:v>0.8</c:v>
              </c:pt>
              <c:pt idx="8">
                <c:v>0.9</c:v>
              </c:pt>
              <c:pt idx="9">
                <c:v>1</c:v>
              </c:pt>
            </c:numLit>
          </c:yVal>
          <c:bubble3D val="0"/>
          <c:extLst>
            <c:ext xmlns:c15="http://schemas.microsoft.com/office/drawing/2012/chart" uri="{02D57815-91ED-43cb-92C2-25804820EDAC}">
              <c15:filteredSeriesTitle>
                <c15:tx>
                  <c:v>DummyYLabels</c:v>
                </c15:tx>
              </c15:filteredSeriesTitle>
            </c:ext>
            <c:ext xmlns:c16="http://schemas.microsoft.com/office/drawing/2014/chart" uri="{C3380CC4-5D6E-409C-BE32-E72D297353CC}">
              <c16:uniqueId val="{000001E7-B90E-9049-A4A9-7D8FC97FE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23347552"/>
        <c:axId val="323349264"/>
      </c:bubbleChart>
      <c:valAx>
        <c:axId val="323347552"/>
        <c:scaling>
          <c:logBase val="10"/>
          <c:orientation val="minMax"/>
          <c:max val="1500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99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9264"/>
        <c:crosses val="autoZero"/>
        <c:crossBetween val="midCat"/>
        <c:majorUnit val="10"/>
        <c:minorUnit val="10"/>
      </c:valAx>
      <c:valAx>
        <c:axId val="323349264"/>
        <c:scaling>
          <c:orientation val="minMax"/>
          <c:max val="1.04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7552"/>
        <c:crossesAt val="300"/>
        <c:crossBetween val="midCat"/>
        <c:majorUnit val="0.1"/>
        <c:minorUnit val="0.05"/>
      </c:valAx>
      <c:spPr>
        <a:noFill/>
        <a:ln w="254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0"/>
            </a:pPr>
            <a:r>
              <a:rPr lang="en-US" b="0"/>
              <a:t>EPI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35083478861055739"/>
          <c:y val="0.15608598945237778"/>
          <c:w val="0.51846972644254419"/>
          <c:h val="0.78897555393991825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F26-6D44-B409-5EF2D2DCB815}"/>
            </c:ext>
          </c:extLst>
        </c:ser>
        <c:ser>
          <c:idx val="1"/>
          <c:order val="1"/>
          <c:spPr>
            <a:solidFill>
              <a:srgbClr val="FF34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1-0F26-6D44-B409-5EF2D2DCB815}"/>
            </c:ext>
          </c:extLst>
        </c:ser>
        <c:ser>
          <c:idx val="2"/>
          <c:order val="2"/>
          <c:spPr>
            <a:solidFill>
              <a:srgbClr val="FF353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2-0F26-6D44-B409-5EF2D2DCB815}"/>
            </c:ext>
          </c:extLst>
        </c:ser>
        <c:ser>
          <c:idx val="3"/>
          <c:order val="3"/>
          <c:spPr>
            <a:solidFill>
              <a:srgbClr val="FF373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3-0F26-6D44-B409-5EF2D2DCB815}"/>
            </c:ext>
          </c:extLst>
        </c:ser>
        <c:ser>
          <c:idx val="4"/>
          <c:order val="4"/>
          <c:spPr>
            <a:solidFill>
              <a:srgbClr val="FF394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4-0F26-6D44-B409-5EF2D2DCB815}"/>
            </c:ext>
          </c:extLst>
        </c:ser>
        <c:ser>
          <c:idx val="5"/>
          <c:order val="5"/>
          <c:spPr>
            <a:solidFill>
              <a:srgbClr val="FF3A4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5-0F26-6D44-B409-5EF2D2DCB815}"/>
            </c:ext>
          </c:extLst>
        </c:ser>
        <c:ser>
          <c:idx val="6"/>
          <c:order val="6"/>
          <c:spPr>
            <a:solidFill>
              <a:srgbClr val="FF3C4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6-0F26-6D44-B409-5EF2D2DCB815}"/>
            </c:ext>
          </c:extLst>
        </c:ser>
        <c:ser>
          <c:idx val="7"/>
          <c:order val="7"/>
          <c:spPr>
            <a:solidFill>
              <a:srgbClr val="FF3E4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7-0F26-6D44-B409-5EF2D2DCB815}"/>
            </c:ext>
          </c:extLst>
        </c:ser>
        <c:ser>
          <c:idx val="8"/>
          <c:order val="8"/>
          <c:spPr>
            <a:solidFill>
              <a:srgbClr val="FF3F5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8-0F26-6D44-B409-5EF2D2DCB815}"/>
            </c:ext>
          </c:extLst>
        </c:ser>
        <c:ser>
          <c:idx val="9"/>
          <c:order val="9"/>
          <c:spPr>
            <a:solidFill>
              <a:srgbClr val="FF415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9-0F26-6D44-B409-5EF2D2DCB815}"/>
            </c:ext>
          </c:extLst>
        </c:ser>
        <c:ser>
          <c:idx val="10"/>
          <c:order val="10"/>
          <c:spPr>
            <a:solidFill>
              <a:srgbClr val="FF435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A-0F26-6D44-B409-5EF2D2DCB815}"/>
            </c:ext>
          </c:extLst>
        </c:ser>
        <c:ser>
          <c:idx val="11"/>
          <c:order val="11"/>
          <c:spPr>
            <a:solidFill>
              <a:srgbClr val="FF445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B-0F26-6D44-B409-5EF2D2DCB815}"/>
            </c:ext>
          </c:extLst>
        </c:ser>
        <c:ser>
          <c:idx val="12"/>
          <c:order val="12"/>
          <c:spPr>
            <a:solidFill>
              <a:srgbClr val="FF466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C-0F26-6D44-B409-5EF2D2DCB815}"/>
            </c:ext>
          </c:extLst>
        </c:ser>
        <c:ser>
          <c:idx val="13"/>
          <c:order val="13"/>
          <c:spPr>
            <a:solidFill>
              <a:srgbClr val="FF486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D-0F26-6D44-B409-5EF2D2DCB815}"/>
            </c:ext>
          </c:extLst>
        </c:ser>
        <c:ser>
          <c:idx val="14"/>
          <c:order val="14"/>
          <c:spPr>
            <a:solidFill>
              <a:srgbClr val="FF496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E-0F26-6D44-B409-5EF2D2DCB815}"/>
            </c:ext>
          </c:extLst>
        </c:ser>
        <c:ser>
          <c:idx val="15"/>
          <c:order val="15"/>
          <c:spPr>
            <a:solidFill>
              <a:srgbClr val="FF4B6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0F-0F26-6D44-B409-5EF2D2DCB815}"/>
            </c:ext>
          </c:extLst>
        </c:ser>
        <c:ser>
          <c:idx val="16"/>
          <c:order val="16"/>
          <c:spPr>
            <a:solidFill>
              <a:srgbClr val="FF4D7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0-0F26-6D44-B409-5EF2D2DCB815}"/>
            </c:ext>
          </c:extLst>
        </c:ser>
        <c:ser>
          <c:idx val="17"/>
          <c:order val="17"/>
          <c:spPr>
            <a:solidFill>
              <a:srgbClr val="FF4E7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1-0F26-6D44-B409-5EF2D2DCB815}"/>
            </c:ext>
          </c:extLst>
        </c:ser>
        <c:ser>
          <c:idx val="18"/>
          <c:order val="18"/>
          <c:spPr>
            <a:solidFill>
              <a:srgbClr val="FF50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2-0F26-6D44-B409-5EF2D2DCB815}"/>
            </c:ext>
          </c:extLst>
        </c:ser>
        <c:ser>
          <c:idx val="19"/>
          <c:order val="19"/>
          <c:spPr>
            <a:solidFill>
              <a:srgbClr val="FF52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3-0F26-6D44-B409-5EF2D2DCB815}"/>
            </c:ext>
          </c:extLst>
        </c:ser>
        <c:ser>
          <c:idx val="20"/>
          <c:order val="20"/>
          <c:spPr>
            <a:solidFill>
              <a:srgbClr val="FF538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4-0F26-6D44-B409-5EF2D2DCB815}"/>
            </c:ext>
          </c:extLst>
        </c:ser>
        <c:ser>
          <c:idx val="21"/>
          <c:order val="21"/>
          <c:spPr>
            <a:solidFill>
              <a:srgbClr val="FF558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5-0F26-6D44-B409-5EF2D2DCB815}"/>
            </c:ext>
          </c:extLst>
        </c:ser>
        <c:ser>
          <c:idx val="22"/>
          <c:order val="22"/>
          <c:spPr>
            <a:solidFill>
              <a:srgbClr val="FF578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6-0F26-6D44-B409-5EF2D2DCB815}"/>
            </c:ext>
          </c:extLst>
        </c:ser>
        <c:ser>
          <c:idx val="23"/>
          <c:order val="23"/>
          <c:spPr>
            <a:solidFill>
              <a:srgbClr val="FF58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7-0F26-6D44-B409-5EF2D2DCB815}"/>
            </c:ext>
          </c:extLst>
        </c:ser>
        <c:ser>
          <c:idx val="24"/>
          <c:order val="24"/>
          <c:spPr>
            <a:solidFill>
              <a:srgbClr val="FF5A9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8-0F26-6D44-B409-5EF2D2DCB815}"/>
            </c:ext>
          </c:extLst>
        </c:ser>
        <c:ser>
          <c:idx val="25"/>
          <c:order val="25"/>
          <c:spPr>
            <a:solidFill>
              <a:srgbClr val="FF5C9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9-0F26-6D44-B409-5EF2D2DCB815}"/>
            </c:ext>
          </c:extLst>
        </c:ser>
        <c:ser>
          <c:idx val="26"/>
          <c:order val="26"/>
          <c:spPr>
            <a:solidFill>
              <a:srgbClr val="FF5D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A-0F26-6D44-B409-5EF2D2DCB815}"/>
            </c:ext>
          </c:extLst>
        </c:ser>
        <c:ser>
          <c:idx val="27"/>
          <c:order val="27"/>
          <c:spPr>
            <a:solidFill>
              <a:srgbClr val="FF5F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B-0F26-6D44-B409-5EF2D2DCB815}"/>
            </c:ext>
          </c:extLst>
        </c:ser>
        <c:ser>
          <c:idx val="28"/>
          <c:order val="28"/>
          <c:spPr>
            <a:solidFill>
              <a:srgbClr val="FF61A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C-0F26-6D44-B409-5EF2D2DCB815}"/>
            </c:ext>
          </c:extLst>
        </c:ser>
        <c:ser>
          <c:idx val="29"/>
          <c:order val="29"/>
          <c:spPr>
            <a:solidFill>
              <a:srgbClr val="FF62A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D-0F26-6D44-B409-5EF2D2DCB815}"/>
            </c:ext>
          </c:extLst>
        </c:ser>
        <c:ser>
          <c:idx val="30"/>
          <c:order val="30"/>
          <c:spPr>
            <a:solidFill>
              <a:srgbClr val="FF64A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E-0F26-6D44-B409-5EF2D2DCB815}"/>
            </c:ext>
          </c:extLst>
        </c:ser>
        <c:ser>
          <c:idx val="31"/>
          <c:order val="31"/>
          <c:spPr>
            <a:solidFill>
              <a:srgbClr val="FF66B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1F-0F26-6D44-B409-5EF2D2DCB815}"/>
            </c:ext>
          </c:extLst>
        </c:ser>
        <c:ser>
          <c:idx val="32"/>
          <c:order val="32"/>
          <c:spPr>
            <a:solidFill>
              <a:srgbClr val="FF67B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0-0F26-6D44-B409-5EF2D2DCB815}"/>
            </c:ext>
          </c:extLst>
        </c:ser>
        <c:ser>
          <c:idx val="33"/>
          <c:order val="33"/>
          <c:spPr>
            <a:solidFill>
              <a:srgbClr val="FF69B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1-0F26-6D44-B409-5EF2D2DCB815}"/>
            </c:ext>
          </c:extLst>
        </c:ser>
        <c:ser>
          <c:idx val="34"/>
          <c:order val="34"/>
          <c:spPr>
            <a:solidFill>
              <a:srgbClr val="FF6B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2-0F26-6D44-B409-5EF2D2DCB815}"/>
            </c:ext>
          </c:extLst>
        </c:ser>
        <c:ser>
          <c:idx val="35"/>
          <c:order val="35"/>
          <c:spPr>
            <a:solidFill>
              <a:srgbClr val="FF6CC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3-0F26-6D44-B409-5EF2D2DCB815}"/>
            </c:ext>
          </c:extLst>
        </c:ser>
        <c:ser>
          <c:idx val="36"/>
          <c:order val="36"/>
          <c:spPr>
            <a:solidFill>
              <a:srgbClr val="FF6EC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4-0F26-6D44-B409-5EF2D2DCB815}"/>
            </c:ext>
          </c:extLst>
        </c:ser>
        <c:ser>
          <c:idx val="37"/>
          <c:order val="37"/>
          <c:spPr>
            <a:solidFill>
              <a:srgbClr val="FF70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5-0F26-6D44-B409-5EF2D2DCB815}"/>
            </c:ext>
          </c:extLst>
        </c:ser>
        <c:ser>
          <c:idx val="38"/>
          <c:order val="38"/>
          <c:spPr>
            <a:solidFill>
              <a:srgbClr val="FF71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6-0F26-6D44-B409-5EF2D2DCB815}"/>
            </c:ext>
          </c:extLst>
        </c:ser>
        <c:ser>
          <c:idx val="39"/>
          <c:order val="39"/>
          <c:spPr>
            <a:solidFill>
              <a:srgbClr val="FF73D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7-0F26-6D44-B409-5EF2D2DCB815}"/>
            </c:ext>
          </c:extLst>
        </c:ser>
        <c:ser>
          <c:idx val="40"/>
          <c:order val="40"/>
          <c:spPr>
            <a:solidFill>
              <a:srgbClr val="FF75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8-0F26-6D44-B409-5EF2D2DCB815}"/>
            </c:ext>
          </c:extLst>
        </c:ser>
        <c:ser>
          <c:idx val="41"/>
          <c:order val="41"/>
          <c:spPr>
            <a:solidFill>
              <a:srgbClr val="FF76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9-0F26-6D44-B409-5EF2D2DCB815}"/>
            </c:ext>
          </c:extLst>
        </c:ser>
        <c:ser>
          <c:idx val="42"/>
          <c:order val="42"/>
          <c:spPr>
            <a:solidFill>
              <a:srgbClr val="FF78D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A-0F26-6D44-B409-5EF2D2DCB815}"/>
            </c:ext>
          </c:extLst>
        </c:ser>
        <c:ser>
          <c:idx val="43"/>
          <c:order val="43"/>
          <c:spPr>
            <a:solidFill>
              <a:srgbClr val="FF79E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B-0F26-6D44-B409-5EF2D2DCB815}"/>
            </c:ext>
          </c:extLst>
        </c:ser>
        <c:ser>
          <c:idx val="44"/>
          <c:order val="44"/>
          <c:spPr>
            <a:solidFill>
              <a:srgbClr val="FF7B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C-0F26-6D44-B409-5EF2D2DCB815}"/>
            </c:ext>
          </c:extLst>
        </c:ser>
        <c:ser>
          <c:idx val="45"/>
          <c:order val="45"/>
          <c:spPr>
            <a:solidFill>
              <a:srgbClr val="FF7D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D-0F26-6D44-B409-5EF2D2DCB815}"/>
            </c:ext>
          </c:extLst>
        </c:ser>
        <c:ser>
          <c:idx val="46"/>
          <c:order val="46"/>
          <c:spPr>
            <a:solidFill>
              <a:srgbClr val="FF7E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E-0F26-6D44-B409-5EF2D2DCB815}"/>
            </c:ext>
          </c:extLst>
        </c:ser>
        <c:ser>
          <c:idx val="47"/>
          <c:order val="47"/>
          <c:spPr>
            <a:solidFill>
              <a:srgbClr val="FF80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2F-0F26-6D44-B409-5EF2D2DCB815}"/>
            </c:ext>
          </c:extLst>
        </c:ser>
        <c:ser>
          <c:idx val="48"/>
          <c:order val="48"/>
          <c:spPr>
            <a:solidFill>
              <a:srgbClr val="FF82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0-0F26-6D44-B409-5EF2D2DCB815}"/>
            </c:ext>
          </c:extLst>
        </c:ser>
        <c:ser>
          <c:idx val="49"/>
          <c:order val="49"/>
          <c:spPr>
            <a:solidFill>
              <a:srgbClr val="FF83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1-0F26-6D44-B409-5EF2D2DCB815}"/>
            </c:ext>
          </c:extLst>
        </c:ser>
        <c:ser>
          <c:idx val="50"/>
          <c:order val="50"/>
          <c:spPr>
            <a:solidFill>
              <a:srgbClr val="FF85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2-0F26-6D44-B409-5EF2D2DCB815}"/>
            </c:ext>
          </c:extLst>
        </c:ser>
        <c:ser>
          <c:idx val="51"/>
          <c:order val="51"/>
          <c:spPr>
            <a:solidFill>
              <a:srgbClr val="FA88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3-0F26-6D44-B409-5EF2D2DCB815}"/>
            </c:ext>
          </c:extLst>
        </c:ser>
        <c:ser>
          <c:idx val="52"/>
          <c:order val="52"/>
          <c:spPr>
            <a:solidFill>
              <a:srgbClr val="F58A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4-0F26-6D44-B409-5EF2D2DCB815}"/>
            </c:ext>
          </c:extLst>
        </c:ser>
        <c:ser>
          <c:idx val="53"/>
          <c:order val="53"/>
          <c:spPr>
            <a:solidFill>
              <a:srgbClr val="F08C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5-0F26-6D44-B409-5EF2D2DCB815}"/>
            </c:ext>
          </c:extLst>
        </c:ser>
        <c:ser>
          <c:idx val="54"/>
          <c:order val="54"/>
          <c:spPr>
            <a:solidFill>
              <a:srgbClr val="EB8F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6-0F26-6D44-B409-5EF2D2DCB815}"/>
            </c:ext>
          </c:extLst>
        </c:ser>
        <c:ser>
          <c:idx val="55"/>
          <c:order val="55"/>
          <c:spPr>
            <a:solidFill>
              <a:srgbClr val="E691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7-0F26-6D44-B409-5EF2D2DCB815}"/>
            </c:ext>
          </c:extLst>
        </c:ser>
        <c:ser>
          <c:idx val="56"/>
          <c:order val="56"/>
          <c:spPr>
            <a:solidFill>
              <a:srgbClr val="E094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8-0F26-6D44-B409-5EF2D2DCB815}"/>
            </c:ext>
          </c:extLst>
        </c:ser>
        <c:ser>
          <c:idx val="57"/>
          <c:order val="57"/>
          <c:spPr>
            <a:solidFill>
              <a:srgbClr val="DB96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9-0F26-6D44-B409-5EF2D2DCB815}"/>
            </c:ext>
          </c:extLst>
        </c:ser>
        <c:ser>
          <c:idx val="58"/>
          <c:order val="58"/>
          <c:spPr>
            <a:solidFill>
              <a:srgbClr val="D698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A-0F26-6D44-B409-5EF2D2DCB815}"/>
            </c:ext>
          </c:extLst>
        </c:ser>
        <c:ser>
          <c:idx val="59"/>
          <c:order val="59"/>
          <c:spPr>
            <a:solidFill>
              <a:srgbClr val="D19B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B-0F26-6D44-B409-5EF2D2DCB815}"/>
            </c:ext>
          </c:extLst>
        </c:ser>
        <c:ser>
          <c:idx val="60"/>
          <c:order val="60"/>
          <c:spPr>
            <a:solidFill>
              <a:srgbClr val="CC9D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C-0F26-6D44-B409-5EF2D2DCB815}"/>
            </c:ext>
          </c:extLst>
        </c:ser>
        <c:ser>
          <c:idx val="61"/>
          <c:order val="61"/>
          <c:spPr>
            <a:solidFill>
              <a:srgbClr val="C7A0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D-0F26-6D44-B409-5EF2D2DCB815}"/>
            </c:ext>
          </c:extLst>
        </c:ser>
        <c:ser>
          <c:idx val="62"/>
          <c:order val="62"/>
          <c:spPr>
            <a:solidFill>
              <a:srgbClr val="C2A2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E-0F26-6D44-B409-5EF2D2DCB815}"/>
            </c:ext>
          </c:extLst>
        </c:ser>
        <c:ser>
          <c:idx val="63"/>
          <c:order val="63"/>
          <c:spPr>
            <a:solidFill>
              <a:srgbClr val="BDA5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3F-0F26-6D44-B409-5EF2D2DCB815}"/>
            </c:ext>
          </c:extLst>
        </c:ser>
        <c:ser>
          <c:idx val="64"/>
          <c:order val="64"/>
          <c:spPr>
            <a:solidFill>
              <a:srgbClr val="B8A7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0-0F26-6D44-B409-5EF2D2DCB815}"/>
            </c:ext>
          </c:extLst>
        </c:ser>
        <c:ser>
          <c:idx val="65"/>
          <c:order val="65"/>
          <c:spPr>
            <a:solidFill>
              <a:srgbClr val="B3A9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1-0F26-6D44-B409-5EF2D2DCB815}"/>
            </c:ext>
          </c:extLst>
        </c:ser>
        <c:ser>
          <c:idx val="66"/>
          <c:order val="66"/>
          <c:spPr>
            <a:solidFill>
              <a:srgbClr val="AEAC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2-0F26-6D44-B409-5EF2D2DCB815}"/>
            </c:ext>
          </c:extLst>
        </c:ser>
        <c:ser>
          <c:idx val="67"/>
          <c:order val="67"/>
          <c:spPr>
            <a:solidFill>
              <a:srgbClr val="A9AE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3-0F26-6D44-B409-5EF2D2DCB815}"/>
            </c:ext>
          </c:extLst>
        </c:ser>
        <c:ser>
          <c:idx val="68"/>
          <c:order val="68"/>
          <c:spPr>
            <a:solidFill>
              <a:srgbClr val="A4B1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4-0F26-6D44-B409-5EF2D2DCB815}"/>
            </c:ext>
          </c:extLst>
        </c:ser>
        <c:ser>
          <c:idx val="69"/>
          <c:order val="69"/>
          <c:spPr>
            <a:solidFill>
              <a:srgbClr val="9FB3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5-0F26-6D44-B409-5EF2D2DCB815}"/>
            </c:ext>
          </c:extLst>
        </c:ser>
        <c:ser>
          <c:idx val="70"/>
          <c:order val="70"/>
          <c:spPr>
            <a:solidFill>
              <a:srgbClr val="9AB5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6-0F26-6D44-B409-5EF2D2DCB815}"/>
            </c:ext>
          </c:extLst>
        </c:ser>
        <c:ser>
          <c:idx val="71"/>
          <c:order val="71"/>
          <c:spPr>
            <a:solidFill>
              <a:srgbClr val="95B8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7-0F26-6D44-B409-5EF2D2DCB815}"/>
            </c:ext>
          </c:extLst>
        </c:ser>
        <c:ser>
          <c:idx val="72"/>
          <c:order val="72"/>
          <c:spPr>
            <a:solidFill>
              <a:srgbClr val="90BA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8-0F26-6D44-B409-5EF2D2DCB815}"/>
            </c:ext>
          </c:extLst>
        </c:ser>
        <c:ser>
          <c:idx val="73"/>
          <c:order val="73"/>
          <c:spPr>
            <a:solidFill>
              <a:srgbClr val="8BBD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9-0F26-6D44-B409-5EF2D2DCB815}"/>
            </c:ext>
          </c:extLst>
        </c:ser>
        <c:ser>
          <c:idx val="74"/>
          <c:order val="74"/>
          <c:spPr>
            <a:solidFill>
              <a:srgbClr val="86BF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A-0F26-6D44-B409-5EF2D2DCB815}"/>
            </c:ext>
          </c:extLst>
        </c:ser>
        <c:ser>
          <c:idx val="75"/>
          <c:order val="75"/>
          <c:spPr>
            <a:solidFill>
              <a:srgbClr val="81C1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B-0F26-6D44-B409-5EF2D2DCB815}"/>
            </c:ext>
          </c:extLst>
        </c:ser>
        <c:ser>
          <c:idx val="76"/>
          <c:order val="76"/>
          <c:spPr>
            <a:solidFill>
              <a:srgbClr val="7CC4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C-0F26-6D44-B409-5EF2D2DCB815}"/>
            </c:ext>
          </c:extLst>
        </c:ser>
        <c:ser>
          <c:idx val="77"/>
          <c:order val="77"/>
          <c:spPr>
            <a:solidFill>
              <a:srgbClr val="77C6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D-0F26-6D44-B409-5EF2D2DCB815}"/>
            </c:ext>
          </c:extLst>
        </c:ser>
        <c:ser>
          <c:idx val="78"/>
          <c:order val="78"/>
          <c:spPr>
            <a:solidFill>
              <a:srgbClr val="71C9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E-0F26-6D44-B409-5EF2D2DCB815}"/>
            </c:ext>
          </c:extLst>
        </c:ser>
        <c:ser>
          <c:idx val="79"/>
          <c:order val="79"/>
          <c:spPr>
            <a:solidFill>
              <a:srgbClr val="6CCB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4F-0F26-6D44-B409-5EF2D2DCB815}"/>
            </c:ext>
          </c:extLst>
        </c:ser>
        <c:ser>
          <c:idx val="80"/>
          <c:order val="80"/>
          <c:spPr>
            <a:solidFill>
              <a:srgbClr val="67CE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0-0F26-6D44-B409-5EF2D2DCB815}"/>
            </c:ext>
          </c:extLst>
        </c:ser>
        <c:ser>
          <c:idx val="81"/>
          <c:order val="81"/>
          <c:spPr>
            <a:solidFill>
              <a:srgbClr val="62D0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1-0F26-6D44-B409-5EF2D2DCB815}"/>
            </c:ext>
          </c:extLst>
        </c:ser>
        <c:ser>
          <c:idx val="82"/>
          <c:order val="82"/>
          <c:spPr>
            <a:solidFill>
              <a:srgbClr val="5DD2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2-0F26-6D44-B409-5EF2D2DCB815}"/>
            </c:ext>
          </c:extLst>
        </c:ser>
        <c:ser>
          <c:idx val="83"/>
          <c:order val="83"/>
          <c:spPr>
            <a:solidFill>
              <a:srgbClr val="58D5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3-0F26-6D44-B409-5EF2D2DCB815}"/>
            </c:ext>
          </c:extLst>
        </c:ser>
        <c:ser>
          <c:idx val="84"/>
          <c:order val="84"/>
          <c:spPr>
            <a:solidFill>
              <a:srgbClr val="53D7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4-0F26-6D44-B409-5EF2D2DCB815}"/>
            </c:ext>
          </c:extLst>
        </c:ser>
        <c:ser>
          <c:idx val="85"/>
          <c:order val="85"/>
          <c:spPr>
            <a:solidFill>
              <a:srgbClr val="4EDA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5-0F26-6D44-B409-5EF2D2DCB815}"/>
            </c:ext>
          </c:extLst>
        </c:ser>
        <c:ser>
          <c:idx val="86"/>
          <c:order val="86"/>
          <c:spPr>
            <a:solidFill>
              <a:srgbClr val="49DC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6-0F26-6D44-B409-5EF2D2DCB815}"/>
            </c:ext>
          </c:extLst>
        </c:ser>
        <c:ser>
          <c:idx val="87"/>
          <c:order val="87"/>
          <c:spPr>
            <a:solidFill>
              <a:srgbClr val="44DE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7-0F26-6D44-B409-5EF2D2DCB815}"/>
            </c:ext>
          </c:extLst>
        </c:ser>
        <c:ser>
          <c:idx val="88"/>
          <c:order val="88"/>
          <c:spPr>
            <a:solidFill>
              <a:srgbClr val="3FE1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8-0F26-6D44-B409-5EF2D2DCB815}"/>
            </c:ext>
          </c:extLst>
        </c:ser>
        <c:ser>
          <c:idx val="89"/>
          <c:order val="89"/>
          <c:spPr>
            <a:solidFill>
              <a:srgbClr val="3AE3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9-0F26-6D44-B409-5EF2D2DCB815}"/>
            </c:ext>
          </c:extLst>
        </c:ser>
        <c:ser>
          <c:idx val="90"/>
          <c:order val="90"/>
          <c:spPr>
            <a:solidFill>
              <a:srgbClr val="35E6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A-0F26-6D44-B409-5EF2D2DCB815}"/>
            </c:ext>
          </c:extLst>
        </c:ser>
        <c:ser>
          <c:idx val="91"/>
          <c:order val="91"/>
          <c:spPr>
            <a:solidFill>
              <a:srgbClr val="30E8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B-0F26-6D44-B409-5EF2D2DCB815}"/>
            </c:ext>
          </c:extLst>
        </c:ser>
        <c:ser>
          <c:idx val="92"/>
          <c:order val="92"/>
          <c:spPr>
            <a:solidFill>
              <a:srgbClr val="2BEA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C-0F26-6D44-B409-5EF2D2DCB815}"/>
            </c:ext>
          </c:extLst>
        </c:ser>
        <c:ser>
          <c:idx val="93"/>
          <c:order val="93"/>
          <c:spPr>
            <a:solidFill>
              <a:srgbClr val="26ED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D-0F26-6D44-B409-5EF2D2DCB815}"/>
            </c:ext>
          </c:extLst>
        </c:ser>
        <c:ser>
          <c:idx val="94"/>
          <c:order val="94"/>
          <c:spPr>
            <a:solidFill>
              <a:srgbClr val="21EF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E-0F26-6D44-B409-5EF2D2DCB815}"/>
            </c:ext>
          </c:extLst>
        </c:ser>
        <c:ser>
          <c:idx val="95"/>
          <c:order val="95"/>
          <c:spPr>
            <a:solidFill>
              <a:srgbClr val="1CF2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5F-0F26-6D44-B409-5EF2D2DCB815}"/>
            </c:ext>
          </c:extLst>
        </c:ser>
        <c:ser>
          <c:idx val="96"/>
          <c:order val="96"/>
          <c:spPr>
            <a:solidFill>
              <a:srgbClr val="17F4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0-0F26-6D44-B409-5EF2D2DCB815}"/>
            </c:ext>
          </c:extLst>
        </c:ser>
        <c:ser>
          <c:idx val="97"/>
          <c:order val="97"/>
          <c:spPr>
            <a:solidFill>
              <a:srgbClr val="12F7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1-0F26-6D44-B409-5EF2D2DCB815}"/>
            </c:ext>
          </c:extLst>
        </c:ser>
        <c:ser>
          <c:idx val="98"/>
          <c:order val="98"/>
          <c:spPr>
            <a:solidFill>
              <a:srgbClr val="0DF9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2-0F26-6D44-B409-5EF2D2DCB815}"/>
            </c:ext>
          </c:extLst>
        </c:ser>
        <c:ser>
          <c:idx val="99"/>
          <c:order val="99"/>
          <c:spPr>
            <a:solidFill>
              <a:srgbClr val="08FB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3-0F26-6D44-B409-5EF2D2DCB815}"/>
            </c:ext>
          </c:extLst>
        </c:ser>
        <c:ser>
          <c:idx val="100"/>
          <c:order val="100"/>
          <c:spPr>
            <a:solidFill>
              <a:srgbClr val="03FEE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0.01</c:v>
              </c:pt>
            </c:numLit>
          </c:val>
          <c:extLst>
            <c:ext xmlns:c16="http://schemas.microsoft.com/office/drawing/2014/chart" uri="{C3380CC4-5D6E-409C-BE32-E72D297353CC}">
              <c16:uniqueId val="{00000064-0F26-6D44-B409-5EF2D2DCB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403632"/>
        <c:axId val="1138009183"/>
      </c:barChart>
      <c:catAx>
        <c:axId val="9140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8009183"/>
        <c:crosses val="autoZero"/>
        <c:auto val="1"/>
        <c:lblAlgn val="ctr"/>
        <c:lblOffset val="100"/>
        <c:noMultiLvlLbl val="0"/>
      </c:catAx>
      <c:valAx>
        <c:axId val="1138009183"/>
        <c:scaling>
          <c:orientation val="minMax"/>
          <c:max val="1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1403632"/>
        <c:crosses val="autoZero"/>
        <c:crossBetween val="between"/>
        <c:majorUnit val="0.25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0"/>
            </a:pPr>
            <a:r>
              <a:rPr lang="en-GB" b="0"/>
              <a:t>HCI</a:t>
            </a:r>
          </a:p>
        </c:rich>
      </c:tx>
      <c:layout>
        <c:manualLayout>
          <c:xMode val="edge"/>
          <c:yMode val="edge"/>
          <c:x val="0.32192506109150149"/>
          <c:y val="4.02684563758389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8511448999909487"/>
          <c:y val="0.1738564181155208"/>
          <c:w val="0.46241469816272968"/>
          <c:h val="0.77644850182317815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0.1</c:v>
              </c:pt>
            </c:numLit>
          </c:val>
          <c:extLst>
            <c:ext xmlns:c16="http://schemas.microsoft.com/office/drawing/2014/chart" uri="{C3380CC4-5D6E-409C-BE32-E72D297353CC}">
              <c16:uniqueId val="{00000004-12D5-4E49-B471-799C9CAAFAF2}"/>
            </c:ext>
          </c:extLst>
        </c:ser>
        <c:ser>
          <c:idx val="1"/>
          <c:order val="1"/>
          <c:spPr>
            <a:solidFill>
              <a:srgbClr val="FF34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5-12D5-4E49-B471-799C9CAAFAF2}"/>
            </c:ext>
          </c:extLst>
        </c:ser>
        <c:ser>
          <c:idx val="2"/>
          <c:order val="2"/>
          <c:spPr>
            <a:solidFill>
              <a:srgbClr val="FF35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6-12D5-4E49-B471-799C9CAAFAF2}"/>
            </c:ext>
          </c:extLst>
        </c:ser>
        <c:ser>
          <c:idx val="3"/>
          <c:order val="3"/>
          <c:spPr>
            <a:solidFill>
              <a:srgbClr val="FF363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7-12D5-4E49-B471-799C9CAAFAF2}"/>
            </c:ext>
          </c:extLst>
        </c:ser>
        <c:ser>
          <c:idx val="4"/>
          <c:order val="4"/>
          <c:spPr>
            <a:solidFill>
              <a:srgbClr val="FF383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8-12D5-4E49-B471-799C9CAAFAF2}"/>
            </c:ext>
          </c:extLst>
        </c:ser>
        <c:ser>
          <c:idx val="5"/>
          <c:order val="5"/>
          <c:spPr>
            <a:solidFill>
              <a:srgbClr val="FF394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9-12D5-4E49-B471-799C9CAAFAF2}"/>
            </c:ext>
          </c:extLst>
        </c:ser>
        <c:ser>
          <c:idx val="6"/>
          <c:order val="6"/>
          <c:spPr>
            <a:solidFill>
              <a:srgbClr val="FF3A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A-12D5-4E49-B471-799C9CAAFAF2}"/>
            </c:ext>
          </c:extLst>
        </c:ser>
        <c:ser>
          <c:idx val="7"/>
          <c:order val="7"/>
          <c:spPr>
            <a:solidFill>
              <a:srgbClr val="FF3C4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B-12D5-4E49-B471-799C9CAAFAF2}"/>
            </c:ext>
          </c:extLst>
        </c:ser>
        <c:ser>
          <c:idx val="8"/>
          <c:order val="8"/>
          <c:spPr>
            <a:solidFill>
              <a:srgbClr val="FF3D4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C-12D5-4E49-B471-799C9CAAFAF2}"/>
            </c:ext>
          </c:extLst>
        </c:ser>
        <c:ser>
          <c:idx val="9"/>
          <c:order val="9"/>
          <c:spPr>
            <a:solidFill>
              <a:srgbClr val="FF3E4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D-12D5-4E49-B471-799C9CAAFAF2}"/>
            </c:ext>
          </c:extLst>
        </c:ser>
        <c:ser>
          <c:idx val="10"/>
          <c:order val="10"/>
          <c:spPr>
            <a:solidFill>
              <a:srgbClr val="FF405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E-12D5-4E49-B471-799C9CAAFAF2}"/>
            </c:ext>
          </c:extLst>
        </c:ser>
        <c:ser>
          <c:idx val="11"/>
          <c:order val="11"/>
          <c:spPr>
            <a:solidFill>
              <a:srgbClr val="FF415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0F-12D5-4E49-B471-799C9CAAFAF2}"/>
            </c:ext>
          </c:extLst>
        </c:ser>
        <c:ser>
          <c:idx val="12"/>
          <c:order val="12"/>
          <c:spPr>
            <a:solidFill>
              <a:srgbClr val="FF425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0-12D5-4E49-B471-799C9CAAFAF2}"/>
            </c:ext>
          </c:extLst>
        </c:ser>
        <c:ser>
          <c:idx val="13"/>
          <c:order val="13"/>
          <c:spPr>
            <a:solidFill>
              <a:srgbClr val="FF445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1-12D5-4E49-B471-799C9CAAFAF2}"/>
            </c:ext>
          </c:extLst>
        </c:ser>
        <c:ser>
          <c:idx val="14"/>
          <c:order val="14"/>
          <c:spPr>
            <a:solidFill>
              <a:srgbClr val="FF456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2-12D5-4E49-B471-799C9CAAFAF2}"/>
            </c:ext>
          </c:extLst>
        </c:ser>
        <c:ser>
          <c:idx val="15"/>
          <c:order val="15"/>
          <c:spPr>
            <a:solidFill>
              <a:srgbClr val="FF466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3-12D5-4E49-B471-799C9CAAFAF2}"/>
            </c:ext>
          </c:extLst>
        </c:ser>
        <c:ser>
          <c:idx val="16"/>
          <c:order val="16"/>
          <c:spPr>
            <a:solidFill>
              <a:srgbClr val="FF48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4-12D5-4E49-B471-799C9CAAFAF2}"/>
            </c:ext>
          </c:extLst>
        </c:ser>
        <c:ser>
          <c:idx val="17"/>
          <c:order val="17"/>
          <c:spPr>
            <a:solidFill>
              <a:srgbClr val="FF496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5-12D5-4E49-B471-799C9CAAFAF2}"/>
            </c:ext>
          </c:extLst>
        </c:ser>
        <c:ser>
          <c:idx val="18"/>
          <c:order val="18"/>
          <c:spPr>
            <a:solidFill>
              <a:srgbClr val="FF4A6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6-12D5-4E49-B471-799C9CAAFAF2}"/>
            </c:ext>
          </c:extLst>
        </c:ser>
        <c:ser>
          <c:idx val="19"/>
          <c:order val="19"/>
          <c:spPr>
            <a:solidFill>
              <a:srgbClr val="FF4C7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7-12D5-4E49-B471-799C9CAAFAF2}"/>
            </c:ext>
          </c:extLst>
        </c:ser>
        <c:ser>
          <c:idx val="20"/>
          <c:order val="20"/>
          <c:spPr>
            <a:solidFill>
              <a:srgbClr val="FF4D7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8-12D5-4E49-B471-799C9CAAFAF2}"/>
            </c:ext>
          </c:extLst>
        </c:ser>
        <c:ser>
          <c:idx val="21"/>
          <c:order val="21"/>
          <c:spPr>
            <a:solidFill>
              <a:srgbClr val="FF4E7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9-12D5-4E49-B471-799C9CAAFAF2}"/>
            </c:ext>
          </c:extLst>
        </c:ser>
        <c:ser>
          <c:idx val="22"/>
          <c:order val="22"/>
          <c:spPr>
            <a:solidFill>
              <a:srgbClr val="FF507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A-12D5-4E49-B471-799C9CAAFAF2}"/>
            </c:ext>
          </c:extLst>
        </c:ser>
        <c:ser>
          <c:idx val="23"/>
          <c:order val="23"/>
          <c:spPr>
            <a:solidFill>
              <a:srgbClr val="FF517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B-12D5-4E49-B471-799C9CAAFAF2}"/>
            </c:ext>
          </c:extLst>
        </c:ser>
        <c:ser>
          <c:idx val="24"/>
          <c:order val="24"/>
          <c:spPr>
            <a:solidFill>
              <a:srgbClr val="FF528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C-12D5-4E49-B471-799C9CAAFAF2}"/>
            </c:ext>
          </c:extLst>
        </c:ser>
        <c:ser>
          <c:idx val="25"/>
          <c:order val="25"/>
          <c:spPr>
            <a:solidFill>
              <a:srgbClr val="FF548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D-12D5-4E49-B471-799C9CAAFAF2}"/>
            </c:ext>
          </c:extLst>
        </c:ser>
        <c:ser>
          <c:idx val="26"/>
          <c:order val="26"/>
          <c:spPr>
            <a:solidFill>
              <a:srgbClr val="FF558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E-12D5-4E49-B471-799C9CAAFAF2}"/>
            </c:ext>
          </c:extLst>
        </c:ser>
        <c:ser>
          <c:idx val="27"/>
          <c:order val="27"/>
          <c:spPr>
            <a:solidFill>
              <a:srgbClr val="FF56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1F-12D5-4E49-B471-799C9CAAFAF2}"/>
            </c:ext>
          </c:extLst>
        </c:ser>
        <c:ser>
          <c:idx val="28"/>
          <c:order val="28"/>
          <c:spPr>
            <a:solidFill>
              <a:srgbClr val="FF58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0-12D5-4E49-B471-799C9CAAFAF2}"/>
            </c:ext>
          </c:extLst>
        </c:ser>
        <c:ser>
          <c:idx val="29"/>
          <c:order val="29"/>
          <c:spPr>
            <a:solidFill>
              <a:srgbClr val="FF599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1-12D5-4E49-B471-799C9CAAFAF2}"/>
            </c:ext>
          </c:extLst>
        </c:ser>
        <c:ser>
          <c:idx val="30"/>
          <c:order val="30"/>
          <c:spPr>
            <a:solidFill>
              <a:srgbClr val="FF5A9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2-12D5-4E49-B471-799C9CAAFAF2}"/>
            </c:ext>
          </c:extLst>
        </c:ser>
        <c:ser>
          <c:idx val="31"/>
          <c:order val="31"/>
          <c:spPr>
            <a:solidFill>
              <a:srgbClr val="FF5C9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3-12D5-4E49-B471-799C9CAAFAF2}"/>
            </c:ext>
          </c:extLst>
        </c:ser>
        <c:ser>
          <c:idx val="32"/>
          <c:order val="32"/>
          <c:spPr>
            <a:solidFill>
              <a:srgbClr val="FF5D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4-12D5-4E49-B471-799C9CAAFAF2}"/>
            </c:ext>
          </c:extLst>
        </c:ser>
        <c:ser>
          <c:idx val="33"/>
          <c:order val="33"/>
          <c:spPr>
            <a:solidFill>
              <a:srgbClr val="FF5E9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5-12D5-4E49-B471-799C9CAAFAF2}"/>
            </c:ext>
          </c:extLst>
        </c:ser>
        <c:ser>
          <c:idx val="34"/>
          <c:order val="34"/>
          <c:spPr>
            <a:solidFill>
              <a:srgbClr val="FF60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6-12D5-4E49-B471-799C9CAAFAF2}"/>
            </c:ext>
          </c:extLst>
        </c:ser>
        <c:ser>
          <c:idx val="35"/>
          <c:order val="35"/>
          <c:spPr>
            <a:solidFill>
              <a:srgbClr val="FF61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7-12D5-4E49-B471-799C9CAAFAF2}"/>
            </c:ext>
          </c:extLst>
        </c:ser>
        <c:ser>
          <c:idx val="36"/>
          <c:order val="36"/>
          <c:spPr>
            <a:solidFill>
              <a:srgbClr val="FF62A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8-12D5-4E49-B471-799C9CAAFAF2}"/>
            </c:ext>
          </c:extLst>
        </c:ser>
        <c:ser>
          <c:idx val="37"/>
          <c:order val="37"/>
          <c:spPr>
            <a:solidFill>
              <a:srgbClr val="FF64A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9-12D5-4E49-B471-799C9CAAFAF2}"/>
            </c:ext>
          </c:extLst>
        </c:ser>
        <c:ser>
          <c:idx val="38"/>
          <c:order val="38"/>
          <c:spPr>
            <a:solidFill>
              <a:srgbClr val="FF65B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A-12D5-4E49-B471-799C9CAAFAF2}"/>
            </c:ext>
          </c:extLst>
        </c:ser>
        <c:ser>
          <c:idx val="39"/>
          <c:order val="39"/>
          <c:spPr>
            <a:solidFill>
              <a:srgbClr val="FF66B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B-12D5-4E49-B471-799C9CAAFAF2}"/>
            </c:ext>
          </c:extLst>
        </c:ser>
        <c:ser>
          <c:idx val="40"/>
          <c:order val="40"/>
          <c:spPr>
            <a:solidFill>
              <a:srgbClr val="FF68B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C-12D5-4E49-B471-799C9CAAFAF2}"/>
            </c:ext>
          </c:extLst>
        </c:ser>
        <c:ser>
          <c:idx val="41"/>
          <c:order val="41"/>
          <c:spPr>
            <a:solidFill>
              <a:srgbClr val="FF69B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D-12D5-4E49-B471-799C9CAAFAF2}"/>
            </c:ext>
          </c:extLst>
        </c:ser>
        <c:ser>
          <c:idx val="42"/>
          <c:order val="42"/>
          <c:spPr>
            <a:solidFill>
              <a:srgbClr val="FF6A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E-12D5-4E49-B471-799C9CAAFAF2}"/>
            </c:ext>
          </c:extLst>
        </c:ser>
        <c:ser>
          <c:idx val="43"/>
          <c:order val="43"/>
          <c:spPr>
            <a:solidFill>
              <a:srgbClr val="FF6CC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2F-12D5-4E49-B471-799C9CAAFAF2}"/>
            </c:ext>
          </c:extLst>
        </c:ser>
        <c:ser>
          <c:idx val="44"/>
          <c:order val="44"/>
          <c:spPr>
            <a:solidFill>
              <a:srgbClr val="FF6DC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0-12D5-4E49-B471-799C9CAAFAF2}"/>
            </c:ext>
          </c:extLst>
        </c:ser>
        <c:ser>
          <c:idx val="45"/>
          <c:order val="45"/>
          <c:spPr>
            <a:solidFill>
              <a:srgbClr val="FF6EC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1-12D5-4E49-B471-799C9CAAFAF2}"/>
            </c:ext>
          </c:extLst>
        </c:ser>
        <c:ser>
          <c:idx val="46"/>
          <c:order val="46"/>
          <c:spPr>
            <a:solidFill>
              <a:srgbClr val="FF70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2-12D5-4E49-B471-799C9CAAFAF2}"/>
            </c:ext>
          </c:extLst>
        </c:ser>
        <c:ser>
          <c:idx val="47"/>
          <c:order val="47"/>
          <c:spPr>
            <a:solidFill>
              <a:srgbClr val="FF71C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3-12D5-4E49-B471-799C9CAAFAF2}"/>
            </c:ext>
          </c:extLst>
        </c:ser>
        <c:ser>
          <c:idx val="48"/>
          <c:order val="48"/>
          <c:spPr>
            <a:solidFill>
              <a:srgbClr val="FF72D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4-12D5-4E49-B471-799C9CAAFAF2}"/>
            </c:ext>
          </c:extLst>
        </c:ser>
        <c:ser>
          <c:idx val="49"/>
          <c:order val="49"/>
          <c:spPr>
            <a:solidFill>
              <a:srgbClr val="FF74D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5-12D5-4E49-B471-799C9CAAFAF2}"/>
            </c:ext>
          </c:extLst>
        </c:ser>
        <c:ser>
          <c:idx val="50"/>
          <c:order val="50"/>
          <c:spPr>
            <a:solidFill>
              <a:srgbClr val="FF75D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6-12D5-4E49-B471-799C9CAAFAF2}"/>
            </c:ext>
          </c:extLst>
        </c:ser>
        <c:ser>
          <c:idx val="51"/>
          <c:order val="51"/>
          <c:spPr>
            <a:solidFill>
              <a:srgbClr val="FF76D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7-12D5-4E49-B471-799C9CAAFAF2}"/>
            </c:ext>
          </c:extLst>
        </c:ser>
        <c:ser>
          <c:idx val="52"/>
          <c:order val="52"/>
          <c:spPr>
            <a:solidFill>
              <a:srgbClr val="FF78D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8-12D5-4E49-B471-799C9CAAFAF2}"/>
            </c:ext>
          </c:extLst>
        </c:ser>
        <c:ser>
          <c:idx val="53"/>
          <c:order val="53"/>
          <c:spPr>
            <a:solidFill>
              <a:srgbClr val="FF79E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9-12D5-4E49-B471-799C9CAAFAF2}"/>
            </c:ext>
          </c:extLst>
        </c:ser>
        <c:ser>
          <c:idx val="54"/>
          <c:order val="54"/>
          <c:spPr>
            <a:solidFill>
              <a:srgbClr val="FF7AE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A-12D5-4E49-B471-799C9CAAFAF2}"/>
            </c:ext>
          </c:extLst>
        </c:ser>
        <c:ser>
          <c:idx val="55"/>
          <c:order val="55"/>
          <c:spPr>
            <a:solidFill>
              <a:srgbClr val="FF7CE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B-12D5-4E49-B471-799C9CAAFAF2}"/>
            </c:ext>
          </c:extLst>
        </c:ser>
        <c:ser>
          <c:idx val="56"/>
          <c:order val="56"/>
          <c:spPr>
            <a:solidFill>
              <a:srgbClr val="FF7D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C-12D5-4E49-B471-799C9CAAFAF2}"/>
            </c:ext>
          </c:extLst>
        </c:ser>
        <c:ser>
          <c:idx val="57"/>
          <c:order val="57"/>
          <c:spPr>
            <a:solidFill>
              <a:srgbClr val="FF7E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D-12D5-4E49-B471-799C9CAAFAF2}"/>
            </c:ext>
          </c:extLst>
        </c:ser>
        <c:ser>
          <c:idx val="58"/>
          <c:order val="58"/>
          <c:spPr>
            <a:solidFill>
              <a:srgbClr val="FF80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E-12D5-4E49-B471-799C9CAAFAF2}"/>
            </c:ext>
          </c:extLst>
        </c:ser>
        <c:ser>
          <c:idx val="59"/>
          <c:order val="59"/>
          <c:spPr>
            <a:solidFill>
              <a:srgbClr val="FF81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3F-12D5-4E49-B471-799C9CAAFAF2}"/>
            </c:ext>
          </c:extLst>
        </c:ser>
        <c:ser>
          <c:idx val="60"/>
          <c:order val="60"/>
          <c:spPr>
            <a:solidFill>
              <a:srgbClr val="FF82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0-12D5-4E49-B471-799C9CAAFAF2}"/>
            </c:ext>
          </c:extLst>
        </c:ser>
        <c:ser>
          <c:idx val="61"/>
          <c:order val="61"/>
          <c:spPr>
            <a:solidFill>
              <a:srgbClr val="FF84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1-12D5-4E49-B471-799C9CAAFAF2}"/>
            </c:ext>
          </c:extLst>
        </c:ser>
        <c:ser>
          <c:idx val="62"/>
          <c:order val="62"/>
          <c:spPr>
            <a:solidFill>
              <a:srgbClr val="FF85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2-12D5-4E49-B471-799C9CAAFAF2}"/>
            </c:ext>
          </c:extLst>
        </c:ser>
        <c:ser>
          <c:idx val="63"/>
          <c:order val="63"/>
          <c:spPr>
            <a:solidFill>
              <a:srgbClr val="F888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3-12D5-4E49-B471-799C9CAAFAF2}"/>
            </c:ext>
          </c:extLst>
        </c:ser>
        <c:ser>
          <c:idx val="64"/>
          <c:order val="64"/>
          <c:spPr>
            <a:solidFill>
              <a:srgbClr val="F18C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4-12D5-4E49-B471-799C9CAAFAF2}"/>
            </c:ext>
          </c:extLst>
        </c:ser>
        <c:ser>
          <c:idx val="65"/>
          <c:order val="65"/>
          <c:spPr>
            <a:solidFill>
              <a:srgbClr val="EB8F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5-12D5-4E49-B471-799C9CAAFAF2}"/>
            </c:ext>
          </c:extLst>
        </c:ser>
        <c:ser>
          <c:idx val="66"/>
          <c:order val="66"/>
          <c:spPr>
            <a:solidFill>
              <a:srgbClr val="E492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6-12D5-4E49-B471-799C9CAAFAF2}"/>
            </c:ext>
          </c:extLst>
        </c:ser>
        <c:ser>
          <c:idx val="67"/>
          <c:order val="67"/>
          <c:spPr>
            <a:solidFill>
              <a:srgbClr val="DE95F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7-12D5-4E49-B471-799C9CAAFAF2}"/>
            </c:ext>
          </c:extLst>
        </c:ser>
        <c:ser>
          <c:idx val="68"/>
          <c:order val="68"/>
          <c:spPr>
            <a:solidFill>
              <a:srgbClr val="D798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8-12D5-4E49-B471-799C9CAAFAF2}"/>
            </c:ext>
          </c:extLst>
        </c:ser>
        <c:ser>
          <c:idx val="69"/>
          <c:order val="69"/>
          <c:spPr>
            <a:solidFill>
              <a:srgbClr val="D09BF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9-12D5-4E49-B471-799C9CAAFAF2}"/>
            </c:ext>
          </c:extLst>
        </c:ser>
        <c:ser>
          <c:idx val="70"/>
          <c:order val="70"/>
          <c:spPr>
            <a:solidFill>
              <a:srgbClr val="CA9F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A-12D5-4E49-B471-799C9CAAFAF2}"/>
            </c:ext>
          </c:extLst>
        </c:ser>
        <c:ser>
          <c:idx val="71"/>
          <c:order val="71"/>
          <c:spPr>
            <a:solidFill>
              <a:srgbClr val="C3A2F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B-12D5-4E49-B471-799C9CAAFAF2}"/>
            </c:ext>
          </c:extLst>
        </c:ser>
        <c:ser>
          <c:idx val="72"/>
          <c:order val="72"/>
          <c:spPr>
            <a:solidFill>
              <a:srgbClr val="BCA5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C-12D5-4E49-B471-799C9CAAFAF2}"/>
            </c:ext>
          </c:extLst>
        </c:ser>
        <c:ser>
          <c:idx val="73"/>
          <c:order val="73"/>
          <c:spPr>
            <a:solidFill>
              <a:srgbClr val="B6A8F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D-12D5-4E49-B471-799C9CAAFAF2}"/>
            </c:ext>
          </c:extLst>
        </c:ser>
        <c:ser>
          <c:idx val="74"/>
          <c:order val="74"/>
          <c:spPr>
            <a:solidFill>
              <a:srgbClr val="AFAB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E-12D5-4E49-B471-799C9CAAFAF2}"/>
            </c:ext>
          </c:extLst>
        </c:ser>
        <c:ser>
          <c:idx val="75"/>
          <c:order val="75"/>
          <c:spPr>
            <a:solidFill>
              <a:srgbClr val="A9AEF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4F-12D5-4E49-B471-799C9CAAFAF2}"/>
            </c:ext>
          </c:extLst>
        </c:ser>
        <c:ser>
          <c:idx val="76"/>
          <c:order val="76"/>
          <c:spPr>
            <a:solidFill>
              <a:srgbClr val="A2B1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0-12D5-4E49-B471-799C9CAAFAF2}"/>
            </c:ext>
          </c:extLst>
        </c:ser>
        <c:ser>
          <c:idx val="77"/>
          <c:order val="77"/>
          <c:spPr>
            <a:solidFill>
              <a:srgbClr val="9BB5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1-12D5-4E49-B471-799C9CAAFAF2}"/>
            </c:ext>
          </c:extLst>
        </c:ser>
        <c:ser>
          <c:idx val="78"/>
          <c:order val="78"/>
          <c:spPr>
            <a:solidFill>
              <a:srgbClr val="95B8F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2-12D5-4E49-B471-799C9CAAFAF2}"/>
            </c:ext>
          </c:extLst>
        </c:ser>
        <c:ser>
          <c:idx val="79"/>
          <c:order val="79"/>
          <c:spPr>
            <a:solidFill>
              <a:srgbClr val="8EBB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3-12D5-4E49-B471-799C9CAAFAF2}"/>
            </c:ext>
          </c:extLst>
        </c:ser>
        <c:ser>
          <c:idx val="80"/>
          <c:order val="80"/>
          <c:spPr>
            <a:solidFill>
              <a:srgbClr val="88BEF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4-12D5-4E49-B471-799C9CAAFAF2}"/>
            </c:ext>
          </c:extLst>
        </c:ser>
        <c:ser>
          <c:idx val="81"/>
          <c:order val="81"/>
          <c:spPr>
            <a:solidFill>
              <a:srgbClr val="81C1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5-12D5-4E49-B471-799C9CAAFAF2}"/>
            </c:ext>
          </c:extLst>
        </c:ser>
        <c:ser>
          <c:idx val="82"/>
          <c:order val="82"/>
          <c:spPr>
            <a:solidFill>
              <a:srgbClr val="7AC4F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6-12D5-4E49-B471-799C9CAAFAF2}"/>
            </c:ext>
          </c:extLst>
        </c:ser>
        <c:ser>
          <c:idx val="83"/>
          <c:order val="83"/>
          <c:spPr>
            <a:solidFill>
              <a:srgbClr val="74C8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7-12D5-4E49-B471-799C9CAAFAF2}"/>
            </c:ext>
          </c:extLst>
        </c:ser>
        <c:ser>
          <c:idx val="84"/>
          <c:order val="84"/>
          <c:spPr>
            <a:solidFill>
              <a:srgbClr val="6DCBF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8-12D5-4E49-B471-799C9CAAFAF2}"/>
            </c:ext>
          </c:extLst>
        </c:ser>
        <c:ser>
          <c:idx val="85"/>
          <c:order val="85"/>
          <c:spPr>
            <a:solidFill>
              <a:srgbClr val="66CE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9-12D5-4E49-B471-799C9CAAFAF2}"/>
            </c:ext>
          </c:extLst>
        </c:ser>
        <c:ser>
          <c:idx val="86"/>
          <c:order val="86"/>
          <c:spPr>
            <a:solidFill>
              <a:srgbClr val="60D1F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A-12D5-4E49-B471-799C9CAAFAF2}"/>
            </c:ext>
          </c:extLst>
        </c:ser>
        <c:ser>
          <c:idx val="87"/>
          <c:order val="87"/>
          <c:spPr>
            <a:solidFill>
              <a:srgbClr val="59D4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B-12D5-4E49-B471-799C9CAAFAF2}"/>
            </c:ext>
          </c:extLst>
        </c:ser>
        <c:ser>
          <c:idx val="88"/>
          <c:order val="88"/>
          <c:spPr>
            <a:solidFill>
              <a:srgbClr val="53D7F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C-12D5-4E49-B471-799C9CAAFAF2}"/>
            </c:ext>
          </c:extLst>
        </c:ser>
        <c:ser>
          <c:idx val="89"/>
          <c:order val="89"/>
          <c:spPr>
            <a:solidFill>
              <a:srgbClr val="4CDB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D-12D5-4E49-B471-799C9CAAFAF2}"/>
            </c:ext>
          </c:extLst>
        </c:ser>
        <c:ser>
          <c:idx val="90"/>
          <c:order val="90"/>
          <c:spPr>
            <a:solidFill>
              <a:srgbClr val="45DEF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E-12D5-4E49-B471-799C9CAAFAF2}"/>
            </c:ext>
          </c:extLst>
        </c:ser>
        <c:ser>
          <c:idx val="91"/>
          <c:order val="91"/>
          <c:spPr>
            <a:solidFill>
              <a:srgbClr val="3FE1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5F-12D5-4E49-B471-799C9CAAFAF2}"/>
            </c:ext>
          </c:extLst>
        </c:ser>
        <c:ser>
          <c:idx val="92"/>
          <c:order val="92"/>
          <c:spPr>
            <a:solidFill>
              <a:srgbClr val="38E4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0-12D5-4E49-B471-799C9CAAFAF2}"/>
            </c:ext>
          </c:extLst>
        </c:ser>
        <c:ser>
          <c:idx val="93"/>
          <c:order val="93"/>
          <c:spPr>
            <a:solidFill>
              <a:srgbClr val="32E7F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1-12D5-4E49-B471-799C9CAAFAF2}"/>
            </c:ext>
          </c:extLst>
        </c:ser>
        <c:ser>
          <c:idx val="94"/>
          <c:order val="94"/>
          <c:spPr>
            <a:solidFill>
              <a:srgbClr val="2BEA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2-12D5-4E49-B471-799C9CAAFAF2}"/>
            </c:ext>
          </c:extLst>
        </c:ser>
        <c:ser>
          <c:idx val="95"/>
          <c:order val="95"/>
          <c:spPr>
            <a:solidFill>
              <a:srgbClr val="24EEF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3-12D5-4E49-B471-799C9CAAFAF2}"/>
            </c:ext>
          </c:extLst>
        </c:ser>
        <c:ser>
          <c:idx val="96"/>
          <c:order val="96"/>
          <c:spPr>
            <a:solidFill>
              <a:srgbClr val="1EF1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4-12D5-4E49-B471-799C9CAAFAF2}"/>
            </c:ext>
          </c:extLst>
        </c:ser>
        <c:ser>
          <c:idx val="97"/>
          <c:order val="97"/>
          <c:spPr>
            <a:solidFill>
              <a:srgbClr val="17F4E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5-12D5-4E49-B471-799C9CAAFAF2}"/>
            </c:ext>
          </c:extLst>
        </c:ser>
        <c:ser>
          <c:idx val="98"/>
          <c:order val="98"/>
          <c:spPr>
            <a:solidFill>
              <a:srgbClr val="11F7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6-12D5-4E49-B471-799C9CAAFAF2}"/>
            </c:ext>
          </c:extLst>
        </c:ser>
        <c:ser>
          <c:idx val="99"/>
          <c:order val="99"/>
          <c:spPr>
            <a:solidFill>
              <a:srgbClr val="0AFAE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7-12D5-4E49-B471-799C9CAAFAF2}"/>
            </c:ext>
          </c:extLst>
        </c:ser>
        <c:ser>
          <c:idx val="100"/>
          <c:order val="100"/>
          <c:spPr>
            <a:solidFill>
              <a:srgbClr val="03FDE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9.0000000000000011E-3</c:v>
              </c:pt>
            </c:numLit>
          </c:val>
          <c:extLst>
            <c:ext xmlns:c16="http://schemas.microsoft.com/office/drawing/2014/chart" uri="{C3380CC4-5D6E-409C-BE32-E72D297353CC}">
              <c16:uniqueId val="{00000068-12D5-4E49-B471-799C9CAAF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0875808"/>
        <c:axId val="640877520"/>
      </c:barChart>
      <c:catAx>
        <c:axId val="640875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0877520"/>
        <c:crosses val="autoZero"/>
        <c:auto val="1"/>
        <c:lblAlgn val="ctr"/>
        <c:lblOffset val="100"/>
        <c:noMultiLvlLbl val="0"/>
      </c:catAx>
      <c:valAx>
        <c:axId val="640877520"/>
        <c:scaling>
          <c:orientation val="minMax"/>
          <c:max val="1"/>
          <c:min val="0.1"/>
        </c:scaling>
        <c:delete val="0"/>
        <c:axPos val="l"/>
        <c:numFmt formatCode="0.00" sourceLinked="0"/>
        <c:majorTickMark val="out"/>
        <c:minorTickMark val="none"/>
        <c:tickLblPos val="nextTo"/>
        <c:crossAx val="640875808"/>
        <c:crosses val="autoZero"/>
        <c:crossBetween val="between"/>
        <c:majorUnit val="0.1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07676833254392E-2"/>
          <c:y val="9.6618886632550888E-2"/>
          <c:w val="0.91356821570458457"/>
          <c:h val="0.79725871561955797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1BA5C7">
                  <a:alpha val="35000"/>
                </a:srgbClr>
              </a:solidFill>
              <a:ln w="9525" cap="flat" cmpd="sng" algn="ctr">
                <a:solidFill>
                  <a:srgbClr val="1BA5C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D1-FB48-90BE-9749A987148D}"/>
              </c:ext>
            </c:extLst>
          </c:dPt>
          <c:dPt>
            <c:idx val="2"/>
            <c:invertIfNegative val="0"/>
            <c:bubble3D val="0"/>
            <c:spPr>
              <a:solidFill>
                <a:srgbClr val="02F8EA">
                  <a:alpha val="35000"/>
                </a:srgbClr>
              </a:solidFill>
              <a:ln w="9525" cap="flat" cmpd="sng" algn="ctr">
                <a:solidFill>
                  <a:srgbClr val="02F8E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D1-FB48-90BE-9749A987148D}"/>
              </c:ext>
            </c:extLst>
          </c:dPt>
          <c:dPt>
            <c:idx val="3"/>
            <c:invertIfNegative val="0"/>
            <c:bubble3D val="0"/>
            <c:spPr>
              <a:solidFill>
                <a:srgbClr val="14BDD1">
                  <a:alpha val="35000"/>
                </a:srgbClr>
              </a:solidFill>
              <a:ln w="9525" cap="flat" cmpd="sng" algn="ctr">
                <a:solidFill>
                  <a:srgbClr val="14BDD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D1-FB48-90BE-9749A987148D}"/>
              </c:ext>
            </c:extLst>
          </c:dPt>
          <c:dPt>
            <c:idx val="5"/>
            <c:invertIfNegative val="0"/>
            <c:bubble3D val="0"/>
            <c:spPr>
              <a:solidFill>
                <a:srgbClr val="2972B2">
                  <a:alpha val="35000"/>
                </a:srgbClr>
              </a:solidFill>
              <a:ln w="9525" cap="flat" cmpd="sng" algn="ctr">
                <a:solidFill>
                  <a:srgbClr val="2972B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D1-FB48-90BE-9749A987148D}"/>
              </c:ext>
            </c:extLst>
          </c:dPt>
          <c:dPt>
            <c:idx val="8"/>
            <c:invertIfNegative val="0"/>
            <c:bubble3D val="0"/>
            <c:spPr>
              <a:solidFill>
                <a:srgbClr val="1E99C2">
                  <a:alpha val="35000"/>
                </a:srgbClr>
              </a:solidFill>
              <a:ln w="9525" cap="flat" cmpd="sng" algn="ctr">
                <a:solidFill>
                  <a:srgbClr val="1E99C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0D1-FB48-90BE-9749A987148D}"/>
              </c:ext>
            </c:extLst>
          </c:dPt>
          <c:dPt>
            <c:idx val="9"/>
            <c:invertIfNegative val="0"/>
            <c:bubble3D val="0"/>
            <c:spPr>
              <a:solidFill>
                <a:srgbClr val="3E2C95">
                  <a:alpha val="35000"/>
                </a:srgbClr>
              </a:solidFill>
              <a:ln w="9525" cap="flat" cmpd="sng" algn="ctr">
                <a:solidFill>
                  <a:srgbClr val="3E2C95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0D1-FB48-90BE-9749A987148D}"/>
              </c:ext>
            </c:extLst>
          </c:dPt>
          <c:dPt>
            <c:idx val="11"/>
            <c:invertIfNegative val="0"/>
            <c:bubble3D val="0"/>
            <c:spPr>
              <a:solidFill>
                <a:srgbClr val="228BBC">
                  <a:alpha val="35000"/>
                </a:srgbClr>
              </a:solidFill>
              <a:ln w="9525" cap="flat" cmpd="sng" algn="ctr">
                <a:solidFill>
                  <a:srgbClr val="228BB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0D1-FB48-90BE-9749A987148D}"/>
              </c:ext>
            </c:extLst>
          </c:dPt>
          <c:dPt>
            <c:idx val="13"/>
            <c:invertIfNegative val="0"/>
            <c:bubble3D val="0"/>
            <c:spPr>
              <a:solidFill>
                <a:srgbClr val="2C6AAE">
                  <a:alpha val="35000"/>
                </a:srgbClr>
              </a:solidFill>
              <a:ln w="9525" cap="flat" cmpd="sng" algn="ctr">
                <a:solidFill>
                  <a:srgbClr val="2C6AAE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B-40D1-FB48-90BE-9749A987148D}"/>
              </c:ext>
            </c:extLst>
          </c:dPt>
          <c:dPt>
            <c:idx val="14"/>
            <c:invertIfNegative val="0"/>
            <c:bubble3D val="0"/>
            <c:spPr>
              <a:solidFill>
                <a:srgbClr val="2F60AA">
                  <a:alpha val="35000"/>
                </a:srgbClr>
              </a:solidFill>
              <a:ln w="9525" cap="flat" cmpd="sng" algn="ctr">
                <a:solidFill>
                  <a:srgbClr val="2F60A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D-40D1-FB48-90BE-9749A987148D}"/>
              </c:ext>
            </c:extLst>
          </c:dPt>
          <c:dPt>
            <c:idx val="15"/>
            <c:invertIfNegative val="0"/>
            <c:bubble3D val="0"/>
            <c:spPr>
              <a:solidFill>
                <a:srgbClr val="08E5E2">
                  <a:alpha val="35000"/>
                </a:srgbClr>
              </a:solidFill>
              <a:ln w="9525" cap="flat" cmpd="sng" algn="ctr">
                <a:solidFill>
                  <a:srgbClr val="08E5E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F-40D1-FB48-90BE-9749A987148D}"/>
              </c:ext>
            </c:extLst>
          </c:dPt>
          <c:dPt>
            <c:idx val="16"/>
            <c:invertIfNegative val="0"/>
            <c:bubble3D val="0"/>
            <c:spPr>
              <a:solidFill>
                <a:srgbClr val="3B3699">
                  <a:alpha val="35000"/>
                </a:srgbClr>
              </a:solidFill>
              <a:ln w="9525" cap="flat" cmpd="sng" algn="ctr">
                <a:solidFill>
                  <a:srgbClr val="3B369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1-40D1-FB48-90BE-9749A987148D}"/>
              </c:ext>
            </c:extLst>
          </c:dPt>
          <c:dPt>
            <c:idx val="17"/>
            <c:invertIfNegative val="0"/>
            <c:bubble3D val="0"/>
            <c:spPr>
              <a:solidFill>
                <a:srgbClr val="1AA7C8">
                  <a:alpha val="35000"/>
                </a:srgbClr>
              </a:solidFill>
              <a:ln w="9525" cap="flat" cmpd="sng" algn="ctr">
                <a:solidFill>
                  <a:srgbClr val="1AA7C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3-40D1-FB48-90BE-9749A987148D}"/>
              </c:ext>
            </c:extLst>
          </c:dPt>
          <c:dPt>
            <c:idx val="19"/>
            <c:invertIfNegative val="0"/>
            <c:bubble3D val="0"/>
            <c:spPr>
              <a:solidFill>
                <a:srgbClr val="18AFCB">
                  <a:alpha val="35000"/>
                </a:srgbClr>
              </a:solidFill>
              <a:ln w="9525" cap="flat" cmpd="sng" algn="ctr">
                <a:solidFill>
                  <a:srgbClr val="18AFC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7-40D1-FB48-90BE-9749A987148D}"/>
              </c:ext>
            </c:extLst>
          </c:dPt>
          <c:dPt>
            <c:idx val="20"/>
            <c:invertIfNegative val="0"/>
            <c:bubble3D val="0"/>
            <c:spPr>
              <a:solidFill>
                <a:srgbClr val="0FCDD8">
                  <a:alpha val="35000"/>
                </a:srgbClr>
              </a:solidFill>
              <a:ln w="9525" cap="flat" cmpd="sng" algn="ctr">
                <a:solidFill>
                  <a:srgbClr val="0FCDD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9-40D1-FB48-90BE-9749A987148D}"/>
              </c:ext>
            </c:extLst>
          </c:dPt>
          <c:dPt>
            <c:idx val="23"/>
            <c:invertIfNegative val="0"/>
            <c:bubble3D val="0"/>
            <c:spPr>
              <a:solidFill>
                <a:srgbClr val="277BB6">
                  <a:alpha val="35000"/>
                </a:srgbClr>
              </a:solidFill>
              <a:ln w="9525" cap="flat" cmpd="sng" algn="ctr">
                <a:solidFill>
                  <a:srgbClr val="277BB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F-40D1-FB48-90BE-9749A987148D}"/>
              </c:ext>
            </c:extLst>
          </c:dPt>
          <c:dPt>
            <c:idx val="25"/>
            <c:invertIfNegative val="0"/>
            <c:bubble3D val="0"/>
            <c:spPr>
              <a:solidFill>
                <a:srgbClr val="3549A1">
                  <a:alpha val="35000"/>
                </a:srgbClr>
              </a:solidFill>
              <a:ln w="9525" cap="flat" cmpd="sng" algn="ctr">
                <a:solidFill>
                  <a:srgbClr val="3549A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3-40D1-FB48-90BE-9749A987148D}"/>
              </c:ext>
            </c:extLst>
          </c:dPt>
          <c:dPt>
            <c:idx val="26"/>
            <c:invertIfNegative val="0"/>
            <c:bubble3D val="0"/>
            <c:spPr>
              <a:solidFill>
                <a:srgbClr val="36469F">
                  <a:alpha val="35000"/>
                </a:srgbClr>
              </a:solidFill>
              <a:ln w="9525" cap="flat" cmpd="sng" algn="ctr">
                <a:solidFill>
                  <a:srgbClr val="36469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5-40D1-FB48-90BE-9749A987148D}"/>
              </c:ext>
            </c:extLst>
          </c:dPt>
          <c:dPt>
            <c:idx val="28"/>
            <c:invertIfNegative val="0"/>
            <c:bubble3D val="0"/>
            <c:spPr>
              <a:solidFill>
                <a:srgbClr val="3159A7">
                  <a:alpha val="35000"/>
                </a:srgbClr>
              </a:solidFill>
              <a:ln w="9525" cap="flat" cmpd="sng" algn="ctr">
                <a:solidFill>
                  <a:srgbClr val="3159A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9-40D1-FB48-90BE-9749A987148D}"/>
              </c:ext>
            </c:extLst>
          </c:dPt>
          <c:dPt>
            <c:idx val="29"/>
            <c:invertIfNegative val="0"/>
            <c:bubble3D val="0"/>
            <c:spPr>
              <a:solidFill>
                <a:srgbClr val="2D67AD">
                  <a:alpha val="35000"/>
                </a:srgbClr>
              </a:solidFill>
              <a:ln w="9525" cap="flat" cmpd="sng" algn="ctr">
                <a:solidFill>
                  <a:srgbClr val="2D67A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B-40D1-FB48-90BE-9749A987148D}"/>
              </c:ext>
            </c:extLst>
          </c:dPt>
          <c:dPt>
            <c:idx val="30"/>
            <c:invertIfNegative val="0"/>
            <c:bubble3D val="0"/>
            <c:spPr>
              <a:solidFill>
                <a:srgbClr val="2E64AC">
                  <a:alpha val="35000"/>
                </a:srgbClr>
              </a:solidFill>
              <a:ln w="9525" cap="flat" cmpd="sng" algn="ctr">
                <a:solidFill>
                  <a:srgbClr val="2E64AC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D-40D1-FB48-90BE-9749A987148D}"/>
              </c:ext>
            </c:extLst>
          </c:dPt>
          <c:dPt>
            <c:idx val="32"/>
            <c:invertIfNegative val="0"/>
            <c:bubble3D val="0"/>
            <c:spPr>
              <a:solidFill>
                <a:srgbClr val="00FFED">
                  <a:alpha val="35000"/>
                </a:srgbClr>
              </a:solidFill>
              <a:ln w="9525" cap="flat" cmpd="sng" algn="ctr">
                <a:solidFill>
                  <a:srgbClr val="00FFED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1-40D1-FB48-90BE-9749A987148D}"/>
              </c:ext>
            </c:extLst>
          </c:dPt>
          <c:dPt>
            <c:idx val="33"/>
            <c:invertIfNegative val="0"/>
            <c:bubble3D val="0"/>
            <c:spPr>
              <a:solidFill>
                <a:srgbClr val="2972B2">
                  <a:alpha val="35000"/>
                </a:srgbClr>
              </a:solidFill>
              <a:ln w="9525" cap="flat" cmpd="sng" algn="ctr">
                <a:solidFill>
                  <a:srgbClr val="2972B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3-40D1-FB48-90BE-9749A987148D}"/>
              </c:ext>
            </c:extLst>
          </c:dPt>
          <c:dPt>
            <c:idx val="36"/>
            <c:invertIfNegative val="0"/>
            <c:bubble3D val="0"/>
            <c:spPr>
              <a:solidFill>
                <a:srgbClr val="3B3799">
                  <a:alpha val="35000"/>
                </a:srgbClr>
              </a:solidFill>
              <a:ln w="9525" cap="flat" cmpd="sng" algn="ctr">
                <a:solidFill>
                  <a:srgbClr val="3B379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9-40D1-FB48-90BE-9749A987148D}"/>
              </c:ext>
            </c:extLst>
          </c:dPt>
          <c:dPt>
            <c:idx val="39"/>
            <c:invertIfNegative val="0"/>
            <c:bubble3D val="0"/>
            <c:spPr>
              <a:solidFill>
                <a:srgbClr val="0FCBD7">
                  <a:alpha val="35000"/>
                </a:srgbClr>
              </a:solidFill>
              <a:ln w="9525" cap="flat" cmpd="sng" algn="ctr">
                <a:solidFill>
                  <a:srgbClr val="0FCBD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A-40D1-FB48-90BE-9749A987148D}"/>
              </c:ext>
            </c:extLst>
          </c:dPt>
          <c:dPt>
            <c:idx val="40"/>
            <c:invertIfNegative val="0"/>
            <c:bubble3D val="0"/>
            <c:spPr>
              <a:solidFill>
                <a:srgbClr val="4B0082">
                  <a:alpha val="35000"/>
                </a:srgbClr>
              </a:solidFill>
              <a:ln w="9525" cap="flat" cmpd="sng" algn="ctr">
                <a:solidFill>
                  <a:srgbClr val="4B0082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5B-40D1-FB48-90BE-9749A987148D}"/>
              </c:ext>
            </c:extLst>
          </c:dPt>
          <c:dPt>
            <c:idx val="68"/>
            <c:invertIfNegative val="0"/>
            <c:bubble3D val="0"/>
            <c:spPr>
              <a:solidFill>
                <a:srgbClr val="12C2D3">
                  <a:alpha val="35000"/>
                </a:srgbClr>
              </a:solidFill>
              <a:ln w="9525" cap="flat" cmpd="sng" algn="ctr">
                <a:solidFill>
                  <a:srgbClr val="12C2D3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7-40D1-FB48-90BE-9749A987148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D3D74F9-63ED-0C42-93AB-842EE8C9FE58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D1-FB48-90BE-9749A98714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D1-FB48-90BE-9749A987148D}"/>
                </c:ext>
              </c:extLst>
            </c:dLbl>
            <c:dLbl>
              <c:idx val="2"/>
              <c:layout>
                <c:manualLayout>
                  <c:x val="-3.4273894696881982E-2"/>
                  <c:y val="-1.362456721884070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3F85E00-1BEB-5B4F-B237-0A0741A2E7E8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0D1-FB48-90BE-9749A987148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1086670-4814-C64A-987C-064CE27B9039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0D1-FB48-90BE-9749A98714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D1-FB48-90BE-9749A987148D}"/>
                </c:ext>
              </c:extLst>
            </c:dLbl>
            <c:dLbl>
              <c:idx val="5"/>
              <c:layout>
                <c:manualLayout>
                  <c:x val="-9.6852788874507864E-2"/>
                  <c:y val="-1.49870239407247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7296FE2-7187-1646-913E-744DC137D18B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40D1-FB48-90BE-9749A98714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D1-FB48-90BE-9749A98714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D1-FB48-90BE-9749A987148D}"/>
                </c:ext>
              </c:extLst>
            </c:dLbl>
            <c:dLbl>
              <c:idx val="8"/>
              <c:layout>
                <c:manualLayout>
                  <c:x val="-4.807600908333174E-2"/>
                  <c:y val="-1.3624567218840696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A737C36-5861-7A4D-ADD3-F0BCEC7AEC7D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0D1-FB48-90BE-9749A987148D}"/>
                </c:ext>
              </c:extLst>
            </c:dLbl>
            <c:dLbl>
              <c:idx val="9"/>
              <c:layout>
                <c:manualLayout>
                  <c:x val="-0.10623178168578586"/>
                  <c:y val="-2.724913443768164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B1CD304-F2DE-CC42-B2F7-3D9872D036F0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40D1-FB48-90BE-9749A98714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D1-FB48-90BE-9749A987148D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E9150B6-B037-254C-BEB5-7452F5F67CBB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40D1-FB48-90BE-9749A98714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D1-FB48-90BE-9749A987148D}"/>
                </c:ext>
              </c:extLst>
            </c:dLbl>
            <c:dLbl>
              <c:idx val="13"/>
              <c:layout>
                <c:manualLayout>
                  <c:x val="-0.11297941097478295"/>
                  <c:y val="6.812283609420347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AB548D9-A72A-5C4A-AB9D-68A89A9554DB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40D1-FB48-90BE-9749A987148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62D500B-3EC0-5E47-9BE3-8D20B15D18C9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40D1-FB48-90BE-9749A987148D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E01CD0B-2DD8-A545-80A2-B9A6098F8CB4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40D1-FB48-90BE-9749A987148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3E0963C-4EF5-0C4F-8299-F0B5BC5AFE0F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40D1-FB48-90BE-9749A987148D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D913B65-4ABA-2345-9284-ECD08F74AD00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40D1-FB48-90BE-9749A98714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D1-FB48-90BE-9749A987148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CDC25C7-2B42-BA49-8C4F-EB4D098018F1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40D1-FB48-90BE-9749A987148D}"/>
                </c:ext>
              </c:extLst>
            </c:dLbl>
            <c:dLbl>
              <c:idx val="20"/>
              <c:layout>
                <c:manualLayout>
                  <c:x val="-6.8038028930205788E-2"/>
                  <c:y val="1.3624567218840195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79001B8-7C7D-D048-A000-991C8527AE32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40D1-FB48-90BE-9749A98714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D1-FB48-90BE-9749A98714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D1-FB48-90BE-9749A987148D}"/>
                </c:ext>
              </c:extLst>
            </c:dLbl>
            <c:dLbl>
              <c:idx val="23"/>
              <c:layout>
                <c:manualLayout>
                  <c:x val="-4.0266878593748799E-2"/>
                  <c:y val="1.3624567218840195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153F0A0-00FD-564E-A0F4-19A91DEA7B1E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40D1-FB48-90BE-9749A98714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D1-FB48-90BE-9749A987148D}"/>
                </c:ext>
              </c:extLst>
            </c:dLbl>
            <c:dLbl>
              <c:idx val="25"/>
              <c:layout>
                <c:manualLayout>
                  <c:x val="-6.3004194329084759E-2"/>
                  <c:y val="-1.634948066260883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1287806-5ABD-FB4F-98CE-DA88E0527BBA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40D1-FB48-90BE-9749A987148D}"/>
                </c:ext>
              </c:extLst>
            </c:dLbl>
            <c:dLbl>
              <c:idx val="26"/>
              <c:layout>
                <c:manualLayout>
                  <c:x val="-0.15329126843296334"/>
                  <c:y val="-1.089965377507260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C5ACFA8-6EDC-034B-899B-645231AE5EC5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0464588689774676E-2"/>
                      <c:h val="2.851621918903357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40D1-FB48-90BE-9749A98714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D1-FB48-90BE-9749A987148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96A62A3-4354-064D-AC56-F99914D1E98F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40D1-FB48-90BE-9749A987148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60BF6DD-5339-5347-B4EC-F043FC23AA32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40D1-FB48-90BE-9749A987148D}"/>
                </c:ext>
              </c:extLst>
            </c:dLbl>
            <c:dLbl>
              <c:idx val="30"/>
              <c:layout>
                <c:manualLayout>
                  <c:x val="-5.4840030669588452E-2"/>
                  <c:y val="2.724913443768139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95190BD-5FB8-C041-9346-F0692B20F59C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40D1-FB48-90BE-9749A98714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D1-FB48-90BE-9749A987148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31A4689-7EC1-8949-A8B8-8B0949AFF575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40D1-FB48-90BE-9749A987148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44C02026-FD81-D043-A529-84BDA2384D07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40D1-FB48-90BE-9749A98714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D1-FB48-90BE-9749A98714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D1-FB48-90BE-9749A987148D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A8092C2-170A-7B44-99E2-8B2C86E88B32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40D1-FB48-90BE-9749A98714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D1-FB48-90BE-9749A98714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D1-FB48-90BE-9749A987148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A6B154E-424B-014F-AE64-4F4D12B8385A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40D1-FB48-90BE-9749A987148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9BE8414-6288-1549-93E8-7A5570D0FD38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40D1-FB48-90BE-9749A98714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D1-FB48-90BE-9749A98714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D1-FB48-90BE-9749A98714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D1-FB48-90BE-9749A98714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D1-FB48-90BE-9749A98714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D1-FB48-90BE-9749A98714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D1-FB48-90BE-9749A98714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D1-FB48-90BE-9749A98714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D1-FB48-90BE-9749A98714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D1-FB48-90BE-9749A98714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D1-FB48-90BE-9749A98714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D1-FB48-90BE-9749A98714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D1-FB48-90BE-9749A98714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D1-FB48-90BE-9749A98714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D1-FB48-90BE-9749A98714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D1-FB48-90BE-9749A98714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D1-FB48-90BE-9749A98714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D1-FB48-90BE-9749A98714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D1-FB48-90BE-9749A98714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D1-FB48-90BE-9749A98714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D1-FB48-90BE-9749A98714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D1-FB48-90BE-9749A98714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D1-FB48-90BE-9749A98714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D1-FB48-90BE-9749A98714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D1-FB48-90BE-9749A98714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D1-FB48-90BE-9749A98714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D1-FB48-90BE-9749A98714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D1-FB48-90BE-9749A987148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78FC2D0-685A-A244-9498-7B807F63277F}" type="CELLRANGE">
                      <a:rPr lang="en-US" sz="1800"/>
                      <a:pPr>
                        <a:defRPr sz="1800"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7-40D1-FB48-90BE-9749A9871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TII_VH!$D$2:$D$70</c:f>
              <c:numCache>
                <c:formatCode>General</c:formatCode>
                <c:ptCount val="69"/>
                <c:pt idx="0">
                  <c:v>74410</c:v>
                </c:pt>
                <c:pt idx="1">
                  <c:v>#N/A</c:v>
                </c:pt>
                <c:pt idx="2">
                  <c:v>55220</c:v>
                </c:pt>
                <c:pt idx="3">
                  <c:v>68300</c:v>
                </c:pt>
                <c:pt idx="4">
                  <c:v>#N/A</c:v>
                </c:pt>
                <c:pt idx="5">
                  <c:v>44740</c:v>
                </c:pt>
                <c:pt idx="6">
                  <c:v>#N/A</c:v>
                </c:pt>
                <c:pt idx="7">
                  <c:v>#N/A</c:v>
                </c:pt>
                <c:pt idx="8">
                  <c:v>116500</c:v>
                </c:pt>
                <c:pt idx="9">
                  <c:v>47850</c:v>
                </c:pt>
                <c:pt idx="10">
                  <c:v>#N/A</c:v>
                </c:pt>
                <c:pt idx="11">
                  <c:v>58780</c:v>
                </c:pt>
                <c:pt idx="12">
                  <c:v>#N/A</c:v>
                </c:pt>
                <c:pt idx="13">
                  <c:v>46120</c:v>
                </c:pt>
                <c:pt idx="14">
                  <c:v>60840</c:v>
                </c:pt>
                <c:pt idx="15">
                  <c:v>53040</c:v>
                </c:pt>
                <c:pt idx="16">
                  <c:v>44740</c:v>
                </c:pt>
                <c:pt idx="17">
                  <c:v>53070</c:v>
                </c:pt>
                <c:pt idx="18">
                  <c:v>#N/A</c:v>
                </c:pt>
                <c:pt idx="19">
                  <c:v>38110</c:v>
                </c:pt>
                <c:pt idx="20">
                  <c:v>61000</c:v>
                </c:pt>
                <c:pt idx="21">
                  <c:v>#N/A</c:v>
                </c:pt>
                <c:pt idx="22">
                  <c:v>#N/A</c:v>
                </c:pt>
                <c:pt idx="23">
                  <c:v>74940</c:v>
                </c:pt>
                <c:pt idx="24">
                  <c:v>#N/A</c:v>
                </c:pt>
                <c:pt idx="25">
                  <c:v>42510</c:v>
                </c:pt>
                <c:pt idx="26">
                  <c:v>70480</c:v>
                </c:pt>
                <c:pt idx="27">
                  <c:v>#N/A</c:v>
                </c:pt>
                <c:pt idx="28">
                  <c:v>42520</c:v>
                </c:pt>
                <c:pt idx="29">
                  <c:v>99240</c:v>
                </c:pt>
                <c:pt idx="30">
                  <c:v>74250</c:v>
                </c:pt>
                <c:pt idx="31">
                  <c:v>#N/A</c:v>
                </c:pt>
                <c:pt idx="32">
                  <c:v>55100</c:v>
                </c:pt>
                <c:pt idx="33">
                  <c:v>44600</c:v>
                </c:pt>
                <c:pt idx="34">
                  <c:v>#N/A</c:v>
                </c:pt>
                <c:pt idx="35">
                  <c:v>#N/A</c:v>
                </c:pt>
                <c:pt idx="36">
                  <c:v>25660</c:v>
                </c:pt>
                <c:pt idx="37">
                  <c:v>#N/A</c:v>
                </c:pt>
                <c:pt idx="38">
                  <c:v>#N/A</c:v>
                </c:pt>
                <c:pt idx="39">
                  <c:v>58370</c:v>
                </c:pt>
                <c:pt idx="40">
                  <c:v>26940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48830</c:v>
                </c:pt>
              </c:numCache>
            </c:numRef>
          </c:xVal>
          <c:yVal>
            <c:numRef>
              <c:f>TII_VH!$C$2:$C$70</c:f>
              <c:numCache>
                <c:formatCode>General</c:formatCode>
                <c:ptCount val="69"/>
                <c:pt idx="0">
                  <c:v>1</c:v>
                </c:pt>
                <c:pt idx="1">
                  <c:v>#N/A</c:v>
                </c:pt>
                <c:pt idx="2">
                  <c:v>0.99829000000000001</c:v>
                </c:pt>
                <c:pt idx="3">
                  <c:v>0.99661999999999995</c:v>
                </c:pt>
                <c:pt idx="4">
                  <c:v>#N/A</c:v>
                </c:pt>
                <c:pt idx="5">
                  <c:v>0.99170000000000003</c:v>
                </c:pt>
                <c:pt idx="6">
                  <c:v>#N/A</c:v>
                </c:pt>
                <c:pt idx="7">
                  <c:v>#N/A</c:v>
                </c:pt>
                <c:pt idx="8">
                  <c:v>0.98806000000000005</c:v>
                </c:pt>
                <c:pt idx="9">
                  <c:v>0.98773</c:v>
                </c:pt>
                <c:pt idx="10">
                  <c:v>#N/A</c:v>
                </c:pt>
                <c:pt idx="11">
                  <c:v>0.98678999999999994</c:v>
                </c:pt>
                <c:pt idx="12">
                  <c:v>#N/A</c:v>
                </c:pt>
                <c:pt idx="13">
                  <c:v>0.98411000000000004</c:v>
                </c:pt>
                <c:pt idx="14">
                  <c:v>0.98096000000000005</c:v>
                </c:pt>
                <c:pt idx="15">
                  <c:v>0.97909000000000002</c:v>
                </c:pt>
                <c:pt idx="16">
                  <c:v>0.97633000000000003</c:v>
                </c:pt>
                <c:pt idx="17">
                  <c:v>0.97467000000000004</c:v>
                </c:pt>
                <c:pt idx="18">
                  <c:v>#N/A</c:v>
                </c:pt>
                <c:pt idx="19">
                  <c:v>0.97309000000000001</c:v>
                </c:pt>
                <c:pt idx="20">
                  <c:v>0.97150999999999998</c:v>
                </c:pt>
                <c:pt idx="21">
                  <c:v>#N/A</c:v>
                </c:pt>
                <c:pt idx="22">
                  <c:v>#N/A</c:v>
                </c:pt>
                <c:pt idx="23">
                  <c:v>0.96538999999999997</c:v>
                </c:pt>
                <c:pt idx="24">
                  <c:v>#N/A</c:v>
                </c:pt>
                <c:pt idx="25">
                  <c:v>0.96309</c:v>
                </c:pt>
                <c:pt idx="26">
                  <c:v>0.96052000000000004</c:v>
                </c:pt>
                <c:pt idx="27">
                  <c:v>#N/A</c:v>
                </c:pt>
                <c:pt idx="28">
                  <c:v>0.96031</c:v>
                </c:pt>
                <c:pt idx="29">
                  <c:v>0.95987</c:v>
                </c:pt>
                <c:pt idx="30">
                  <c:v>0.95757000000000003</c:v>
                </c:pt>
                <c:pt idx="31">
                  <c:v>#N/A</c:v>
                </c:pt>
                <c:pt idx="32">
                  <c:v>0.95091999999999999</c:v>
                </c:pt>
                <c:pt idx="33">
                  <c:v>0.95091000000000003</c:v>
                </c:pt>
                <c:pt idx="34">
                  <c:v>#N/A</c:v>
                </c:pt>
                <c:pt idx="35">
                  <c:v>#N/A</c:v>
                </c:pt>
                <c:pt idx="36">
                  <c:v>0.94374000000000002</c:v>
                </c:pt>
                <c:pt idx="37">
                  <c:v>#N/A</c:v>
                </c:pt>
                <c:pt idx="38">
                  <c:v>#N/A</c:v>
                </c:pt>
                <c:pt idx="39">
                  <c:v>0.92359000000000002</c:v>
                </c:pt>
                <c:pt idx="40">
                  <c:v>0.92352999999999996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0.87280999999999997</c:v>
                </c:pt>
              </c:numCache>
            </c:numRef>
          </c:yVal>
          <c:bubbleSize>
            <c:numRef>
              <c:f>TII_VH!$E$2:$E$70</c:f>
              <c:numCache>
                <c:formatCode>General</c:formatCode>
                <c:ptCount val="69"/>
                <c:pt idx="0">
                  <c:v>9.3000000000000007</c:v>
                </c:pt>
                <c:pt idx="1">
                  <c:v>4.3</c:v>
                </c:pt>
                <c:pt idx="2">
                  <c:v>0.4</c:v>
                </c:pt>
                <c:pt idx="3">
                  <c:v>5.9</c:v>
                </c:pt>
                <c:pt idx="4">
                  <c:v>2.9</c:v>
                </c:pt>
                <c:pt idx="5">
                  <c:v>51.8</c:v>
                </c:pt>
                <c:pt idx="6">
                  <c:v>0.04</c:v>
                </c:pt>
                <c:pt idx="7">
                  <c:v>0.6</c:v>
                </c:pt>
                <c:pt idx="8">
                  <c:v>5.6</c:v>
                </c:pt>
                <c:pt idx="9">
                  <c:v>1.5</c:v>
                </c:pt>
                <c:pt idx="10">
                  <c:v>0.4</c:v>
                </c:pt>
                <c:pt idx="11">
                  <c:v>10.4</c:v>
                </c:pt>
                <c:pt idx="12">
                  <c:v>33.6</c:v>
                </c:pt>
                <c:pt idx="13">
                  <c:v>35.799999999999997</c:v>
                </c:pt>
                <c:pt idx="14">
                  <c:v>9</c:v>
                </c:pt>
                <c:pt idx="15">
                  <c:v>5.5</c:v>
                </c:pt>
                <c:pt idx="16">
                  <c:v>9.3000000000000007</c:v>
                </c:pt>
                <c:pt idx="17">
                  <c:v>67.3</c:v>
                </c:pt>
                <c:pt idx="18">
                  <c:v>0.5</c:v>
                </c:pt>
                <c:pt idx="19">
                  <c:v>1.3</c:v>
                </c:pt>
                <c:pt idx="20">
                  <c:v>17.5</c:v>
                </c:pt>
                <c:pt idx="21">
                  <c:v>4.5</c:v>
                </c:pt>
                <c:pt idx="22">
                  <c:v>1.8</c:v>
                </c:pt>
                <c:pt idx="23">
                  <c:v>5.4</c:v>
                </c:pt>
                <c:pt idx="24">
                  <c:v>6.9</c:v>
                </c:pt>
                <c:pt idx="25">
                  <c:v>2.8</c:v>
                </c:pt>
                <c:pt idx="26">
                  <c:v>333.3</c:v>
                </c:pt>
                <c:pt idx="27">
                  <c:v>37.799999999999997</c:v>
                </c:pt>
                <c:pt idx="28">
                  <c:v>47.4</c:v>
                </c:pt>
                <c:pt idx="29">
                  <c:v>5</c:v>
                </c:pt>
                <c:pt idx="30">
                  <c:v>8.6999999999999993</c:v>
                </c:pt>
                <c:pt idx="31">
                  <c:v>143.6</c:v>
                </c:pt>
                <c:pt idx="32">
                  <c:v>25.7</c:v>
                </c:pt>
                <c:pt idx="33">
                  <c:v>125.1</c:v>
                </c:pt>
                <c:pt idx="34">
                  <c:v>0.03</c:v>
                </c:pt>
                <c:pt idx="35">
                  <c:v>19.5</c:v>
                </c:pt>
                <c:pt idx="36">
                  <c:v>3.5</c:v>
                </c:pt>
                <c:pt idx="37">
                  <c:v>71.7</c:v>
                </c:pt>
                <c:pt idx="38">
                  <c:v>3.4</c:v>
                </c:pt>
                <c:pt idx="39">
                  <c:v>83.2</c:v>
                </c:pt>
                <c:pt idx="40">
                  <c:v>19.399999999999999</c:v>
                </c:pt>
                <c:pt idx="41">
                  <c:v>0.08</c:v>
                </c:pt>
                <c:pt idx="42">
                  <c:v>0.6</c:v>
                </c:pt>
                <c:pt idx="43">
                  <c:v>67.8</c:v>
                </c:pt>
                <c:pt idx="44">
                  <c:v>6.7</c:v>
                </c:pt>
                <c:pt idx="45">
                  <c:v>10.7</c:v>
                </c:pt>
                <c:pt idx="46">
                  <c:v>3.9</c:v>
                </c:pt>
                <c:pt idx="47">
                  <c:v>0.04</c:v>
                </c:pt>
                <c:pt idx="48">
                  <c:v>6.5</c:v>
                </c:pt>
                <c:pt idx="49">
                  <c:v>1.3</c:v>
                </c:pt>
                <c:pt idx="50">
                  <c:v>9.3000000000000007</c:v>
                </c:pt>
                <c:pt idx="51">
                  <c:v>2.1</c:v>
                </c:pt>
                <c:pt idx="52">
                  <c:v>3.7</c:v>
                </c:pt>
                <c:pt idx="53">
                  <c:v>59</c:v>
                </c:pt>
                <c:pt idx="54">
                  <c:v>1412.2</c:v>
                </c:pt>
                <c:pt idx="55">
                  <c:v>88.6</c:v>
                </c:pt>
                <c:pt idx="56">
                  <c:v>5.4</c:v>
                </c:pt>
                <c:pt idx="57">
                  <c:v>10.3</c:v>
                </c:pt>
                <c:pt idx="58">
                  <c:v>60</c:v>
                </c:pt>
                <c:pt idx="59">
                  <c:v>1.2</c:v>
                </c:pt>
                <c:pt idx="60">
                  <c:v>5.2</c:v>
                </c:pt>
                <c:pt idx="61">
                  <c:v>19</c:v>
                </c:pt>
                <c:pt idx="62">
                  <c:v>0.1</c:v>
                </c:pt>
                <c:pt idx="63">
                  <c:v>37.799999999999997</c:v>
                </c:pt>
                <c:pt idx="64">
                  <c:v>6.7</c:v>
                </c:pt>
                <c:pt idx="65">
                  <c:v>2.8</c:v>
                </c:pt>
                <c:pt idx="66">
                  <c:v>98.2</c:v>
                </c:pt>
                <c:pt idx="67">
                  <c:v>35.299999999999997</c:v>
                </c:pt>
                <c:pt idx="68">
                  <c:v>5.0999999999999996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TII_VH!$A$2:$A$194</c15:f>
                <c15:dlblRangeCache>
                  <c:ptCount val="193"/>
                  <c:pt idx="0">
                    <c:v>U.A.E.</c:v>
                  </c:pt>
                  <c:pt idx="1">
                    <c:v>Kuwait</c:v>
                  </c:pt>
                  <c:pt idx="2">
                    <c:v>Iceland</c:v>
                  </c:pt>
                  <c:pt idx="3">
                    <c:v>Denmark</c:v>
                  </c:pt>
                  <c:pt idx="4">
                    <c:v>Qatar</c:v>
                  </c:pt>
                  <c:pt idx="5">
                    <c:v>South Korea</c:v>
                  </c:pt>
                  <c:pt idx="6">
                    <c:v>Liechtenstein</c:v>
                  </c:pt>
                  <c:pt idx="7">
                    <c:v>Luxembourg</c:v>
                  </c:pt>
                  <c:pt idx="8">
                    <c:v>Singapore</c:v>
                  </c:pt>
                  <c:pt idx="9">
                    <c:v>Bahrain</c:v>
                  </c:pt>
                  <c:pt idx="10">
                    <c:v>Brunei Darussalam</c:v>
                  </c:pt>
                  <c:pt idx="11">
                    <c:v>Sweden</c:v>
                  </c:pt>
                  <c:pt idx="12">
                    <c:v>Malaysia</c:v>
                  </c:pt>
                  <c:pt idx="13">
                    <c:v>Saudi Arabia</c:v>
                  </c:pt>
                  <c:pt idx="14">
                    <c:v>Austria</c:v>
                  </c:pt>
                  <c:pt idx="15">
                    <c:v>Finland</c:v>
                  </c:pt>
                  <c:pt idx="16">
                    <c:v>Israel</c:v>
                  </c:pt>
                  <c:pt idx="17">
                    <c:v>U.K.</c:v>
                  </c:pt>
                  <c:pt idx="18">
                    <c:v>Malta</c:v>
                  </c:pt>
                  <c:pt idx="19">
                    <c:v>Estonia</c:v>
                  </c:pt>
                  <c:pt idx="20">
                    <c:v>Netherlands</c:v>
                  </c:pt>
                  <c:pt idx="21">
                    <c:v>Oman</c:v>
                  </c:pt>
                  <c:pt idx="22">
                    <c:v>Latvia</c:v>
                  </c:pt>
                  <c:pt idx="23">
                    <c:v>Norway</c:v>
                  </c:pt>
                  <c:pt idx="24">
                    <c:v>Libya</c:v>
                  </c:pt>
                  <c:pt idx="25">
                    <c:v>Lithuania</c:v>
                  </c:pt>
                  <c:pt idx="26">
                    <c:v>U.S.A.</c:v>
                  </c:pt>
                  <c:pt idx="27">
                    <c:v>Poland</c:v>
                  </c:pt>
                  <c:pt idx="28">
                    <c:v>Spain</c:v>
                  </c:pt>
                  <c:pt idx="29">
                    <c:v>Ireland</c:v>
                  </c:pt>
                  <c:pt idx="30">
                    <c:v>Switzerland</c:v>
                  </c:pt>
                  <c:pt idx="31">
                    <c:v>Russia</c:v>
                  </c:pt>
                  <c:pt idx="32">
                    <c:v>Australia</c:v>
                  </c:pt>
                  <c:pt idx="33">
                    <c:v>Japan</c:v>
                  </c:pt>
                  <c:pt idx="34">
                    <c:v>San Marino</c:v>
                  </c:pt>
                  <c:pt idx="35">
                    <c:v>Chile</c:v>
                  </c:pt>
                  <c:pt idx="36">
                    <c:v>Uruguay</c:v>
                  </c:pt>
                  <c:pt idx="37">
                    <c:v>Thailand</c:v>
                  </c:pt>
                  <c:pt idx="38">
                    <c:v>Mongolia</c:v>
                  </c:pt>
                  <c:pt idx="39">
                    <c:v>Germany</c:v>
                  </c:pt>
                  <c:pt idx="40">
                    <c:v>Kazakhstan</c:v>
                  </c:pt>
                  <c:pt idx="41">
                    <c:v>Andorra</c:v>
                  </c:pt>
                  <c:pt idx="42">
                    <c:v>Montenegro</c:v>
                  </c:pt>
                  <c:pt idx="43">
                    <c:v>France</c:v>
                  </c:pt>
                  <c:pt idx="44">
                    <c:v>Serbia</c:v>
                  </c:pt>
                  <c:pt idx="45">
                    <c:v>Czechia</c:v>
                  </c:pt>
                  <c:pt idx="46">
                    <c:v>Croatia</c:v>
                  </c:pt>
                  <c:pt idx="47">
                    <c:v>Monaco</c:v>
                  </c:pt>
                  <c:pt idx="48">
                    <c:v>Bulgaria</c:v>
                  </c:pt>
                  <c:pt idx="49">
                    <c:v>Mauritius</c:v>
                  </c:pt>
                  <c:pt idx="50">
                    <c:v>Belarus</c:v>
                  </c:pt>
                  <c:pt idx="51">
                    <c:v>Slovenia</c:v>
                  </c:pt>
                  <c:pt idx="52">
                    <c:v>Georgia</c:v>
                  </c:pt>
                  <c:pt idx="53">
                    <c:v>Italy</c:v>
                  </c:pt>
                  <c:pt idx="54">
                    <c:v>China</c:v>
                  </c:pt>
                  <c:pt idx="55">
                    <c:v>Iran</c:v>
                  </c:pt>
                  <c:pt idx="56">
                    <c:v>Slovakia</c:v>
                  </c:pt>
                  <c:pt idx="57">
                    <c:v>Portugal</c:v>
                  </c:pt>
                  <c:pt idx="58">
                    <c:v>South Africa</c:v>
                  </c:pt>
                  <c:pt idx="59">
                    <c:v>Cyprus</c:v>
                  </c:pt>
                  <c:pt idx="60">
                    <c:v>Costa Rica</c:v>
                  </c:pt>
                  <c:pt idx="61">
                    <c:v>Romania</c:v>
                  </c:pt>
                  <c:pt idx="62">
                    <c:v>Seychelles</c:v>
                  </c:pt>
                  <c:pt idx="63">
                    <c:v>Morocco</c:v>
                  </c:pt>
                  <c:pt idx="64">
                    <c:v>Kyrgyzstan</c:v>
                  </c:pt>
                  <c:pt idx="65">
                    <c:v>Armenia</c:v>
                  </c:pt>
                  <c:pt idx="66">
                    <c:v>Vietnam</c:v>
                  </c:pt>
                  <c:pt idx="67">
                    <c:v>Uzbekistan</c:v>
                  </c:pt>
                  <c:pt idx="68">
                    <c:v>New Zealand</c:v>
                  </c:pt>
                  <c:pt idx="69">
                    <c:v>Suriname</c:v>
                  </c:pt>
                  <c:pt idx="70">
                    <c:v>Belgium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E-40D1-FB48-90BE-9749A987148D}"/>
            </c:ext>
          </c:extLst>
        </c:ser>
        <c:ser>
          <c:idx val="1"/>
          <c:order val="1"/>
          <c:spPr>
            <a:solidFill>
              <a:srgbClr val="E97132">
                <a:alpha val="75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40D1-FB48-90BE-9749A987148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40D1-FB48-90BE-9749A987148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40D1-FB48-90BE-9749A987148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40D1-FB48-90BE-9749A987148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40D1-FB48-90BE-9749A987148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40D1-FB48-90BE-9749A987148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40D1-FB48-90BE-9749A987148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40D1-FB48-90BE-9749A987148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0.9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40D1-FB48-90BE-9749A987148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GB"/>
                      <a:t>1.0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40D1-FB48-90BE-9749A9871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0"/>
              <c:pt idx="0">
                <c:v>0.05</c:v>
              </c:pt>
              <c:pt idx="1">
                <c:v>0.05</c:v>
              </c:pt>
              <c:pt idx="2">
                <c:v>0.05</c:v>
              </c:pt>
              <c:pt idx="3">
                <c:v>0.05</c:v>
              </c:pt>
              <c:pt idx="4">
                <c:v>0.05</c:v>
              </c:pt>
              <c:pt idx="5">
                <c:v>0.05</c:v>
              </c:pt>
              <c:pt idx="6">
                <c:v>0.05</c:v>
              </c:pt>
              <c:pt idx="7">
                <c:v>0.05</c:v>
              </c:pt>
              <c:pt idx="8">
                <c:v>0.05</c:v>
              </c:pt>
              <c:pt idx="9">
                <c:v>0.05</c:v>
              </c:pt>
            </c:numLit>
          </c:xVal>
          <c:yVal>
            <c:numLit>
              <c:formatCode>General</c:formatCode>
              <c:ptCount val="10"/>
              <c:pt idx="0">
                <c:v>0.1</c:v>
              </c:pt>
              <c:pt idx="1">
                <c:v>0.2</c:v>
              </c:pt>
              <c:pt idx="2">
                <c:v>0.3</c:v>
              </c:pt>
              <c:pt idx="3">
                <c:v>0.4</c:v>
              </c:pt>
              <c:pt idx="4">
                <c:v>0.5</c:v>
              </c:pt>
              <c:pt idx="5">
                <c:v>0.6</c:v>
              </c:pt>
              <c:pt idx="6">
                <c:v>0.7</c:v>
              </c:pt>
              <c:pt idx="7">
                <c:v>0.8</c:v>
              </c:pt>
              <c:pt idx="8">
                <c:v>0.9</c:v>
              </c:pt>
              <c:pt idx="9">
                <c:v>1</c:v>
              </c:pt>
            </c:numLit>
          </c:yVal>
          <c:bubble3D val="0"/>
          <c:extLst>
            <c:ext xmlns:c15="http://schemas.microsoft.com/office/drawing/2012/chart" uri="{02D57815-91ED-43cb-92C2-25804820EDAC}">
              <c15:filteredSeriesTitle>
                <c15:tx>
                  <c:v>DummyYLabels</c:v>
                </c15:tx>
              </c15:filteredSeriesTitle>
            </c:ext>
            <c:ext xmlns:c16="http://schemas.microsoft.com/office/drawing/2014/chart" uri="{C3380CC4-5D6E-409C-BE32-E72D297353CC}">
              <c16:uniqueId val="{00000059-40D1-FB48-90BE-9749A9871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23347552"/>
        <c:axId val="323349264"/>
      </c:bubbleChart>
      <c:valAx>
        <c:axId val="323347552"/>
        <c:scaling>
          <c:orientation val="minMax"/>
          <c:max val="120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90000"/>
                  <a:alpha val="99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9264"/>
        <c:crosses val="autoZero"/>
        <c:crossBetween val="midCat"/>
        <c:majorUnit val="20000"/>
        <c:minorUnit val="10000"/>
      </c:valAx>
      <c:valAx>
        <c:axId val="323349264"/>
        <c:scaling>
          <c:orientation val="minMax"/>
          <c:max val="1.004"/>
          <c:min val="0.86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7552"/>
        <c:crossesAt val="300"/>
        <c:crossBetween val="midCat"/>
        <c:majorUnit val="0.02"/>
      </c:valAx>
      <c:spPr>
        <a:noFill/>
        <a:ln w="254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="0"/>
              <a:t>HCI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0.84028999999999998</c:v>
              </c:pt>
            </c:numLit>
          </c:val>
          <c:extLst>
            <c:ext xmlns:c16="http://schemas.microsoft.com/office/drawing/2014/chart" uri="{C3380CC4-5D6E-409C-BE32-E72D297353CC}">
              <c16:uniqueId val="{00000004-73DA-FC4D-8852-B07A67611A30}"/>
            </c:ext>
          </c:extLst>
        </c:ser>
        <c:ser>
          <c:idx val="1"/>
          <c:order val="1"/>
          <c:spPr>
            <a:solidFill>
              <a:srgbClr val="4B018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5-73DA-FC4D-8852-B07A67611A30}"/>
            </c:ext>
          </c:extLst>
        </c:ser>
        <c:ser>
          <c:idx val="2"/>
          <c:order val="2"/>
          <c:spPr>
            <a:solidFill>
              <a:srgbClr val="4A048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6-73DA-FC4D-8852-B07A67611A30}"/>
            </c:ext>
          </c:extLst>
        </c:ser>
        <c:ser>
          <c:idx val="3"/>
          <c:order val="3"/>
          <c:spPr>
            <a:solidFill>
              <a:srgbClr val="49068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7-73DA-FC4D-8852-B07A67611A30}"/>
            </c:ext>
          </c:extLst>
        </c:ser>
        <c:ser>
          <c:idx val="4"/>
          <c:order val="4"/>
          <c:spPr>
            <a:solidFill>
              <a:srgbClr val="48098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8-73DA-FC4D-8852-B07A67611A30}"/>
            </c:ext>
          </c:extLst>
        </c:ser>
        <c:ser>
          <c:idx val="5"/>
          <c:order val="5"/>
          <c:spPr>
            <a:solidFill>
              <a:srgbClr val="480B8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9-73DA-FC4D-8852-B07A67611A30}"/>
            </c:ext>
          </c:extLst>
        </c:ser>
        <c:ser>
          <c:idx val="6"/>
          <c:order val="6"/>
          <c:spPr>
            <a:solidFill>
              <a:srgbClr val="470E8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A-73DA-FC4D-8852-B07A67611A30}"/>
            </c:ext>
          </c:extLst>
        </c:ser>
        <c:ser>
          <c:idx val="7"/>
          <c:order val="7"/>
          <c:spPr>
            <a:solidFill>
              <a:srgbClr val="46118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B-73DA-FC4D-8852-B07A67611A30}"/>
            </c:ext>
          </c:extLst>
        </c:ser>
        <c:ser>
          <c:idx val="8"/>
          <c:order val="8"/>
          <c:spPr>
            <a:solidFill>
              <a:srgbClr val="45138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C-73DA-FC4D-8852-B07A67611A30}"/>
            </c:ext>
          </c:extLst>
        </c:ser>
        <c:ser>
          <c:idx val="9"/>
          <c:order val="9"/>
          <c:spPr>
            <a:solidFill>
              <a:srgbClr val="4516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D-73DA-FC4D-8852-B07A67611A30}"/>
            </c:ext>
          </c:extLst>
        </c:ser>
        <c:ser>
          <c:idx val="10"/>
          <c:order val="10"/>
          <c:spPr>
            <a:solidFill>
              <a:srgbClr val="44188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E-73DA-FC4D-8852-B07A67611A30}"/>
            </c:ext>
          </c:extLst>
        </c:ser>
        <c:ser>
          <c:idx val="11"/>
          <c:order val="11"/>
          <c:spPr>
            <a:solidFill>
              <a:srgbClr val="431B8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F-73DA-FC4D-8852-B07A67611A30}"/>
            </c:ext>
          </c:extLst>
        </c:ser>
        <c:ser>
          <c:idx val="12"/>
          <c:order val="12"/>
          <c:spPr>
            <a:solidFill>
              <a:srgbClr val="421D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0-73DA-FC4D-8852-B07A67611A30}"/>
            </c:ext>
          </c:extLst>
        </c:ser>
        <c:ser>
          <c:idx val="13"/>
          <c:order val="13"/>
          <c:spPr>
            <a:solidFill>
              <a:srgbClr val="42208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1-73DA-FC4D-8852-B07A67611A30}"/>
            </c:ext>
          </c:extLst>
        </c:ser>
        <c:ser>
          <c:idx val="14"/>
          <c:order val="14"/>
          <c:spPr>
            <a:solidFill>
              <a:srgbClr val="4122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2-73DA-FC4D-8852-B07A67611A30}"/>
            </c:ext>
          </c:extLst>
        </c:ser>
        <c:ser>
          <c:idx val="15"/>
          <c:order val="15"/>
          <c:spPr>
            <a:solidFill>
              <a:srgbClr val="40259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3-73DA-FC4D-8852-B07A67611A30}"/>
            </c:ext>
          </c:extLst>
        </c:ser>
        <c:ser>
          <c:idx val="16"/>
          <c:order val="16"/>
          <c:spPr>
            <a:solidFill>
              <a:srgbClr val="3F289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4-73DA-FC4D-8852-B07A67611A30}"/>
            </c:ext>
          </c:extLst>
        </c:ser>
        <c:ser>
          <c:idx val="17"/>
          <c:order val="17"/>
          <c:spPr>
            <a:solidFill>
              <a:srgbClr val="3F2A9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5-73DA-FC4D-8852-B07A67611A30}"/>
            </c:ext>
          </c:extLst>
        </c:ser>
        <c:ser>
          <c:idx val="18"/>
          <c:order val="18"/>
          <c:spPr>
            <a:solidFill>
              <a:srgbClr val="3E2D9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6-73DA-FC4D-8852-B07A67611A30}"/>
            </c:ext>
          </c:extLst>
        </c:ser>
        <c:ser>
          <c:idx val="19"/>
          <c:order val="19"/>
          <c:spPr>
            <a:solidFill>
              <a:srgbClr val="3D2F9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7-73DA-FC4D-8852-B07A67611A30}"/>
            </c:ext>
          </c:extLst>
        </c:ser>
        <c:ser>
          <c:idx val="20"/>
          <c:order val="20"/>
          <c:spPr>
            <a:solidFill>
              <a:srgbClr val="3C329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8-73DA-FC4D-8852-B07A67611A30}"/>
            </c:ext>
          </c:extLst>
        </c:ser>
        <c:ser>
          <c:idx val="21"/>
          <c:order val="21"/>
          <c:spPr>
            <a:solidFill>
              <a:srgbClr val="3C349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9-73DA-FC4D-8852-B07A67611A30}"/>
            </c:ext>
          </c:extLst>
        </c:ser>
        <c:ser>
          <c:idx val="22"/>
          <c:order val="22"/>
          <c:spPr>
            <a:solidFill>
              <a:srgbClr val="3B37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A-73DA-FC4D-8852-B07A67611A30}"/>
            </c:ext>
          </c:extLst>
        </c:ser>
        <c:ser>
          <c:idx val="23"/>
          <c:order val="23"/>
          <c:spPr>
            <a:solidFill>
              <a:srgbClr val="3A399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B-73DA-FC4D-8852-B07A67611A30}"/>
            </c:ext>
          </c:extLst>
        </c:ser>
        <c:ser>
          <c:idx val="24"/>
          <c:order val="24"/>
          <c:spPr>
            <a:solidFill>
              <a:srgbClr val="393C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C-73DA-FC4D-8852-B07A67611A30}"/>
            </c:ext>
          </c:extLst>
        </c:ser>
        <c:ser>
          <c:idx val="25"/>
          <c:order val="25"/>
          <c:spPr>
            <a:solidFill>
              <a:srgbClr val="393E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D-73DA-FC4D-8852-B07A67611A30}"/>
            </c:ext>
          </c:extLst>
        </c:ser>
        <c:ser>
          <c:idx val="26"/>
          <c:order val="26"/>
          <c:spPr>
            <a:solidFill>
              <a:srgbClr val="38419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E-73DA-FC4D-8852-B07A67611A30}"/>
            </c:ext>
          </c:extLst>
        </c:ser>
        <c:ser>
          <c:idx val="27"/>
          <c:order val="27"/>
          <c:spPr>
            <a:solidFill>
              <a:srgbClr val="37449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F-73DA-FC4D-8852-B07A67611A30}"/>
            </c:ext>
          </c:extLst>
        </c:ser>
        <c:ser>
          <c:idx val="28"/>
          <c:order val="28"/>
          <c:spPr>
            <a:solidFill>
              <a:srgbClr val="36469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0-73DA-FC4D-8852-B07A67611A30}"/>
            </c:ext>
          </c:extLst>
        </c:ser>
        <c:ser>
          <c:idx val="29"/>
          <c:order val="29"/>
          <c:spPr>
            <a:solidFill>
              <a:srgbClr val="3649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1-73DA-FC4D-8852-B07A67611A30}"/>
            </c:ext>
          </c:extLst>
        </c:ser>
        <c:ser>
          <c:idx val="30"/>
          <c:order val="30"/>
          <c:spPr>
            <a:solidFill>
              <a:srgbClr val="354B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2-73DA-FC4D-8852-B07A67611A30}"/>
            </c:ext>
          </c:extLst>
        </c:ser>
        <c:ser>
          <c:idx val="31"/>
          <c:order val="31"/>
          <c:spPr>
            <a:solidFill>
              <a:srgbClr val="344EA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3-73DA-FC4D-8852-B07A67611A30}"/>
            </c:ext>
          </c:extLst>
        </c:ser>
        <c:ser>
          <c:idx val="32"/>
          <c:order val="32"/>
          <c:spPr>
            <a:solidFill>
              <a:srgbClr val="3350A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4-73DA-FC4D-8852-B07A67611A30}"/>
            </c:ext>
          </c:extLst>
        </c:ser>
        <c:ser>
          <c:idx val="33"/>
          <c:order val="33"/>
          <c:spPr>
            <a:solidFill>
              <a:srgbClr val="3353A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5-73DA-FC4D-8852-B07A67611A30}"/>
            </c:ext>
          </c:extLst>
        </c:ser>
        <c:ser>
          <c:idx val="34"/>
          <c:order val="34"/>
          <c:spPr>
            <a:solidFill>
              <a:srgbClr val="3255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6-73DA-FC4D-8852-B07A67611A30}"/>
            </c:ext>
          </c:extLst>
        </c:ser>
        <c:ser>
          <c:idx val="35"/>
          <c:order val="35"/>
          <c:spPr>
            <a:solidFill>
              <a:srgbClr val="3158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7-73DA-FC4D-8852-B07A67611A30}"/>
            </c:ext>
          </c:extLst>
        </c:ser>
        <c:ser>
          <c:idx val="36"/>
          <c:order val="36"/>
          <c:spPr>
            <a:solidFill>
              <a:srgbClr val="305BA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8-73DA-FC4D-8852-B07A67611A30}"/>
            </c:ext>
          </c:extLst>
        </c:ser>
        <c:ser>
          <c:idx val="37"/>
          <c:order val="37"/>
          <c:spPr>
            <a:solidFill>
              <a:srgbClr val="305DA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9-73DA-FC4D-8852-B07A67611A30}"/>
            </c:ext>
          </c:extLst>
        </c:ser>
        <c:ser>
          <c:idx val="38"/>
          <c:order val="38"/>
          <c:spPr>
            <a:solidFill>
              <a:srgbClr val="2F60A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A-73DA-FC4D-8852-B07A67611A30}"/>
            </c:ext>
          </c:extLst>
        </c:ser>
        <c:ser>
          <c:idx val="39"/>
          <c:order val="39"/>
          <c:spPr>
            <a:solidFill>
              <a:srgbClr val="2E62A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B-73DA-FC4D-8852-B07A67611A30}"/>
            </c:ext>
          </c:extLst>
        </c:ser>
        <c:ser>
          <c:idx val="40"/>
          <c:order val="40"/>
          <c:spPr>
            <a:solidFill>
              <a:srgbClr val="2D65A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C-73DA-FC4D-8852-B07A67611A30}"/>
            </c:ext>
          </c:extLst>
        </c:ser>
        <c:ser>
          <c:idx val="41"/>
          <c:order val="41"/>
          <c:spPr>
            <a:solidFill>
              <a:srgbClr val="2D67A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D-73DA-FC4D-8852-B07A67611A30}"/>
            </c:ext>
          </c:extLst>
        </c:ser>
        <c:ser>
          <c:idx val="42"/>
          <c:order val="42"/>
          <c:spPr>
            <a:solidFill>
              <a:srgbClr val="2C6AA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E-73DA-FC4D-8852-B07A67611A30}"/>
            </c:ext>
          </c:extLst>
        </c:ser>
        <c:ser>
          <c:idx val="43"/>
          <c:order val="43"/>
          <c:spPr>
            <a:solidFill>
              <a:srgbClr val="2B6CA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F-73DA-FC4D-8852-B07A67611A30}"/>
            </c:ext>
          </c:extLst>
        </c:ser>
        <c:ser>
          <c:idx val="44"/>
          <c:order val="44"/>
          <c:spPr>
            <a:solidFill>
              <a:srgbClr val="2A6FB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0-73DA-FC4D-8852-B07A67611A30}"/>
            </c:ext>
          </c:extLst>
        </c:ser>
        <c:ser>
          <c:idx val="45"/>
          <c:order val="45"/>
          <c:spPr>
            <a:solidFill>
              <a:srgbClr val="2A71B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1-73DA-FC4D-8852-B07A67611A30}"/>
            </c:ext>
          </c:extLst>
        </c:ser>
        <c:ser>
          <c:idx val="46"/>
          <c:order val="46"/>
          <c:spPr>
            <a:solidFill>
              <a:srgbClr val="2974B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2-73DA-FC4D-8852-B07A67611A30}"/>
            </c:ext>
          </c:extLst>
        </c:ser>
        <c:ser>
          <c:idx val="47"/>
          <c:order val="47"/>
          <c:spPr>
            <a:solidFill>
              <a:srgbClr val="2877B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3-73DA-FC4D-8852-B07A67611A30}"/>
            </c:ext>
          </c:extLst>
        </c:ser>
        <c:ser>
          <c:idx val="48"/>
          <c:order val="48"/>
          <c:spPr>
            <a:solidFill>
              <a:srgbClr val="2779B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4-73DA-FC4D-8852-B07A67611A30}"/>
            </c:ext>
          </c:extLst>
        </c:ser>
        <c:ser>
          <c:idx val="49"/>
          <c:order val="49"/>
          <c:spPr>
            <a:solidFill>
              <a:srgbClr val="277CB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5-73DA-FC4D-8852-B07A67611A30}"/>
            </c:ext>
          </c:extLst>
        </c:ser>
        <c:ser>
          <c:idx val="50"/>
          <c:order val="50"/>
          <c:spPr>
            <a:solidFill>
              <a:srgbClr val="267EB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6-73DA-FC4D-8852-B07A67611A30}"/>
            </c:ext>
          </c:extLst>
        </c:ser>
        <c:ser>
          <c:idx val="51"/>
          <c:order val="51"/>
          <c:spPr>
            <a:solidFill>
              <a:srgbClr val="2581B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7-73DA-FC4D-8852-B07A67611A30}"/>
            </c:ext>
          </c:extLst>
        </c:ser>
        <c:ser>
          <c:idx val="52"/>
          <c:order val="52"/>
          <c:spPr>
            <a:solidFill>
              <a:srgbClr val="2483B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8-73DA-FC4D-8852-B07A67611A30}"/>
            </c:ext>
          </c:extLst>
        </c:ser>
        <c:ser>
          <c:idx val="53"/>
          <c:order val="53"/>
          <c:spPr>
            <a:solidFill>
              <a:srgbClr val="2486B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9-73DA-FC4D-8852-B07A67611A30}"/>
            </c:ext>
          </c:extLst>
        </c:ser>
        <c:ser>
          <c:idx val="54"/>
          <c:order val="54"/>
          <c:spPr>
            <a:solidFill>
              <a:srgbClr val="2388B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A-73DA-FC4D-8852-B07A67611A30}"/>
            </c:ext>
          </c:extLst>
        </c:ser>
        <c:ser>
          <c:idx val="55"/>
          <c:order val="55"/>
          <c:spPr>
            <a:solidFill>
              <a:srgbClr val="228BB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B-73DA-FC4D-8852-B07A67611A30}"/>
            </c:ext>
          </c:extLst>
        </c:ser>
        <c:ser>
          <c:idx val="56"/>
          <c:order val="56"/>
          <c:spPr>
            <a:solidFill>
              <a:srgbClr val="218E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C-73DA-FC4D-8852-B07A67611A30}"/>
            </c:ext>
          </c:extLst>
        </c:ser>
        <c:ser>
          <c:idx val="57"/>
          <c:order val="57"/>
          <c:spPr>
            <a:solidFill>
              <a:srgbClr val="2190B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D-73DA-FC4D-8852-B07A67611A30}"/>
            </c:ext>
          </c:extLst>
        </c:ser>
        <c:ser>
          <c:idx val="58"/>
          <c:order val="58"/>
          <c:spPr>
            <a:solidFill>
              <a:srgbClr val="2093C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E-73DA-FC4D-8852-B07A67611A30}"/>
            </c:ext>
          </c:extLst>
        </c:ser>
        <c:ser>
          <c:idx val="59"/>
          <c:order val="59"/>
          <c:spPr>
            <a:solidFill>
              <a:srgbClr val="1F95C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F-73DA-FC4D-8852-B07A67611A30}"/>
            </c:ext>
          </c:extLst>
        </c:ser>
        <c:ser>
          <c:idx val="60"/>
          <c:order val="60"/>
          <c:spPr>
            <a:solidFill>
              <a:srgbClr val="1E98C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0-73DA-FC4D-8852-B07A67611A30}"/>
            </c:ext>
          </c:extLst>
        </c:ser>
        <c:ser>
          <c:idx val="61"/>
          <c:order val="61"/>
          <c:spPr>
            <a:solidFill>
              <a:srgbClr val="1E9AC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1-73DA-FC4D-8852-B07A67611A30}"/>
            </c:ext>
          </c:extLst>
        </c:ser>
        <c:ser>
          <c:idx val="62"/>
          <c:order val="62"/>
          <c:spPr>
            <a:solidFill>
              <a:srgbClr val="1D9D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2-73DA-FC4D-8852-B07A67611A30}"/>
            </c:ext>
          </c:extLst>
        </c:ser>
        <c:ser>
          <c:idx val="63"/>
          <c:order val="63"/>
          <c:spPr>
            <a:solidFill>
              <a:srgbClr val="1C9FC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3-73DA-FC4D-8852-B07A67611A30}"/>
            </c:ext>
          </c:extLst>
        </c:ser>
        <c:ser>
          <c:idx val="64"/>
          <c:order val="64"/>
          <c:spPr>
            <a:solidFill>
              <a:srgbClr val="1BA2C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4-73DA-FC4D-8852-B07A67611A30}"/>
            </c:ext>
          </c:extLst>
        </c:ser>
        <c:ser>
          <c:idx val="65"/>
          <c:order val="65"/>
          <c:spPr>
            <a:solidFill>
              <a:srgbClr val="1BA4C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5-73DA-FC4D-8852-B07A67611A30}"/>
            </c:ext>
          </c:extLst>
        </c:ser>
        <c:ser>
          <c:idx val="66"/>
          <c:order val="66"/>
          <c:spPr>
            <a:solidFill>
              <a:srgbClr val="1AA7C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6-73DA-FC4D-8852-B07A67611A30}"/>
            </c:ext>
          </c:extLst>
        </c:ser>
        <c:ser>
          <c:idx val="67"/>
          <c:order val="67"/>
          <c:spPr>
            <a:solidFill>
              <a:srgbClr val="19AA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7-73DA-FC4D-8852-B07A67611A30}"/>
            </c:ext>
          </c:extLst>
        </c:ser>
        <c:ser>
          <c:idx val="68"/>
          <c:order val="68"/>
          <c:spPr>
            <a:solidFill>
              <a:srgbClr val="18AC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8-73DA-FC4D-8852-B07A67611A30}"/>
            </c:ext>
          </c:extLst>
        </c:ser>
        <c:ser>
          <c:idx val="69"/>
          <c:order val="69"/>
          <c:spPr>
            <a:solidFill>
              <a:srgbClr val="18AFC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9-73DA-FC4D-8852-B07A67611A30}"/>
            </c:ext>
          </c:extLst>
        </c:ser>
        <c:ser>
          <c:idx val="70"/>
          <c:order val="70"/>
          <c:spPr>
            <a:solidFill>
              <a:srgbClr val="17B1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A-73DA-FC4D-8852-B07A67611A30}"/>
            </c:ext>
          </c:extLst>
        </c:ser>
        <c:ser>
          <c:idx val="71"/>
          <c:order val="71"/>
          <c:spPr>
            <a:solidFill>
              <a:srgbClr val="16B4C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B-73DA-FC4D-8852-B07A67611A30}"/>
            </c:ext>
          </c:extLst>
        </c:ser>
        <c:ser>
          <c:idx val="72"/>
          <c:order val="72"/>
          <c:spPr>
            <a:solidFill>
              <a:srgbClr val="15B6C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C-73DA-FC4D-8852-B07A67611A30}"/>
            </c:ext>
          </c:extLst>
        </c:ser>
        <c:ser>
          <c:idx val="73"/>
          <c:order val="73"/>
          <c:spPr>
            <a:solidFill>
              <a:srgbClr val="15B9D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D-73DA-FC4D-8852-B07A67611A30}"/>
            </c:ext>
          </c:extLst>
        </c:ser>
        <c:ser>
          <c:idx val="74"/>
          <c:order val="74"/>
          <c:spPr>
            <a:solidFill>
              <a:srgbClr val="14BBD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E-73DA-FC4D-8852-B07A67611A30}"/>
            </c:ext>
          </c:extLst>
        </c:ser>
        <c:ser>
          <c:idx val="75"/>
          <c:order val="75"/>
          <c:spPr>
            <a:solidFill>
              <a:srgbClr val="13BED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F-73DA-FC4D-8852-B07A67611A30}"/>
            </c:ext>
          </c:extLst>
        </c:ser>
        <c:ser>
          <c:idx val="76"/>
          <c:order val="76"/>
          <c:spPr>
            <a:solidFill>
              <a:srgbClr val="12C1D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0-73DA-FC4D-8852-B07A67611A30}"/>
            </c:ext>
          </c:extLst>
        </c:ser>
        <c:ser>
          <c:idx val="77"/>
          <c:order val="77"/>
          <c:spPr>
            <a:solidFill>
              <a:srgbClr val="12C3D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1-73DA-FC4D-8852-B07A67611A30}"/>
            </c:ext>
          </c:extLst>
        </c:ser>
        <c:ser>
          <c:idx val="78"/>
          <c:order val="78"/>
          <c:spPr>
            <a:solidFill>
              <a:srgbClr val="11C6D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2-73DA-FC4D-8852-B07A67611A30}"/>
            </c:ext>
          </c:extLst>
        </c:ser>
        <c:ser>
          <c:idx val="79"/>
          <c:order val="79"/>
          <c:spPr>
            <a:solidFill>
              <a:srgbClr val="10C8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3-73DA-FC4D-8852-B07A67611A30}"/>
            </c:ext>
          </c:extLst>
        </c:ser>
        <c:ser>
          <c:idx val="80"/>
          <c:order val="80"/>
          <c:spPr>
            <a:solidFill>
              <a:srgbClr val="0FCBD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4-73DA-FC4D-8852-B07A67611A30}"/>
            </c:ext>
          </c:extLst>
        </c:ser>
        <c:ser>
          <c:idx val="81"/>
          <c:order val="81"/>
          <c:spPr>
            <a:solidFill>
              <a:srgbClr val="0FCDD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5-73DA-FC4D-8852-B07A67611A30}"/>
            </c:ext>
          </c:extLst>
        </c:ser>
        <c:ser>
          <c:idx val="82"/>
          <c:order val="82"/>
          <c:spPr>
            <a:solidFill>
              <a:srgbClr val="0ED0D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6-73DA-FC4D-8852-B07A67611A30}"/>
            </c:ext>
          </c:extLst>
        </c:ser>
        <c:ser>
          <c:idx val="83"/>
          <c:order val="83"/>
          <c:spPr>
            <a:solidFill>
              <a:srgbClr val="0DD2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7-73DA-FC4D-8852-B07A67611A30}"/>
            </c:ext>
          </c:extLst>
        </c:ser>
        <c:ser>
          <c:idx val="84"/>
          <c:order val="84"/>
          <c:spPr>
            <a:solidFill>
              <a:srgbClr val="0CD5D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8-73DA-FC4D-8852-B07A67611A30}"/>
            </c:ext>
          </c:extLst>
        </c:ser>
        <c:ser>
          <c:idx val="85"/>
          <c:order val="85"/>
          <c:spPr>
            <a:solidFill>
              <a:srgbClr val="0CD7D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9-73DA-FC4D-8852-B07A67611A30}"/>
            </c:ext>
          </c:extLst>
        </c:ser>
        <c:ser>
          <c:idx val="86"/>
          <c:order val="86"/>
          <c:spPr>
            <a:solidFill>
              <a:srgbClr val="0BDAD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A-73DA-FC4D-8852-B07A67611A30}"/>
            </c:ext>
          </c:extLst>
        </c:ser>
        <c:ser>
          <c:idx val="87"/>
          <c:order val="87"/>
          <c:spPr>
            <a:solidFill>
              <a:srgbClr val="0ADDD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B-73DA-FC4D-8852-B07A67611A30}"/>
            </c:ext>
          </c:extLst>
        </c:ser>
        <c:ser>
          <c:idx val="88"/>
          <c:order val="88"/>
          <c:spPr>
            <a:solidFill>
              <a:srgbClr val="09DF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C-73DA-FC4D-8852-B07A67611A30}"/>
            </c:ext>
          </c:extLst>
        </c:ser>
        <c:ser>
          <c:idx val="89"/>
          <c:order val="89"/>
          <c:spPr>
            <a:solidFill>
              <a:srgbClr val="09E2E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D-73DA-FC4D-8852-B07A67611A30}"/>
            </c:ext>
          </c:extLst>
        </c:ser>
        <c:ser>
          <c:idx val="90"/>
          <c:order val="90"/>
          <c:spPr>
            <a:solidFill>
              <a:srgbClr val="08E4E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E-73DA-FC4D-8852-B07A67611A30}"/>
            </c:ext>
          </c:extLst>
        </c:ser>
        <c:ser>
          <c:idx val="91"/>
          <c:order val="91"/>
          <c:spPr>
            <a:solidFill>
              <a:srgbClr val="07E7E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F-73DA-FC4D-8852-B07A67611A30}"/>
            </c:ext>
          </c:extLst>
        </c:ser>
        <c:ser>
          <c:idx val="92"/>
          <c:order val="92"/>
          <c:spPr>
            <a:solidFill>
              <a:srgbClr val="06E9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0-73DA-FC4D-8852-B07A67611A30}"/>
            </c:ext>
          </c:extLst>
        </c:ser>
        <c:ser>
          <c:idx val="93"/>
          <c:order val="93"/>
          <c:spPr>
            <a:solidFill>
              <a:srgbClr val="06ECE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1-73DA-FC4D-8852-B07A67611A30}"/>
            </c:ext>
          </c:extLst>
        </c:ser>
        <c:ser>
          <c:idx val="94"/>
          <c:order val="94"/>
          <c:spPr>
            <a:solidFill>
              <a:srgbClr val="05EE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2-73DA-FC4D-8852-B07A67611A30}"/>
            </c:ext>
          </c:extLst>
        </c:ser>
        <c:ser>
          <c:idx val="95"/>
          <c:order val="95"/>
          <c:spPr>
            <a:solidFill>
              <a:srgbClr val="04F1E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3-73DA-FC4D-8852-B07A67611A30}"/>
            </c:ext>
          </c:extLst>
        </c:ser>
        <c:ser>
          <c:idx val="96"/>
          <c:order val="96"/>
          <c:spPr>
            <a:solidFill>
              <a:srgbClr val="03F4E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4-73DA-FC4D-8852-B07A67611A30}"/>
            </c:ext>
          </c:extLst>
        </c:ser>
        <c:ser>
          <c:idx val="97"/>
          <c:order val="97"/>
          <c:spPr>
            <a:solidFill>
              <a:srgbClr val="03F6E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5-73DA-FC4D-8852-B07A67611A30}"/>
            </c:ext>
          </c:extLst>
        </c:ser>
        <c:ser>
          <c:idx val="98"/>
          <c:order val="98"/>
          <c:spPr>
            <a:solidFill>
              <a:srgbClr val="02F9E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6-73DA-FC4D-8852-B07A67611A30}"/>
            </c:ext>
          </c:extLst>
        </c:ser>
        <c:ser>
          <c:idx val="99"/>
          <c:order val="99"/>
          <c:spPr>
            <a:solidFill>
              <a:srgbClr val="01FB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7-73DA-FC4D-8852-B07A67611A30}"/>
            </c:ext>
          </c:extLst>
        </c:ser>
        <c:ser>
          <c:idx val="100"/>
          <c:order val="100"/>
          <c:spPr>
            <a:solidFill>
              <a:srgbClr val="00FEE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1.5971000000000002E-3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8-73DA-FC4D-8852-B07A67611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3595392"/>
        <c:axId val="712543136"/>
      </c:barChart>
      <c:catAx>
        <c:axId val="713595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2543136"/>
        <c:crosses val="autoZero"/>
        <c:auto val="1"/>
        <c:lblAlgn val="ctr"/>
        <c:lblOffset val="100"/>
        <c:noMultiLvlLbl val="0"/>
      </c:catAx>
      <c:valAx>
        <c:axId val="712543136"/>
        <c:scaling>
          <c:orientation val="minMax"/>
          <c:max val="1"/>
          <c:min val="0.84028999999999998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713595392"/>
        <c:crosses val="autoZero"/>
        <c:crossBetween val="between"/>
        <c:majorUnit val="3.9927500000000005E-2"/>
      </c:valAx>
      <c:spPr>
        <a:ln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EPI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43037787312518205"/>
          <c:y val="0.17491054201871759"/>
          <c:w val="0.56962212687481806"/>
          <c:h val="0.7962511478667752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0.6986</c:v>
              </c:pt>
            </c:numLit>
          </c:val>
          <c:extLst>
            <c:ext xmlns:c16="http://schemas.microsoft.com/office/drawing/2014/chart" uri="{C3380CC4-5D6E-409C-BE32-E72D297353CC}">
              <c16:uniqueId val="{00000000-8B09-7542-9B52-9E3542C11F57}"/>
            </c:ext>
          </c:extLst>
        </c:ser>
        <c:ser>
          <c:idx val="1"/>
          <c:order val="1"/>
          <c:spPr>
            <a:solidFill>
              <a:srgbClr val="4B018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1-8B09-7542-9B52-9E3542C11F57}"/>
            </c:ext>
          </c:extLst>
        </c:ser>
        <c:ser>
          <c:idx val="2"/>
          <c:order val="2"/>
          <c:spPr>
            <a:solidFill>
              <a:srgbClr val="4A048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2-8B09-7542-9B52-9E3542C11F57}"/>
            </c:ext>
          </c:extLst>
        </c:ser>
        <c:ser>
          <c:idx val="3"/>
          <c:order val="3"/>
          <c:spPr>
            <a:solidFill>
              <a:srgbClr val="49068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3-8B09-7542-9B52-9E3542C11F57}"/>
            </c:ext>
          </c:extLst>
        </c:ser>
        <c:ser>
          <c:idx val="4"/>
          <c:order val="4"/>
          <c:spPr>
            <a:solidFill>
              <a:srgbClr val="48098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4-8B09-7542-9B52-9E3542C11F57}"/>
            </c:ext>
          </c:extLst>
        </c:ser>
        <c:ser>
          <c:idx val="5"/>
          <c:order val="5"/>
          <c:spPr>
            <a:solidFill>
              <a:srgbClr val="480B8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5-8B09-7542-9B52-9E3542C11F57}"/>
            </c:ext>
          </c:extLst>
        </c:ser>
        <c:ser>
          <c:idx val="6"/>
          <c:order val="6"/>
          <c:spPr>
            <a:solidFill>
              <a:srgbClr val="470E8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6-8B09-7542-9B52-9E3542C11F57}"/>
            </c:ext>
          </c:extLst>
        </c:ser>
        <c:ser>
          <c:idx val="7"/>
          <c:order val="7"/>
          <c:spPr>
            <a:solidFill>
              <a:srgbClr val="46118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7-8B09-7542-9B52-9E3542C11F57}"/>
            </c:ext>
          </c:extLst>
        </c:ser>
        <c:ser>
          <c:idx val="8"/>
          <c:order val="8"/>
          <c:spPr>
            <a:solidFill>
              <a:srgbClr val="45138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8-8B09-7542-9B52-9E3542C11F57}"/>
            </c:ext>
          </c:extLst>
        </c:ser>
        <c:ser>
          <c:idx val="9"/>
          <c:order val="9"/>
          <c:spPr>
            <a:solidFill>
              <a:srgbClr val="4516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9-8B09-7542-9B52-9E3542C11F57}"/>
            </c:ext>
          </c:extLst>
        </c:ser>
        <c:ser>
          <c:idx val="10"/>
          <c:order val="10"/>
          <c:spPr>
            <a:solidFill>
              <a:srgbClr val="44188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A-8B09-7542-9B52-9E3542C11F57}"/>
            </c:ext>
          </c:extLst>
        </c:ser>
        <c:ser>
          <c:idx val="11"/>
          <c:order val="11"/>
          <c:spPr>
            <a:solidFill>
              <a:srgbClr val="431B8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B-8B09-7542-9B52-9E3542C11F57}"/>
            </c:ext>
          </c:extLst>
        </c:ser>
        <c:ser>
          <c:idx val="12"/>
          <c:order val="12"/>
          <c:spPr>
            <a:solidFill>
              <a:srgbClr val="421D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C-8B09-7542-9B52-9E3542C11F57}"/>
            </c:ext>
          </c:extLst>
        </c:ser>
        <c:ser>
          <c:idx val="13"/>
          <c:order val="13"/>
          <c:spPr>
            <a:solidFill>
              <a:srgbClr val="42208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D-8B09-7542-9B52-9E3542C11F57}"/>
            </c:ext>
          </c:extLst>
        </c:ser>
        <c:ser>
          <c:idx val="14"/>
          <c:order val="14"/>
          <c:spPr>
            <a:solidFill>
              <a:srgbClr val="4122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E-8B09-7542-9B52-9E3542C11F57}"/>
            </c:ext>
          </c:extLst>
        </c:ser>
        <c:ser>
          <c:idx val="15"/>
          <c:order val="15"/>
          <c:spPr>
            <a:solidFill>
              <a:srgbClr val="40259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0F-8B09-7542-9B52-9E3542C11F57}"/>
            </c:ext>
          </c:extLst>
        </c:ser>
        <c:ser>
          <c:idx val="16"/>
          <c:order val="16"/>
          <c:spPr>
            <a:solidFill>
              <a:srgbClr val="3F289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0-8B09-7542-9B52-9E3542C11F57}"/>
            </c:ext>
          </c:extLst>
        </c:ser>
        <c:ser>
          <c:idx val="17"/>
          <c:order val="17"/>
          <c:spPr>
            <a:solidFill>
              <a:srgbClr val="3F2A9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1-8B09-7542-9B52-9E3542C11F57}"/>
            </c:ext>
          </c:extLst>
        </c:ser>
        <c:ser>
          <c:idx val="18"/>
          <c:order val="18"/>
          <c:spPr>
            <a:solidFill>
              <a:srgbClr val="3E2D9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2-8B09-7542-9B52-9E3542C11F57}"/>
            </c:ext>
          </c:extLst>
        </c:ser>
        <c:ser>
          <c:idx val="19"/>
          <c:order val="19"/>
          <c:spPr>
            <a:solidFill>
              <a:srgbClr val="3D2F9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3-8B09-7542-9B52-9E3542C11F57}"/>
            </c:ext>
          </c:extLst>
        </c:ser>
        <c:ser>
          <c:idx val="20"/>
          <c:order val="20"/>
          <c:spPr>
            <a:solidFill>
              <a:srgbClr val="3C329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4-8B09-7542-9B52-9E3542C11F57}"/>
            </c:ext>
          </c:extLst>
        </c:ser>
        <c:ser>
          <c:idx val="21"/>
          <c:order val="21"/>
          <c:spPr>
            <a:solidFill>
              <a:srgbClr val="3C349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5-8B09-7542-9B52-9E3542C11F57}"/>
            </c:ext>
          </c:extLst>
        </c:ser>
        <c:ser>
          <c:idx val="22"/>
          <c:order val="22"/>
          <c:spPr>
            <a:solidFill>
              <a:srgbClr val="3B37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6-8B09-7542-9B52-9E3542C11F57}"/>
            </c:ext>
          </c:extLst>
        </c:ser>
        <c:ser>
          <c:idx val="23"/>
          <c:order val="23"/>
          <c:spPr>
            <a:solidFill>
              <a:srgbClr val="3A399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7-8B09-7542-9B52-9E3542C11F57}"/>
            </c:ext>
          </c:extLst>
        </c:ser>
        <c:ser>
          <c:idx val="24"/>
          <c:order val="24"/>
          <c:spPr>
            <a:solidFill>
              <a:srgbClr val="393C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8-8B09-7542-9B52-9E3542C11F57}"/>
            </c:ext>
          </c:extLst>
        </c:ser>
        <c:ser>
          <c:idx val="25"/>
          <c:order val="25"/>
          <c:spPr>
            <a:solidFill>
              <a:srgbClr val="393E9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9-8B09-7542-9B52-9E3542C11F57}"/>
            </c:ext>
          </c:extLst>
        </c:ser>
        <c:ser>
          <c:idx val="26"/>
          <c:order val="26"/>
          <c:spPr>
            <a:solidFill>
              <a:srgbClr val="38419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A-8B09-7542-9B52-9E3542C11F57}"/>
            </c:ext>
          </c:extLst>
        </c:ser>
        <c:ser>
          <c:idx val="27"/>
          <c:order val="27"/>
          <c:spPr>
            <a:solidFill>
              <a:srgbClr val="37449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B-8B09-7542-9B52-9E3542C11F57}"/>
            </c:ext>
          </c:extLst>
        </c:ser>
        <c:ser>
          <c:idx val="28"/>
          <c:order val="28"/>
          <c:spPr>
            <a:solidFill>
              <a:srgbClr val="36469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C-8B09-7542-9B52-9E3542C11F57}"/>
            </c:ext>
          </c:extLst>
        </c:ser>
        <c:ser>
          <c:idx val="29"/>
          <c:order val="29"/>
          <c:spPr>
            <a:solidFill>
              <a:srgbClr val="3649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D-8B09-7542-9B52-9E3542C11F57}"/>
            </c:ext>
          </c:extLst>
        </c:ser>
        <c:ser>
          <c:idx val="30"/>
          <c:order val="30"/>
          <c:spPr>
            <a:solidFill>
              <a:srgbClr val="354B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E-8B09-7542-9B52-9E3542C11F57}"/>
            </c:ext>
          </c:extLst>
        </c:ser>
        <c:ser>
          <c:idx val="31"/>
          <c:order val="31"/>
          <c:spPr>
            <a:solidFill>
              <a:srgbClr val="344EA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1F-8B09-7542-9B52-9E3542C11F57}"/>
            </c:ext>
          </c:extLst>
        </c:ser>
        <c:ser>
          <c:idx val="32"/>
          <c:order val="32"/>
          <c:spPr>
            <a:solidFill>
              <a:srgbClr val="3350A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0-8B09-7542-9B52-9E3542C11F57}"/>
            </c:ext>
          </c:extLst>
        </c:ser>
        <c:ser>
          <c:idx val="33"/>
          <c:order val="33"/>
          <c:spPr>
            <a:solidFill>
              <a:srgbClr val="3353A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1-8B09-7542-9B52-9E3542C11F57}"/>
            </c:ext>
          </c:extLst>
        </c:ser>
        <c:ser>
          <c:idx val="34"/>
          <c:order val="34"/>
          <c:spPr>
            <a:solidFill>
              <a:srgbClr val="3255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2-8B09-7542-9B52-9E3542C11F57}"/>
            </c:ext>
          </c:extLst>
        </c:ser>
        <c:ser>
          <c:idx val="35"/>
          <c:order val="35"/>
          <c:spPr>
            <a:solidFill>
              <a:srgbClr val="3158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3-8B09-7542-9B52-9E3542C11F57}"/>
            </c:ext>
          </c:extLst>
        </c:ser>
        <c:ser>
          <c:idx val="36"/>
          <c:order val="36"/>
          <c:spPr>
            <a:solidFill>
              <a:srgbClr val="305BA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4-8B09-7542-9B52-9E3542C11F57}"/>
            </c:ext>
          </c:extLst>
        </c:ser>
        <c:ser>
          <c:idx val="37"/>
          <c:order val="37"/>
          <c:spPr>
            <a:solidFill>
              <a:srgbClr val="305DA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5-8B09-7542-9B52-9E3542C11F57}"/>
            </c:ext>
          </c:extLst>
        </c:ser>
        <c:ser>
          <c:idx val="38"/>
          <c:order val="38"/>
          <c:spPr>
            <a:solidFill>
              <a:srgbClr val="2F60A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6-8B09-7542-9B52-9E3542C11F57}"/>
            </c:ext>
          </c:extLst>
        </c:ser>
        <c:ser>
          <c:idx val="39"/>
          <c:order val="39"/>
          <c:spPr>
            <a:solidFill>
              <a:srgbClr val="2E62A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7-8B09-7542-9B52-9E3542C11F57}"/>
            </c:ext>
          </c:extLst>
        </c:ser>
        <c:ser>
          <c:idx val="40"/>
          <c:order val="40"/>
          <c:spPr>
            <a:solidFill>
              <a:srgbClr val="2D65A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8-8B09-7542-9B52-9E3542C11F57}"/>
            </c:ext>
          </c:extLst>
        </c:ser>
        <c:ser>
          <c:idx val="41"/>
          <c:order val="41"/>
          <c:spPr>
            <a:solidFill>
              <a:srgbClr val="2D67A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9-8B09-7542-9B52-9E3542C11F57}"/>
            </c:ext>
          </c:extLst>
        </c:ser>
        <c:ser>
          <c:idx val="42"/>
          <c:order val="42"/>
          <c:spPr>
            <a:solidFill>
              <a:srgbClr val="2C6AA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A-8B09-7542-9B52-9E3542C11F57}"/>
            </c:ext>
          </c:extLst>
        </c:ser>
        <c:ser>
          <c:idx val="43"/>
          <c:order val="43"/>
          <c:spPr>
            <a:solidFill>
              <a:srgbClr val="2B6CA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B-8B09-7542-9B52-9E3542C11F57}"/>
            </c:ext>
          </c:extLst>
        </c:ser>
        <c:ser>
          <c:idx val="44"/>
          <c:order val="44"/>
          <c:spPr>
            <a:solidFill>
              <a:srgbClr val="2A6FB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C-8B09-7542-9B52-9E3542C11F57}"/>
            </c:ext>
          </c:extLst>
        </c:ser>
        <c:ser>
          <c:idx val="45"/>
          <c:order val="45"/>
          <c:spPr>
            <a:solidFill>
              <a:srgbClr val="2A71B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D-8B09-7542-9B52-9E3542C11F57}"/>
            </c:ext>
          </c:extLst>
        </c:ser>
        <c:ser>
          <c:idx val="46"/>
          <c:order val="46"/>
          <c:spPr>
            <a:solidFill>
              <a:srgbClr val="2974B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E-8B09-7542-9B52-9E3542C11F57}"/>
            </c:ext>
          </c:extLst>
        </c:ser>
        <c:ser>
          <c:idx val="47"/>
          <c:order val="47"/>
          <c:spPr>
            <a:solidFill>
              <a:srgbClr val="2877B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2F-8B09-7542-9B52-9E3542C11F57}"/>
            </c:ext>
          </c:extLst>
        </c:ser>
        <c:ser>
          <c:idx val="48"/>
          <c:order val="48"/>
          <c:spPr>
            <a:solidFill>
              <a:srgbClr val="2779B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0-8B09-7542-9B52-9E3542C11F57}"/>
            </c:ext>
          </c:extLst>
        </c:ser>
        <c:ser>
          <c:idx val="49"/>
          <c:order val="49"/>
          <c:spPr>
            <a:solidFill>
              <a:srgbClr val="277CB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1-8B09-7542-9B52-9E3542C11F57}"/>
            </c:ext>
          </c:extLst>
        </c:ser>
        <c:ser>
          <c:idx val="50"/>
          <c:order val="50"/>
          <c:spPr>
            <a:solidFill>
              <a:srgbClr val="267EB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2-8B09-7542-9B52-9E3542C11F57}"/>
            </c:ext>
          </c:extLst>
        </c:ser>
        <c:ser>
          <c:idx val="51"/>
          <c:order val="51"/>
          <c:spPr>
            <a:solidFill>
              <a:srgbClr val="2581B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3-8B09-7542-9B52-9E3542C11F57}"/>
            </c:ext>
          </c:extLst>
        </c:ser>
        <c:ser>
          <c:idx val="52"/>
          <c:order val="52"/>
          <c:spPr>
            <a:solidFill>
              <a:srgbClr val="2483B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4-8B09-7542-9B52-9E3542C11F57}"/>
            </c:ext>
          </c:extLst>
        </c:ser>
        <c:ser>
          <c:idx val="53"/>
          <c:order val="53"/>
          <c:spPr>
            <a:solidFill>
              <a:srgbClr val="2486B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5-8B09-7542-9B52-9E3542C11F57}"/>
            </c:ext>
          </c:extLst>
        </c:ser>
        <c:ser>
          <c:idx val="54"/>
          <c:order val="54"/>
          <c:spPr>
            <a:solidFill>
              <a:srgbClr val="2388B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6-8B09-7542-9B52-9E3542C11F57}"/>
            </c:ext>
          </c:extLst>
        </c:ser>
        <c:ser>
          <c:idx val="55"/>
          <c:order val="55"/>
          <c:spPr>
            <a:solidFill>
              <a:srgbClr val="228BB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7-8B09-7542-9B52-9E3542C11F57}"/>
            </c:ext>
          </c:extLst>
        </c:ser>
        <c:ser>
          <c:idx val="56"/>
          <c:order val="56"/>
          <c:spPr>
            <a:solidFill>
              <a:srgbClr val="218E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8-8B09-7542-9B52-9E3542C11F57}"/>
            </c:ext>
          </c:extLst>
        </c:ser>
        <c:ser>
          <c:idx val="57"/>
          <c:order val="57"/>
          <c:spPr>
            <a:solidFill>
              <a:srgbClr val="2190B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9-8B09-7542-9B52-9E3542C11F57}"/>
            </c:ext>
          </c:extLst>
        </c:ser>
        <c:ser>
          <c:idx val="58"/>
          <c:order val="58"/>
          <c:spPr>
            <a:solidFill>
              <a:srgbClr val="2093C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A-8B09-7542-9B52-9E3542C11F57}"/>
            </c:ext>
          </c:extLst>
        </c:ser>
        <c:ser>
          <c:idx val="59"/>
          <c:order val="59"/>
          <c:spPr>
            <a:solidFill>
              <a:srgbClr val="1F95C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B-8B09-7542-9B52-9E3542C11F57}"/>
            </c:ext>
          </c:extLst>
        </c:ser>
        <c:ser>
          <c:idx val="60"/>
          <c:order val="60"/>
          <c:spPr>
            <a:solidFill>
              <a:srgbClr val="1E98C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C-8B09-7542-9B52-9E3542C11F57}"/>
            </c:ext>
          </c:extLst>
        </c:ser>
        <c:ser>
          <c:idx val="61"/>
          <c:order val="61"/>
          <c:spPr>
            <a:solidFill>
              <a:srgbClr val="1E9AC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D-8B09-7542-9B52-9E3542C11F57}"/>
            </c:ext>
          </c:extLst>
        </c:ser>
        <c:ser>
          <c:idx val="62"/>
          <c:order val="62"/>
          <c:spPr>
            <a:solidFill>
              <a:srgbClr val="1D9D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E-8B09-7542-9B52-9E3542C11F57}"/>
            </c:ext>
          </c:extLst>
        </c:ser>
        <c:ser>
          <c:idx val="63"/>
          <c:order val="63"/>
          <c:spPr>
            <a:solidFill>
              <a:srgbClr val="1C9FC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3F-8B09-7542-9B52-9E3542C11F57}"/>
            </c:ext>
          </c:extLst>
        </c:ser>
        <c:ser>
          <c:idx val="64"/>
          <c:order val="64"/>
          <c:spPr>
            <a:solidFill>
              <a:srgbClr val="1BA2C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0-8B09-7542-9B52-9E3542C11F57}"/>
            </c:ext>
          </c:extLst>
        </c:ser>
        <c:ser>
          <c:idx val="65"/>
          <c:order val="65"/>
          <c:spPr>
            <a:solidFill>
              <a:srgbClr val="1BA4C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1-8B09-7542-9B52-9E3542C11F57}"/>
            </c:ext>
          </c:extLst>
        </c:ser>
        <c:ser>
          <c:idx val="66"/>
          <c:order val="66"/>
          <c:spPr>
            <a:solidFill>
              <a:srgbClr val="1AA7C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2-8B09-7542-9B52-9E3542C11F57}"/>
            </c:ext>
          </c:extLst>
        </c:ser>
        <c:ser>
          <c:idx val="67"/>
          <c:order val="67"/>
          <c:spPr>
            <a:solidFill>
              <a:srgbClr val="19AA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3-8B09-7542-9B52-9E3542C11F57}"/>
            </c:ext>
          </c:extLst>
        </c:ser>
        <c:ser>
          <c:idx val="68"/>
          <c:order val="68"/>
          <c:spPr>
            <a:solidFill>
              <a:srgbClr val="18ACC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4-8B09-7542-9B52-9E3542C11F57}"/>
            </c:ext>
          </c:extLst>
        </c:ser>
        <c:ser>
          <c:idx val="69"/>
          <c:order val="69"/>
          <c:spPr>
            <a:solidFill>
              <a:srgbClr val="18AFC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5-8B09-7542-9B52-9E3542C11F57}"/>
            </c:ext>
          </c:extLst>
        </c:ser>
        <c:ser>
          <c:idx val="70"/>
          <c:order val="70"/>
          <c:spPr>
            <a:solidFill>
              <a:srgbClr val="17B1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6-8B09-7542-9B52-9E3542C11F57}"/>
            </c:ext>
          </c:extLst>
        </c:ser>
        <c:ser>
          <c:idx val="71"/>
          <c:order val="71"/>
          <c:spPr>
            <a:solidFill>
              <a:srgbClr val="16B4C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7-8B09-7542-9B52-9E3542C11F57}"/>
            </c:ext>
          </c:extLst>
        </c:ser>
        <c:ser>
          <c:idx val="72"/>
          <c:order val="72"/>
          <c:spPr>
            <a:solidFill>
              <a:srgbClr val="15B6C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8-8B09-7542-9B52-9E3542C11F57}"/>
            </c:ext>
          </c:extLst>
        </c:ser>
        <c:ser>
          <c:idx val="73"/>
          <c:order val="73"/>
          <c:spPr>
            <a:solidFill>
              <a:srgbClr val="15B9D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9-8B09-7542-9B52-9E3542C11F57}"/>
            </c:ext>
          </c:extLst>
        </c:ser>
        <c:ser>
          <c:idx val="74"/>
          <c:order val="74"/>
          <c:spPr>
            <a:solidFill>
              <a:srgbClr val="14BBD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A-8B09-7542-9B52-9E3542C11F57}"/>
            </c:ext>
          </c:extLst>
        </c:ser>
        <c:ser>
          <c:idx val="75"/>
          <c:order val="75"/>
          <c:spPr>
            <a:solidFill>
              <a:srgbClr val="13BED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B-8B09-7542-9B52-9E3542C11F57}"/>
            </c:ext>
          </c:extLst>
        </c:ser>
        <c:ser>
          <c:idx val="76"/>
          <c:order val="76"/>
          <c:spPr>
            <a:solidFill>
              <a:srgbClr val="12C1D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C-8B09-7542-9B52-9E3542C11F57}"/>
            </c:ext>
          </c:extLst>
        </c:ser>
        <c:ser>
          <c:idx val="77"/>
          <c:order val="77"/>
          <c:spPr>
            <a:solidFill>
              <a:srgbClr val="12C3D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D-8B09-7542-9B52-9E3542C11F57}"/>
            </c:ext>
          </c:extLst>
        </c:ser>
        <c:ser>
          <c:idx val="78"/>
          <c:order val="78"/>
          <c:spPr>
            <a:solidFill>
              <a:srgbClr val="11C6D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E-8B09-7542-9B52-9E3542C11F57}"/>
            </c:ext>
          </c:extLst>
        </c:ser>
        <c:ser>
          <c:idx val="79"/>
          <c:order val="79"/>
          <c:spPr>
            <a:solidFill>
              <a:srgbClr val="10C8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4F-8B09-7542-9B52-9E3542C11F57}"/>
            </c:ext>
          </c:extLst>
        </c:ser>
        <c:ser>
          <c:idx val="80"/>
          <c:order val="80"/>
          <c:spPr>
            <a:solidFill>
              <a:srgbClr val="0FCBD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0-8B09-7542-9B52-9E3542C11F57}"/>
            </c:ext>
          </c:extLst>
        </c:ser>
        <c:ser>
          <c:idx val="81"/>
          <c:order val="81"/>
          <c:spPr>
            <a:solidFill>
              <a:srgbClr val="0FCDD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1-8B09-7542-9B52-9E3542C11F57}"/>
            </c:ext>
          </c:extLst>
        </c:ser>
        <c:ser>
          <c:idx val="82"/>
          <c:order val="82"/>
          <c:spPr>
            <a:solidFill>
              <a:srgbClr val="0ED0D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2-8B09-7542-9B52-9E3542C11F57}"/>
            </c:ext>
          </c:extLst>
        </c:ser>
        <c:ser>
          <c:idx val="83"/>
          <c:order val="83"/>
          <c:spPr>
            <a:solidFill>
              <a:srgbClr val="0DD2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3-8B09-7542-9B52-9E3542C11F57}"/>
            </c:ext>
          </c:extLst>
        </c:ser>
        <c:ser>
          <c:idx val="84"/>
          <c:order val="84"/>
          <c:spPr>
            <a:solidFill>
              <a:srgbClr val="0CD5D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4-8B09-7542-9B52-9E3542C11F57}"/>
            </c:ext>
          </c:extLst>
        </c:ser>
        <c:ser>
          <c:idx val="85"/>
          <c:order val="85"/>
          <c:spPr>
            <a:solidFill>
              <a:srgbClr val="0CD7D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5-8B09-7542-9B52-9E3542C11F57}"/>
            </c:ext>
          </c:extLst>
        </c:ser>
        <c:ser>
          <c:idx val="86"/>
          <c:order val="86"/>
          <c:spPr>
            <a:solidFill>
              <a:srgbClr val="0BDAD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6-8B09-7542-9B52-9E3542C11F57}"/>
            </c:ext>
          </c:extLst>
        </c:ser>
        <c:ser>
          <c:idx val="87"/>
          <c:order val="87"/>
          <c:spPr>
            <a:solidFill>
              <a:srgbClr val="0ADDD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7-8B09-7542-9B52-9E3542C11F57}"/>
            </c:ext>
          </c:extLst>
        </c:ser>
        <c:ser>
          <c:idx val="88"/>
          <c:order val="88"/>
          <c:spPr>
            <a:solidFill>
              <a:srgbClr val="09DF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8-8B09-7542-9B52-9E3542C11F57}"/>
            </c:ext>
          </c:extLst>
        </c:ser>
        <c:ser>
          <c:idx val="89"/>
          <c:order val="89"/>
          <c:spPr>
            <a:solidFill>
              <a:srgbClr val="09E2E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9-8B09-7542-9B52-9E3542C11F57}"/>
            </c:ext>
          </c:extLst>
        </c:ser>
        <c:ser>
          <c:idx val="90"/>
          <c:order val="90"/>
          <c:spPr>
            <a:solidFill>
              <a:srgbClr val="08E4E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A-8B09-7542-9B52-9E3542C11F57}"/>
            </c:ext>
          </c:extLst>
        </c:ser>
        <c:ser>
          <c:idx val="91"/>
          <c:order val="91"/>
          <c:spPr>
            <a:solidFill>
              <a:srgbClr val="07E7E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B-8B09-7542-9B52-9E3542C11F57}"/>
            </c:ext>
          </c:extLst>
        </c:ser>
        <c:ser>
          <c:idx val="92"/>
          <c:order val="92"/>
          <c:spPr>
            <a:solidFill>
              <a:srgbClr val="06E9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C-8B09-7542-9B52-9E3542C11F57}"/>
            </c:ext>
          </c:extLst>
        </c:ser>
        <c:ser>
          <c:idx val="93"/>
          <c:order val="93"/>
          <c:spPr>
            <a:solidFill>
              <a:srgbClr val="06ECE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D-8B09-7542-9B52-9E3542C11F57}"/>
            </c:ext>
          </c:extLst>
        </c:ser>
        <c:ser>
          <c:idx val="94"/>
          <c:order val="94"/>
          <c:spPr>
            <a:solidFill>
              <a:srgbClr val="05EE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E-8B09-7542-9B52-9E3542C11F57}"/>
            </c:ext>
          </c:extLst>
        </c:ser>
        <c:ser>
          <c:idx val="95"/>
          <c:order val="95"/>
          <c:spPr>
            <a:solidFill>
              <a:srgbClr val="04F1E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5F-8B09-7542-9B52-9E3542C11F57}"/>
            </c:ext>
          </c:extLst>
        </c:ser>
        <c:ser>
          <c:idx val="96"/>
          <c:order val="96"/>
          <c:spPr>
            <a:solidFill>
              <a:srgbClr val="03F4E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0-8B09-7542-9B52-9E3542C11F57}"/>
            </c:ext>
          </c:extLst>
        </c:ser>
        <c:ser>
          <c:idx val="97"/>
          <c:order val="97"/>
          <c:spPr>
            <a:solidFill>
              <a:srgbClr val="03F6E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1-8B09-7542-9B52-9E3542C11F57}"/>
            </c:ext>
          </c:extLst>
        </c:ser>
        <c:ser>
          <c:idx val="98"/>
          <c:order val="98"/>
          <c:spPr>
            <a:solidFill>
              <a:srgbClr val="02F9E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2-8B09-7542-9B52-9E3542C11F57}"/>
            </c:ext>
          </c:extLst>
        </c:ser>
        <c:ser>
          <c:idx val="99"/>
          <c:order val="99"/>
          <c:spPr>
            <a:solidFill>
              <a:srgbClr val="01FB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3-8B09-7542-9B52-9E3542C11F57}"/>
            </c:ext>
          </c:extLst>
        </c:ser>
        <c:ser>
          <c:idx val="100"/>
          <c:order val="100"/>
          <c:spPr>
            <a:solidFill>
              <a:srgbClr val="00FEE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1"/>
              <c:pt idx="0">
                <c:v>3.0140000000000002E-3</c:v>
              </c:pt>
            </c:numLit>
          </c:val>
          <c:extLst>
            <c:ext xmlns:c16="http://schemas.microsoft.com/office/drawing/2014/chart" uri="{C3380CC4-5D6E-409C-BE32-E72D297353CC}">
              <c16:uniqueId val="{00000064-8B09-7542-9B52-9E3542C11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6890624"/>
        <c:axId val="456879232"/>
      </c:barChart>
      <c:catAx>
        <c:axId val="456890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879232"/>
        <c:crosses val="autoZero"/>
        <c:auto val="1"/>
        <c:lblAlgn val="ctr"/>
        <c:lblOffset val="100"/>
        <c:noMultiLvlLbl val="0"/>
      </c:catAx>
      <c:valAx>
        <c:axId val="456879232"/>
        <c:scaling>
          <c:orientation val="minMax"/>
          <c:max val="1"/>
          <c:min val="0.6986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56890624"/>
        <c:crosses val="autoZero"/>
        <c:crossBetween val="between"/>
        <c:majorUnit val="7.535E-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9525"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586697</xdr:colOff>
      <xdr:row>9</xdr:row>
      <xdr:rowOff>187474</xdr:rowOff>
    </xdr:from>
    <xdr:to>
      <xdr:col>19</xdr:col>
      <xdr:colOff>558396</xdr:colOff>
      <xdr:row>56</xdr:row>
      <xdr:rowOff>129014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CA847C-1487-8D48-A68E-6054C10C5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854364</xdr:colOff>
      <xdr:row>32</xdr:row>
      <xdr:rowOff>57728</xdr:rowOff>
    </xdr:from>
    <xdr:to>
      <xdr:col>19</xdr:col>
      <xdr:colOff>18143</xdr:colOff>
      <xdr:row>50</xdr:row>
      <xdr:rowOff>177141</xdr:rowOff>
    </xdr:to>
    <xdr:graphicFrame macro="">
      <xdr:nvGraphicFramePr>
        <xdr:cNvPr id="6" name="TII_Color_Legend">
          <a:extLst>
            <a:ext uri="{FF2B5EF4-FFF2-40B4-BE49-F238E27FC236}">
              <a16:creationId xmlns:a16="http://schemas.microsoft.com/office/drawing/2014/main" id="{4CADE183-30EB-1306-3512-B01F4C941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0.95307</cdr:y>
    </cdr:from>
    <cdr:to>
      <cdr:x>1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C2085A6-C9EB-D307-701F-833D2B752B61}"/>
            </a:ext>
          </a:extLst>
        </cdr:cNvPr>
        <cdr:cNvSpPr txBox="1"/>
      </cdr:nvSpPr>
      <cdr:spPr>
        <a:xfrm xmlns:a="http://schemas.openxmlformats.org/drawingml/2006/main">
          <a:off x="0" y="8883944"/>
          <a:ext cx="10004699" cy="4374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Per Capita</a:t>
          </a:r>
          <a:r>
            <a:rPr lang="en-GB" sz="20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Gross National Income</a:t>
          </a:r>
          <a:r>
            <a:rPr lang="en-GB" sz="20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(International Dollars at Purchasing Power Parity)</a:t>
          </a:r>
          <a:endParaRPr lang="en-GB" sz="20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endParaRPr lang="en-GB" sz="2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0.38384</cdr:x>
      <cdr:y>0.01103</cdr:y>
    </cdr:from>
    <cdr:to>
      <cdr:x>0.47523</cdr:x>
      <cdr:y>0.10913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645DCBD-7FB9-E448-E6CB-A3C2945154DF}"/>
            </a:ext>
          </a:extLst>
        </cdr:cNvPr>
        <cdr:cNvSpPr txBox="1"/>
      </cdr:nvSpPr>
      <cdr:spPr>
        <a:xfrm xmlns:a="http://schemas.openxmlformats.org/drawingml/2006/main">
          <a:off x="3840160" y="10281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0.04835</cdr:x>
      <cdr:y>0.00908</cdr:y>
    </cdr:from>
    <cdr:to>
      <cdr:x>0.95869</cdr:x>
      <cdr:y>0.10056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2536E1A-B44C-D835-B356-E07D9C81973D}"/>
            </a:ext>
          </a:extLst>
        </cdr:cNvPr>
        <cdr:cNvSpPr txBox="1"/>
      </cdr:nvSpPr>
      <cdr:spPr>
        <a:xfrm xmlns:a="http://schemas.openxmlformats.org/drawingml/2006/main">
          <a:off x="483712" y="84638"/>
          <a:ext cx="9107734" cy="8527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ctr"/>
          <a:r>
            <a:rPr lang="en-GB" sz="2800" b="1">
              <a:latin typeface="Times New Roman" panose="02020603050405020304" pitchFamily="18" charset="0"/>
              <a:cs typeface="Times New Roman" panose="02020603050405020304" pitchFamily="18" charset="0"/>
            </a:rPr>
            <a:t>United Nations E-Government</a:t>
          </a:r>
          <a:r>
            <a:rPr lang="en-GB" sz="28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Development Index (EGDI)</a:t>
          </a:r>
        </a:p>
        <a:p xmlns:a="http://schemas.openxmlformats.org/drawingml/2006/main">
          <a:pPr algn="ctr"/>
          <a:r>
            <a:rPr lang="en-GB" sz="20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Countries with VH (Very High) Rating (2024) </a:t>
          </a:r>
          <a:endParaRPr lang="en-GB" sz="20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550411</xdr:colOff>
      <xdr:row>12</xdr:row>
      <xdr:rowOff>96761</xdr:rowOff>
    </xdr:from>
    <xdr:to>
      <xdr:col>19</xdr:col>
      <xdr:colOff>522110</xdr:colOff>
      <xdr:row>59</xdr:row>
      <xdr:rowOff>38301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44964C-AF23-AA4C-A548-A6621D67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1397000</xdr:colOff>
      <xdr:row>45</xdr:row>
      <xdr:rowOff>70556</xdr:rowOff>
    </xdr:from>
    <xdr:to>
      <xdr:col>14</xdr:col>
      <xdr:colOff>790223</xdr:colOff>
      <xdr:row>46</xdr:row>
      <xdr:rowOff>56443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2B58188-B866-7C77-CD2B-9CAA5963BB99}"/>
            </a:ext>
          </a:extLst>
        </xdr:cNvPr>
        <xdr:cNvSpPr txBox="1"/>
      </xdr:nvSpPr>
      <xdr:spPr>
        <a:xfrm>
          <a:off x="22916444" y="8960556"/>
          <a:ext cx="1227668" cy="183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>
              <a:latin typeface="Times New Roman" panose="02020603050405020304" pitchFamily="18" charset="0"/>
              <a:cs typeface="Times New Roman" panose="02020603050405020304" pitchFamily="18" charset="0"/>
            </a:rPr>
            <a:t>Size indicates</a:t>
          </a:r>
          <a:r>
            <a:rPr lang="en-GB" sz="800" baseline="0">
              <a:latin typeface="Times New Roman" panose="02020603050405020304" pitchFamily="18" charset="0"/>
              <a:cs typeface="Times New Roman" panose="02020603050405020304" pitchFamily="18" charset="0"/>
            </a:rPr>
            <a:t> population</a:t>
          </a:r>
          <a:endParaRPr lang="en-GB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1705429</xdr:colOff>
      <xdr:row>24</xdr:row>
      <xdr:rowOff>90715</xdr:rowOff>
    </xdr:from>
    <xdr:to>
      <xdr:col>9</xdr:col>
      <xdr:colOff>635000</xdr:colOff>
      <xdr:row>43</xdr:row>
      <xdr:rowOff>43543</xdr:rowOff>
    </xdr:to>
    <xdr:graphicFrame macro="">
      <xdr:nvGraphicFramePr>
        <xdr:cNvPr id="24" name="TII_Color_Legend">
          <a:extLst>
            <a:ext uri="{FF2B5EF4-FFF2-40B4-BE49-F238E27FC236}">
              <a16:creationId xmlns:a16="http://schemas.microsoft.com/office/drawing/2014/main" id="{600BDA0A-B26D-1F71-5D47-BC811EE31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0.07042</cdr:x>
      <cdr:y>0.09642</cdr:y>
    </cdr:from>
    <cdr:to>
      <cdr:x>0.4201</cdr:x>
      <cdr:y>0.20761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02B58188-B866-7C77-CD2B-9CAA5963BB99}"/>
            </a:ext>
          </a:extLst>
        </cdr:cNvPr>
        <cdr:cNvSpPr txBox="1"/>
      </cdr:nvSpPr>
      <cdr:spPr>
        <a:xfrm xmlns:a="http://schemas.openxmlformats.org/drawingml/2006/main">
          <a:off x="704494" y="898735"/>
          <a:ext cx="3498524" cy="103650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6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EGDI is</a:t>
          </a: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a composite of:</a:t>
          </a:r>
        </a:p>
        <a:p xmlns:a="http://schemas.openxmlformats.org/drawingml/2006/main">
          <a:pPr algn="l"/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- Telecommunications Infrastructure Index (TII)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- Online Service Index (OSI)</a:t>
          </a:r>
        </a:p>
        <a:p xmlns:a="http://schemas.openxmlformats.org/drawingml/2006/main"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- Human Capital Index (HCI)</a:t>
          </a:r>
          <a:endParaRPr lang="en-GB" sz="12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0.48861</cdr:x>
      <cdr:y>0.83045</cdr:y>
    </cdr:from>
    <cdr:to>
      <cdr:x>0.94237</cdr:x>
      <cdr:y>0.88689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926B138-B5D4-28A4-121B-E63EE05CE5F8}"/>
            </a:ext>
          </a:extLst>
        </cdr:cNvPr>
        <cdr:cNvSpPr txBox="1"/>
      </cdr:nvSpPr>
      <cdr:spPr>
        <a:xfrm xmlns:a="http://schemas.openxmlformats.org/drawingml/2006/main">
          <a:off x="4888415" y="7740954"/>
          <a:ext cx="4539747" cy="52614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6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Size</a:t>
          </a:r>
          <a:r>
            <a:rPr lang="en-GB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indicates population</a:t>
          </a:r>
        </a:p>
        <a:p xmlns:a="http://schemas.openxmlformats.org/drawingml/2006/main">
          <a:pPr algn="l"/>
          <a:r>
            <a:rPr lang="en-GB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Colour indicates Telecommunications Infrasturcture Index (TII) score</a:t>
          </a:r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0.04291</cdr:x>
      <cdr:y>0.95307</cdr:y>
    </cdr:from>
    <cdr:to>
      <cdr:x>0.99859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C2085A6-C9EB-D307-701F-833D2B752B61}"/>
            </a:ext>
          </a:extLst>
        </cdr:cNvPr>
        <cdr:cNvSpPr txBox="1"/>
      </cdr:nvSpPr>
      <cdr:spPr>
        <a:xfrm xmlns:a="http://schemas.openxmlformats.org/drawingml/2006/main">
          <a:off x="429303" y="8883953"/>
          <a:ext cx="9561286" cy="4374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Per Capita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Gross National Income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(International Dollars at Purchasing Power Parity, log scale)</a:t>
          </a:r>
          <a:endParaRPr lang="en-GB" sz="18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endParaRPr lang="en-GB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0.38384</cdr:x>
      <cdr:y>0.01103</cdr:y>
    </cdr:from>
    <cdr:to>
      <cdr:x>0.47523</cdr:x>
      <cdr:y>0.10913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645DCBD-7FB9-E448-E6CB-A3C2945154DF}"/>
            </a:ext>
          </a:extLst>
        </cdr:cNvPr>
        <cdr:cNvSpPr txBox="1"/>
      </cdr:nvSpPr>
      <cdr:spPr>
        <a:xfrm xmlns:a="http://schemas.openxmlformats.org/drawingml/2006/main">
          <a:off x="3840160" y="10281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0.07555</cdr:x>
      <cdr:y>0.00908</cdr:y>
    </cdr:from>
    <cdr:to>
      <cdr:x>0.94056</cdr:x>
      <cdr:y>0.10056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2536E1A-B44C-D835-B356-E07D9C81973D}"/>
            </a:ext>
          </a:extLst>
        </cdr:cNvPr>
        <cdr:cNvSpPr txBox="1"/>
      </cdr:nvSpPr>
      <cdr:spPr>
        <a:xfrm xmlns:a="http://schemas.openxmlformats.org/drawingml/2006/main">
          <a:off x="755875" y="84669"/>
          <a:ext cx="8654143" cy="852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2400" b="1">
              <a:latin typeface="Times New Roman" panose="02020603050405020304" pitchFamily="18" charset="0"/>
              <a:cs typeface="Times New Roman" panose="02020603050405020304" pitchFamily="18" charset="0"/>
            </a:rPr>
            <a:t>United Nations E-Government</a:t>
          </a:r>
          <a:r>
            <a:rPr lang="en-GB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Development Index (EGDI)</a:t>
          </a:r>
        </a:p>
        <a:p xmlns:a="http://schemas.openxmlformats.org/drawingml/2006/main">
          <a:pPr algn="ctr"/>
          <a:r>
            <a:rPr lang="en-GB" sz="20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All Countries (2024) </a:t>
          </a:r>
          <a:endParaRPr lang="en-GB" sz="20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550411</xdr:colOff>
      <xdr:row>12</xdr:row>
      <xdr:rowOff>96761</xdr:rowOff>
    </xdr:from>
    <xdr:to>
      <xdr:col>19</xdr:col>
      <xdr:colOff>522110</xdr:colOff>
      <xdr:row>59</xdr:row>
      <xdr:rowOff>38301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A285B2-DE8B-0C41-AD9F-2D0C75B9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1031875</xdr:colOff>
      <xdr:row>35</xdr:row>
      <xdr:rowOff>190500</xdr:rowOff>
    </xdr:from>
    <xdr:to>
      <xdr:col>18</xdr:col>
      <xdr:colOff>766884</xdr:colOff>
      <xdr:row>53</xdr:row>
      <xdr:rowOff>174625</xdr:rowOff>
    </xdr:to>
    <xdr:graphicFrame macro="">
      <xdr:nvGraphicFramePr>
        <xdr:cNvPr id="5" name="TII_Color_Legend">
          <a:extLst>
            <a:ext uri="{FF2B5EF4-FFF2-40B4-BE49-F238E27FC236}">
              <a16:creationId xmlns:a16="http://schemas.microsoft.com/office/drawing/2014/main" id="{5C26E2B1-1923-53CE-5D49-098311BDA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0.08783</cdr:x>
      <cdr:y>0.10992</cdr:y>
    </cdr:from>
    <cdr:to>
      <cdr:x>0.29969</cdr:x>
      <cdr:y>0.15572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02B58188-B866-7C77-CD2B-9CAA5963BB99}"/>
            </a:ext>
          </a:extLst>
        </cdr:cNvPr>
        <cdr:cNvSpPr txBox="1"/>
      </cdr:nvSpPr>
      <cdr:spPr>
        <a:xfrm xmlns:a="http://schemas.openxmlformats.org/drawingml/2006/main">
          <a:off x="877555" y="1043386"/>
          <a:ext cx="2116940" cy="43465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6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35% of OSI</a:t>
          </a: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is derived from E-Participation Index</a:t>
          </a: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(EPI)</a:t>
          </a:r>
        </a:p>
      </cdr:txBody>
    </cdr:sp>
  </cdr:relSizeAnchor>
  <cdr:relSizeAnchor xmlns:cdr="http://schemas.openxmlformats.org/drawingml/2006/chartDrawing">
    <cdr:from>
      <cdr:x>0.08824</cdr:x>
      <cdr:y>0.16374</cdr:y>
    </cdr:from>
    <cdr:to>
      <cdr:x>0.33003</cdr:x>
      <cdr:y>0.23797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926B138-B5D4-28A4-121B-E63EE05CE5F8}"/>
            </a:ext>
          </a:extLst>
        </cdr:cNvPr>
        <cdr:cNvSpPr txBox="1"/>
      </cdr:nvSpPr>
      <cdr:spPr>
        <a:xfrm xmlns:a="http://schemas.openxmlformats.org/drawingml/2006/main">
          <a:off x="881692" y="1554239"/>
          <a:ext cx="2415998" cy="70456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6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Size</a:t>
          </a:r>
          <a:r>
            <a:rPr lang="en-GB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indicates population</a:t>
          </a:r>
        </a:p>
        <a:p xmlns:a="http://schemas.openxmlformats.org/drawingml/2006/main">
          <a:pPr algn="l"/>
          <a:r>
            <a:rPr lang="en-GB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Colour indicates E-Participation Index (EPI) score</a:t>
          </a:r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0.04291</cdr:x>
      <cdr:y>0.95307</cdr:y>
    </cdr:from>
    <cdr:to>
      <cdr:x>0.99859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C2085A6-C9EB-D307-701F-833D2B752B61}"/>
            </a:ext>
          </a:extLst>
        </cdr:cNvPr>
        <cdr:cNvSpPr txBox="1"/>
      </cdr:nvSpPr>
      <cdr:spPr>
        <a:xfrm xmlns:a="http://schemas.openxmlformats.org/drawingml/2006/main">
          <a:off x="429303" y="8883953"/>
          <a:ext cx="9561286" cy="4374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Per Capita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Gross National Income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(International Dollars at Purchasing Power Parity, log scale)</a:t>
          </a:r>
          <a:endParaRPr lang="en-GB" sz="18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endParaRPr lang="en-GB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0.38384</cdr:x>
      <cdr:y>0.01103</cdr:y>
    </cdr:from>
    <cdr:to>
      <cdr:x>0.47523</cdr:x>
      <cdr:y>0.10913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645DCBD-7FB9-E448-E6CB-A3C2945154DF}"/>
            </a:ext>
          </a:extLst>
        </cdr:cNvPr>
        <cdr:cNvSpPr txBox="1"/>
      </cdr:nvSpPr>
      <cdr:spPr>
        <a:xfrm xmlns:a="http://schemas.openxmlformats.org/drawingml/2006/main">
          <a:off x="3840160" y="10281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0.07555</cdr:x>
      <cdr:y>0.00908</cdr:y>
    </cdr:from>
    <cdr:to>
      <cdr:x>0.94056</cdr:x>
      <cdr:y>0.10056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2536E1A-B44C-D835-B356-E07D9C81973D}"/>
            </a:ext>
          </a:extLst>
        </cdr:cNvPr>
        <cdr:cNvSpPr txBox="1"/>
      </cdr:nvSpPr>
      <cdr:spPr>
        <a:xfrm xmlns:a="http://schemas.openxmlformats.org/drawingml/2006/main">
          <a:off x="755875" y="84669"/>
          <a:ext cx="8654143" cy="852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2400" b="1">
              <a:latin typeface="Times New Roman" panose="02020603050405020304" pitchFamily="18" charset="0"/>
              <a:cs typeface="Times New Roman" panose="02020603050405020304" pitchFamily="18" charset="0"/>
            </a:rPr>
            <a:t>United Nations Online Service</a:t>
          </a:r>
          <a:r>
            <a:rPr lang="en-GB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Index (OSI)</a:t>
          </a:r>
        </a:p>
        <a:p xmlns:a="http://schemas.openxmlformats.org/drawingml/2006/main">
          <a:pPr algn="ctr"/>
          <a:r>
            <a:rPr lang="en-GB" sz="20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All Countries (2024) </a:t>
          </a:r>
          <a:endParaRPr lang="en-GB" sz="20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550411</xdr:colOff>
      <xdr:row>12</xdr:row>
      <xdr:rowOff>96761</xdr:rowOff>
    </xdr:from>
    <xdr:to>
      <xdr:col>19</xdr:col>
      <xdr:colOff>522110</xdr:colOff>
      <xdr:row>59</xdr:row>
      <xdr:rowOff>38301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06AD4-0B07-9B49-8253-C7FB9CC49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1052286</xdr:colOff>
      <xdr:row>33</xdr:row>
      <xdr:rowOff>145144</xdr:rowOff>
    </xdr:from>
    <xdr:to>
      <xdr:col>18</xdr:col>
      <xdr:colOff>819600</xdr:colOff>
      <xdr:row>53</xdr:row>
      <xdr:rowOff>54429</xdr:rowOff>
    </xdr:to>
    <xdr:graphicFrame macro="">
      <xdr:nvGraphicFramePr>
        <xdr:cNvPr id="8" name="TII_Color_Legend">
          <a:extLst>
            <a:ext uri="{FF2B5EF4-FFF2-40B4-BE49-F238E27FC236}">
              <a16:creationId xmlns:a16="http://schemas.microsoft.com/office/drawing/2014/main" id="{F58CA631-B0D1-3B77-2075-41F433A4F1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0.04291</cdr:x>
      <cdr:y>0.95307</cdr:y>
    </cdr:from>
    <cdr:to>
      <cdr:x>0.99859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C2085A6-C9EB-D307-701F-833D2B752B61}"/>
            </a:ext>
          </a:extLst>
        </cdr:cNvPr>
        <cdr:cNvSpPr txBox="1"/>
      </cdr:nvSpPr>
      <cdr:spPr>
        <a:xfrm xmlns:a="http://schemas.openxmlformats.org/drawingml/2006/main">
          <a:off x="429303" y="8883953"/>
          <a:ext cx="9561286" cy="4374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Per Capita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Gross National Income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(International Dollars at Purchasing Power Parity)</a:t>
          </a:r>
          <a:endParaRPr lang="en-GB" sz="18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endParaRPr lang="en-GB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0.38384</cdr:x>
      <cdr:y>0.01103</cdr:y>
    </cdr:from>
    <cdr:to>
      <cdr:x>0.47523</cdr:x>
      <cdr:y>0.10913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645DCBD-7FB9-E448-E6CB-A3C2945154DF}"/>
            </a:ext>
          </a:extLst>
        </cdr:cNvPr>
        <cdr:cNvSpPr txBox="1"/>
      </cdr:nvSpPr>
      <cdr:spPr>
        <a:xfrm xmlns:a="http://schemas.openxmlformats.org/drawingml/2006/main">
          <a:off x="3840160" y="10281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0.07555</cdr:x>
      <cdr:y>0.00908</cdr:y>
    </cdr:from>
    <cdr:to>
      <cdr:x>0.94056</cdr:x>
      <cdr:y>0.10056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2536E1A-B44C-D835-B356-E07D9C81973D}"/>
            </a:ext>
          </a:extLst>
        </cdr:cNvPr>
        <cdr:cNvSpPr txBox="1"/>
      </cdr:nvSpPr>
      <cdr:spPr>
        <a:xfrm xmlns:a="http://schemas.openxmlformats.org/drawingml/2006/main">
          <a:off x="755875" y="84669"/>
          <a:ext cx="8654143" cy="852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2400" b="1">
              <a:latin typeface="Times New Roman" panose="02020603050405020304" pitchFamily="18" charset="0"/>
              <a:cs typeface="Times New Roman" panose="02020603050405020304" pitchFamily="18" charset="0"/>
            </a:rPr>
            <a:t>United Nations Online Service</a:t>
          </a:r>
          <a:r>
            <a:rPr lang="en-GB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Index (OSI)</a:t>
          </a:r>
        </a:p>
        <a:p xmlns:a="http://schemas.openxmlformats.org/drawingml/2006/main">
          <a:pPr algn="ctr"/>
          <a:r>
            <a:rPr lang="en-GB" sz="20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Countries with VH (Very High) EGDI Rating (2024) </a:t>
          </a:r>
          <a:endParaRPr lang="en-GB" sz="20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1022125</xdr:colOff>
      <xdr:row>19</xdr:row>
      <xdr:rowOff>169332</xdr:rowOff>
    </xdr:from>
    <xdr:to>
      <xdr:col>13</xdr:col>
      <xdr:colOff>503967</xdr:colOff>
      <xdr:row>66</xdr:row>
      <xdr:rowOff>110872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EEFF40-A51E-BB46-95D1-7842AE561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1260475</xdr:colOff>
      <xdr:row>58</xdr:row>
      <xdr:rowOff>114300</xdr:rowOff>
    </xdr:from>
    <xdr:to>
      <xdr:col>0</xdr:col>
      <xdr:colOff>2290884</xdr:colOff>
      <xdr:row>76</xdr:row>
      <xdr:rowOff>98425</xdr:rowOff>
    </xdr:to>
    <xdr:graphicFrame macro="">
      <xdr:nvGraphicFramePr>
        <xdr:cNvPr id="5" name="TII_Color_Legend">
          <a:extLst>
            <a:ext uri="{FF2B5EF4-FFF2-40B4-BE49-F238E27FC236}">
              <a16:creationId xmlns:a16="http://schemas.microsoft.com/office/drawing/2014/main" id="{AE157FA5-47FB-044E-82E9-5A9A89EBA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1714500</xdr:colOff>
      <xdr:row>42</xdr:row>
      <xdr:rowOff>88900</xdr:rowOff>
    </xdr:from>
    <xdr:to>
      <xdr:col>12</xdr:col>
      <xdr:colOff>2819400</xdr:colOff>
      <xdr:row>61</xdr:row>
      <xdr:rowOff>12700</xdr:rowOff>
    </xdr:to>
    <xdr:graphicFrame macro="">
      <xdr:nvGraphicFramePr>
        <xdr:cNvPr id="6" name="TII_Color_Legend">
          <a:extLst>
            <a:ext uri="{FF2B5EF4-FFF2-40B4-BE49-F238E27FC236}">
              <a16:creationId xmlns:a16="http://schemas.microsoft.com/office/drawing/2014/main" id="{3E0C66F7-FDAE-94F5-650C-210E337BB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0.07555</cdr:x>
      <cdr:y>0.13065</cdr:y>
    </cdr:from>
    <cdr:to>
      <cdr:x>0.4056</cdr:x>
      <cdr:y>0.20488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926B138-B5D4-28A4-121B-E63EE05CE5F8}"/>
            </a:ext>
          </a:extLst>
        </cdr:cNvPr>
        <cdr:cNvSpPr txBox="1"/>
      </cdr:nvSpPr>
      <cdr:spPr>
        <a:xfrm xmlns:a="http://schemas.openxmlformats.org/drawingml/2006/main">
          <a:off x="755814" y="1217857"/>
          <a:ext cx="3302062" cy="69192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6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Size</a:t>
          </a:r>
          <a:r>
            <a:rPr lang="en-GB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indicates population</a:t>
          </a:r>
        </a:p>
        <a:p xmlns:a="http://schemas.openxmlformats.org/drawingml/2006/main">
          <a:pPr algn="l"/>
          <a:r>
            <a:rPr lang="en-GB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Colour indicates UN EGDI Human Capital Index (HCI) score</a:t>
          </a:r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0.04291</cdr:x>
      <cdr:y>0.95307</cdr:y>
    </cdr:from>
    <cdr:to>
      <cdr:x>0.99859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C2085A6-C9EB-D307-701F-833D2B752B61}"/>
            </a:ext>
          </a:extLst>
        </cdr:cNvPr>
        <cdr:cNvSpPr txBox="1"/>
      </cdr:nvSpPr>
      <cdr:spPr>
        <a:xfrm xmlns:a="http://schemas.openxmlformats.org/drawingml/2006/main">
          <a:off x="429303" y="8883953"/>
          <a:ext cx="9561286" cy="4374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Per Capita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Gross National Income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(International Dollars at Purchasing Power Parity, log scale)</a:t>
          </a:r>
          <a:endParaRPr lang="en-GB" sz="18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endParaRPr lang="en-GB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0.38384</cdr:x>
      <cdr:y>0.01103</cdr:y>
    </cdr:from>
    <cdr:to>
      <cdr:x>0.47523</cdr:x>
      <cdr:y>0.10913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645DCBD-7FB9-E448-E6CB-A3C2945154DF}"/>
            </a:ext>
          </a:extLst>
        </cdr:cNvPr>
        <cdr:cNvSpPr txBox="1"/>
      </cdr:nvSpPr>
      <cdr:spPr>
        <a:xfrm xmlns:a="http://schemas.openxmlformats.org/drawingml/2006/main">
          <a:off x="3840160" y="10281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0.07555</cdr:x>
      <cdr:y>0.00908</cdr:y>
    </cdr:from>
    <cdr:to>
      <cdr:x>0.94056</cdr:x>
      <cdr:y>0.10056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2536E1A-B44C-D835-B356-E07D9C81973D}"/>
            </a:ext>
          </a:extLst>
        </cdr:cNvPr>
        <cdr:cNvSpPr txBox="1"/>
      </cdr:nvSpPr>
      <cdr:spPr>
        <a:xfrm xmlns:a="http://schemas.openxmlformats.org/drawingml/2006/main">
          <a:off x="755875" y="84669"/>
          <a:ext cx="8654143" cy="852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2400" b="1">
              <a:latin typeface="Times New Roman" panose="02020603050405020304" pitchFamily="18" charset="0"/>
              <a:cs typeface="Times New Roman" panose="02020603050405020304" pitchFamily="18" charset="0"/>
            </a:rPr>
            <a:t>United Nations Telecommunications Infrastructure</a:t>
          </a:r>
          <a:r>
            <a:rPr lang="en-GB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Index (TII)</a:t>
          </a:r>
        </a:p>
        <a:p xmlns:a="http://schemas.openxmlformats.org/drawingml/2006/main">
          <a:pPr algn="ctr"/>
          <a:r>
            <a:rPr lang="en-GB" sz="20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All Countries (2024) </a:t>
          </a:r>
          <a:endParaRPr lang="en-GB" sz="20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822553</xdr:colOff>
      <xdr:row>4</xdr:row>
      <xdr:rowOff>6046</xdr:rowOff>
    </xdr:from>
    <xdr:to>
      <xdr:col>18</xdr:col>
      <xdr:colOff>794252</xdr:colOff>
      <xdr:row>50</xdr:row>
      <xdr:rowOff>147158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10097A-0661-1247-8DD0-5BC5DD38EB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163285</xdr:colOff>
      <xdr:row>26</xdr:row>
      <xdr:rowOff>42334</xdr:rowOff>
    </xdr:from>
    <xdr:to>
      <xdr:col>18</xdr:col>
      <xdr:colOff>139699</xdr:colOff>
      <xdr:row>44</xdr:row>
      <xdr:rowOff>194734</xdr:rowOff>
    </xdr:to>
    <xdr:graphicFrame macro="">
      <xdr:nvGraphicFramePr>
        <xdr:cNvPr id="4" name="TII_Color_Legend">
          <a:extLst>
            <a:ext uri="{FF2B5EF4-FFF2-40B4-BE49-F238E27FC236}">
              <a16:creationId xmlns:a16="http://schemas.microsoft.com/office/drawing/2014/main" id="{34F46BB7-2B6B-E7F2-D449-8590C6088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529771</xdr:colOff>
      <xdr:row>26</xdr:row>
      <xdr:rowOff>54428</xdr:rowOff>
    </xdr:from>
    <xdr:to>
      <xdr:col>20</xdr:col>
      <xdr:colOff>151942</xdr:colOff>
      <xdr:row>45</xdr:row>
      <xdr:rowOff>94342</xdr:rowOff>
    </xdr:to>
    <xdr:graphicFrame macro="">
      <xdr:nvGraphicFramePr>
        <xdr:cNvPr id="5" name="TII_Color_Legend">
          <a:extLst>
            <a:ext uri="{FF2B5EF4-FFF2-40B4-BE49-F238E27FC236}">
              <a16:creationId xmlns:a16="http://schemas.microsoft.com/office/drawing/2014/main" id="{D1CCA023-2FC0-7748-A3CE-5D214BFEE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0.04291</cdr:x>
      <cdr:y>0.95307</cdr:y>
    </cdr:from>
    <cdr:to>
      <cdr:x>0.99859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C2085A6-C9EB-D307-701F-833D2B752B61}"/>
            </a:ext>
          </a:extLst>
        </cdr:cNvPr>
        <cdr:cNvSpPr txBox="1"/>
      </cdr:nvSpPr>
      <cdr:spPr>
        <a:xfrm xmlns:a="http://schemas.openxmlformats.org/drawingml/2006/main">
          <a:off x="429303" y="8883953"/>
          <a:ext cx="9561286" cy="4374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Per Capita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Gross National Income</a:t>
          </a:r>
          <a:r>
            <a:rPr lang="en-GB" sz="18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(International Dollars at Purchasing Power Parity)</a:t>
          </a:r>
          <a:endParaRPr lang="en-GB" sz="18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endParaRPr lang="en-GB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0.38384</cdr:x>
      <cdr:y>0.01103</cdr:y>
    </cdr:from>
    <cdr:to>
      <cdr:x>0.47523</cdr:x>
      <cdr:y>0.10913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645DCBD-7FB9-E448-E6CB-A3C2945154DF}"/>
            </a:ext>
          </a:extLst>
        </cdr:cNvPr>
        <cdr:cNvSpPr txBox="1"/>
      </cdr:nvSpPr>
      <cdr:spPr>
        <a:xfrm xmlns:a="http://schemas.openxmlformats.org/drawingml/2006/main">
          <a:off x="3840160" y="10281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0.07555</cdr:x>
      <cdr:y>0.00908</cdr:y>
    </cdr:from>
    <cdr:to>
      <cdr:x>0.94056</cdr:x>
      <cdr:y>0.10056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2536E1A-B44C-D835-B356-E07D9C81973D}"/>
            </a:ext>
          </a:extLst>
        </cdr:cNvPr>
        <cdr:cNvSpPr txBox="1"/>
      </cdr:nvSpPr>
      <cdr:spPr>
        <a:xfrm xmlns:a="http://schemas.openxmlformats.org/drawingml/2006/main">
          <a:off x="755875" y="84669"/>
          <a:ext cx="8654143" cy="852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2400" b="1">
              <a:latin typeface="Times New Roman" panose="02020603050405020304" pitchFamily="18" charset="0"/>
              <a:cs typeface="Times New Roman" panose="02020603050405020304" pitchFamily="18" charset="0"/>
            </a:rPr>
            <a:t>United Nations Telecommunications Infrastructure</a:t>
          </a:r>
          <a:r>
            <a:rPr lang="en-GB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Index (TII)</a:t>
          </a:r>
        </a:p>
        <a:p xmlns:a="http://schemas.openxmlformats.org/drawingml/2006/main">
          <a:pPr algn="ctr"/>
          <a:r>
            <a:rPr lang="en-GB" sz="20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Countries with VH (Very High) EGDI Rating (2024) </a:t>
          </a:r>
          <a:endParaRPr lang="en-GB" sz="20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ac/Library/Mobile%20Documents/com~apple~CloudDocs/TDS/Book1(AutoRecovered).xlsx" TargetMode="External"/><Relationship Id="rId1" Type="http://schemas.openxmlformats.org/officeDocument/2006/relationships/externalLinkPath" Target="Book1(AutoRecovere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s"/>
      <sheetName val="Sheet3"/>
      <sheetName val="UN"/>
      <sheetName val="Sheet7"/>
      <sheetName val="MAIN"/>
      <sheetName val="PPP"/>
      <sheetName val="Sheet4"/>
      <sheetName val="Sheet5"/>
      <sheetName val="Sheet2"/>
      <sheetName val="Sheet6"/>
      <sheetName val="OEC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>
            <v>0.98473999999999995</v>
          </cell>
          <cell r="C2">
            <v>68300</v>
          </cell>
          <cell r="D2">
            <v>5.9</v>
          </cell>
        </row>
        <row r="3">
          <cell r="B3">
            <v>0.97274000000000005</v>
          </cell>
          <cell r="C3">
            <v>38110</v>
          </cell>
          <cell r="D3">
            <v>1.3</v>
          </cell>
        </row>
        <row r="4">
          <cell r="B4">
            <v>0.96911999999999998</v>
          </cell>
          <cell r="C4">
            <v>116500</v>
          </cell>
          <cell r="D4">
            <v>5.6</v>
          </cell>
        </row>
        <row r="5">
          <cell r="B5">
            <v>0.96789000000000003</v>
          </cell>
          <cell r="C5">
            <v>44740</v>
          </cell>
          <cell r="D5">
            <v>51.8</v>
          </cell>
        </row>
        <row r="6">
          <cell r="B6">
            <v>0.96706999999999999</v>
          </cell>
          <cell r="C6">
            <v>55220</v>
          </cell>
          <cell r="D6">
            <v>0.4</v>
          </cell>
        </row>
        <row r="7">
          <cell r="B7">
            <v>0.96021999999999996</v>
          </cell>
          <cell r="C7">
            <v>46120</v>
          </cell>
          <cell r="D7">
            <v>35.799999999999997</v>
          </cell>
        </row>
        <row r="8">
          <cell r="B8">
            <v>0.95772999999999997</v>
          </cell>
          <cell r="C8">
            <v>53070</v>
          </cell>
          <cell r="D8">
            <v>67.3</v>
          </cell>
        </row>
        <row r="9">
          <cell r="B9">
            <v>0.9577</v>
          </cell>
          <cell r="C9">
            <v>55100</v>
          </cell>
        </row>
        <row r="10">
          <cell r="B10">
            <v>0.95745999999999998</v>
          </cell>
          <cell r="C10">
            <v>53040</v>
          </cell>
          <cell r="D10">
            <v>5.5</v>
          </cell>
        </row>
        <row r="11">
          <cell r="B11">
            <v>0.95384000000000002</v>
          </cell>
          <cell r="C11">
            <v>61000</v>
          </cell>
          <cell r="D11">
            <v>17.5</v>
          </cell>
        </row>
        <row r="12">
          <cell r="B12">
            <v>0.95328000000000002</v>
          </cell>
          <cell r="C12">
            <v>74410</v>
          </cell>
          <cell r="D12">
            <v>9.3000000000000007</v>
          </cell>
        </row>
        <row r="13">
          <cell r="B13">
            <v>0.93820999999999999</v>
          </cell>
          <cell r="C13">
            <v>58370</v>
          </cell>
          <cell r="D13">
            <v>83.2</v>
          </cell>
        </row>
        <row r="14">
          <cell r="B14">
            <v>0.93510000000000004</v>
          </cell>
          <cell r="C14">
            <v>44600</v>
          </cell>
          <cell r="D14">
            <v>125.1</v>
          </cell>
        </row>
        <row r="15">
          <cell r="B15">
            <v>0.93262</v>
          </cell>
          <cell r="C15">
            <v>58780</v>
          </cell>
          <cell r="D15">
            <v>10.4</v>
          </cell>
        </row>
        <row r="16">
          <cell r="B16">
            <v>0.93152999999999997</v>
          </cell>
          <cell r="C16">
            <v>74940</v>
          </cell>
          <cell r="D16">
            <v>5.4</v>
          </cell>
        </row>
        <row r="17">
          <cell r="B17">
            <v>0.92654000000000003</v>
          </cell>
          <cell r="C17">
            <v>48830</v>
          </cell>
          <cell r="D17">
            <v>5.0999999999999996</v>
          </cell>
        </row>
        <row r="18">
          <cell r="B18">
            <v>0.92059999999999997</v>
          </cell>
          <cell r="C18">
            <v>42520</v>
          </cell>
          <cell r="D18">
            <v>47.4</v>
          </cell>
        </row>
        <row r="19">
          <cell r="B19">
            <v>0.91957999999999995</v>
          </cell>
          <cell r="C19">
            <v>47850</v>
          </cell>
          <cell r="D19">
            <v>1.5</v>
          </cell>
        </row>
        <row r="20">
          <cell r="B20">
            <v>0.91944999999999999</v>
          </cell>
          <cell r="C20">
            <v>70480</v>
          </cell>
          <cell r="D20">
            <v>333.3</v>
          </cell>
        </row>
        <row r="21">
          <cell r="B21">
            <v>0.91376999999999997</v>
          </cell>
          <cell r="C21">
            <v>99240</v>
          </cell>
          <cell r="D21">
            <v>5</v>
          </cell>
        </row>
        <row r="22">
          <cell r="B22">
            <v>0.91103999999999996</v>
          </cell>
          <cell r="C22">
            <v>42510</v>
          </cell>
          <cell r="D22">
            <v>2.8</v>
          </cell>
        </row>
        <row r="23">
          <cell r="B23">
            <v>0.90652999999999995</v>
          </cell>
          <cell r="C23">
            <v>60840</v>
          </cell>
          <cell r="D23">
            <v>9</v>
          </cell>
        </row>
        <row r="24">
          <cell r="B24">
            <v>0.90142999999999995</v>
          </cell>
          <cell r="C24">
            <v>44740</v>
          </cell>
          <cell r="D24">
            <v>9.3000000000000007</v>
          </cell>
        </row>
        <row r="25">
          <cell r="B25">
            <v>0.90093000000000001</v>
          </cell>
          <cell r="C25">
            <v>26940</v>
          </cell>
          <cell r="D25">
            <v>19.399999999999999</v>
          </cell>
        </row>
        <row r="26">
          <cell r="B26">
            <v>0.90059</v>
          </cell>
          <cell r="C26">
            <v>25660</v>
          </cell>
          <cell r="D26">
            <v>3.5</v>
          </cell>
        </row>
        <row r="27">
          <cell r="B27">
            <v>0.90034999999999998</v>
          </cell>
          <cell r="C27">
            <v>74250</v>
          </cell>
          <cell r="D27">
            <v>8.6999999999999993</v>
          </cell>
        </row>
        <row r="28">
          <cell r="B28">
            <v>0.89131000000000005</v>
          </cell>
          <cell r="C28">
            <v>32730</v>
          </cell>
          <cell r="D28">
            <v>85.3</v>
          </cell>
        </row>
        <row r="29">
          <cell r="B29">
            <v>0.88859999999999995</v>
          </cell>
          <cell r="C29">
            <v>54910</v>
          </cell>
          <cell r="D29">
            <v>0.5</v>
          </cell>
        </row>
        <row r="30">
          <cell r="B30">
            <v>0.88522000000000001</v>
          </cell>
          <cell r="C30">
            <v>35230</v>
          </cell>
          <cell r="D30">
            <v>1.8</v>
          </cell>
        </row>
        <row r="31">
          <cell r="B31">
            <v>0.88407000000000002</v>
          </cell>
          <cell r="C31">
            <v>14480</v>
          </cell>
          <cell r="D31">
            <v>41.2</v>
          </cell>
        </row>
        <row r="32">
          <cell r="B32">
            <v>0.88266</v>
          </cell>
          <cell r="C32">
            <v>25670</v>
          </cell>
          <cell r="D32">
            <v>19.5</v>
          </cell>
        </row>
        <row r="33">
          <cell r="B33">
            <v>0.88175000000000003</v>
          </cell>
          <cell r="C33">
            <v>34740</v>
          </cell>
          <cell r="D33">
            <v>3.9</v>
          </cell>
        </row>
        <row r="34">
          <cell r="B34">
            <v>0.87588999999999995</v>
          </cell>
          <cell r="C34">
            <v>43770</v>
          </cell>
          <cell r="D34">
            <v>2.1</v>
          </cell>
        </row>
        <row r="35">
          <cell r="B35">
            <v>0.87441999999999998</v>
          </cell>
          <cell r="C35">
            <v>50660</v>
          </cell>
          <cell r="D35">
            <v>67.8</v>
          </cell>
        </row>
        <row r="36">
          <cell r="B36">
            <v>0.87183999999999995</v>
          </cell>
          <cell r="C36">
            <v>18140</v>
          </cell>
          <cell r="D36">
            <v>1412.2</v>
          </cell>
        </row>
        <row r="37">
          <cell r="B37">
            <v>0.86736999999999997</v>
          </cell>
          <cell r="C37">
            <v>32160</v>
          </cell>
          <cell r="D37">
            <v>10.4</v>
          </cell>
        </row>
        <row r="38">
          <cell r="B38">
            <v>0.86480000000000001</v>
          </cell>
          <cell r="C38">
            <v>37710</v>
          </cell>
          <cell r="D38">
            <v>37.799999999999997</v>
          </cell>
        </row>
        <row r="39">
          <cell r="B39">
            <v>0.86187000000000002</v>
          </cell>
          <cell r="C39">
            <v>42230</v>
          </cell>
          <cell r="D39">
            <v>1.2</v>
          </cell>
        </row>
        <row r="40">
          <cell r="B40">
            <v>0.86184000000000005</v>
          </cell>
          <cell r="C40">
            <v>23170</v>
          </cell>
          <cell r="D40">
            <v>6.7</v>
          </cell>
        </row>
        <row r="41">
          <cell r="B41">
            <v>0.86162000000000005</v>
          </cell>
          <cell r="C41">
            <v>13360</v>
          </cell>
          <cell r="D41">
            <v>60</v>
          </cell>
        </row>
        <row r="42">
          <cell r="B42">
            <v>0.85758999999999996</v>
          </cell>
          <cell r="C42">
            <v>39840</v>
          </cell>
          <cell r="D42">
            <v>4.5</v>
          </cell>
        </row>
        <row r="43">
          <cell r="B43">
            <v>0.85733000000000004</v>
          </cell>
          <cell r="C43">
            <v>22270</v>
          </cell>
          <cell r="D43">
            <v>45.8</v>
          </cell>
        </row>
        <row r="44">
          <cell r="B44">
            <v>0.85324999999999995</v>
          </cell>
          <cell r="C44">
            <v>28710</v>
          </cell>
          <cell r="D44">
            <v>143.6</v>
          </cell>
        </row>
        <row r="45">
          <cell r="B45">
            <v>0.85284000000000004</v>
          </cell>
          <cell r="D45">
            <v>0.04</v>
          </cell>
        </row>
        <row r="46">
          <cell r="B46">
            <v>0.84658</v>
          </cell>
          <cell r="C46">
            <v>82230</v>
          </cell>
          <cell r="D46">
            <v>0.6</v>
          </cell>
        </row>
        <row r="47">
          <cell r="B47">
            <v>0.84569000000000005</v>
          </cell>
          <cell r="C47">
            <v>13350</v>
          </cell>
          <cell r="D47">
            <v>3.4</v>
          </cell>
        </row>
        <row r="48">
          <cell r="B48">
            <v>0.84516000000000002</v>
          </cell>
          <cell r="C48">
            <v>55970</v>
          </cell>
          <cell r="D48">
            <v>38.200000000000003</v>
          </cell>
        </row>
        <row r="49">
          <cell r="B49">
            <v>0.84216999999999997</v>
          </cell>
          <cell r="C49">
            <v>16950</v>
          </cell>
          <cell r="D49">
            <v>2.8</v>
          </cell>
        </row>
        <row r="50">
          <cell r="B50">
            <v>0.84153</v>
          </cell>
          <cell r="C50">
            <v>38730</v>
          </cell>
          <cell r="D50">
            <v>10.3</v>
          </cell>
        </row>
        <row r="51">
          <cell r="B51">
            <v>0.84026000000000001</v>
          </cell>
          <cell r="C51">
            <v>15600</v>
          </cell>
          <cell r="D51">
            <v>215.3</v>
          </cell>
        </row>
        <row r="52">
          <cell r="B52">
            <v>0.83557000000000003</v>
          </cell>
          <cell r="C52">
            <v>47190</v>
          </cell>
          <cell r="D52">
            <v>59</v>
          </cell>
        </row>
        <row r="53">
          <cell r="B53">
            <v>0.83509999999999995</v>
          </cell>
          <cell r="C53">
            <v>19110</v>
          </cell>
          <cell r="D53">
            <v>71.7</v>
          </cell>
        </row>
        <row r="54">
          <cell r="B54">
            <v>0.82438</v>
          </cell>
          <cell r="C54">
            <v>88070</v>
          </cell>
          <cell r="D54">
            <v>2.9</v>
          </cell>
        </row>
        <row r="55">
          <cell r="B55">
            <v>0.82394000000000001</v>
          </cell>
          <cell r="C55">
            <v>45130</v>
          </cell>
          <cell r="D55">
            <v>10.7</v>
          </cell>
        </row>
        <row r="56">
          <cell r="B56">
            <v>0.81452999999999998</v>
          </cell>
          <cell r="C56">
            <v>27800</v>
          </cell>
          <cell r="D56">
            <v>6.5</v>
          </cell>
        </row>
        <row r="57">
          <cell r="B57">
            <v>0.81211999999999995</v>
          </cell>
          <cell r="C57">
            <v>54640</v>
          </cell>
          <cell r="D57">
            <v>11.7</v>
          </cell>
        </row>
        <row r="58">
          <cell r="B58">
            <v>0.81113999999999997</v>
          </cell>
          <cell r="C58">
            <v>28650</v>
          </cell>
          <cell r="D58">
            <v>33.6</v>
          </cell>
        </row>
        <row r="59">
          <cell r="B59">
            <v>0.80700000000000005</v>
          </cell>
          <cell r="C59">
            <v>12480</v>
          </cell>
          <cell r="D59">
            <v>33.700000000000003</v>
          </cell>
        </row>
        <row r="60">
          <cell r="B60">
            <v>0.80430000000000001</v>
          </cell>
          <cell r="C60">
            <v>35540</v>
          </cell>
          <cell r="D60">
            <v>9.6</v>
          </cell>
        </row>
        <row r="61">
          <cell r="B61">
            <v>0.80213999999999996</v>
          </cell>
          <cell r="C61">
            <v>38540</v>
          </cell>
          <cell r="D61">
            <v>5.4</v>
          </cell>
        </row>
        <row r="62">
          <cell r="B62">
            <v>0.80088999999999999</v>
          </cell>
          <cell r="C62">
            <v>23340</v>
          </cell>
          <cell r="D62">
            <v>5.2</v>
          </cell>
        </row>
        <row r="63">
          <cell r="B63">
            <v>0.8</v>
          </cell>
          <cell r="C63">
            <v>16000</v>
          </cell>
          <cell r="D63">
            <v>2.8</v>
          </cell>
        </row>
        <row r="64">
          <cell r="B64">
            <v>0.79990000000000006</v>
          </cell>
          <cell r="C64">
            <v>9470</v>
          </cell>
          <cell r="D64">
            <v>35.299999999999997</v>
          </cell>
        </row>
        <row r="65">
          <cell r="B65">
            <v>0.79910999999999999</v>
          </cell>
          <cell r="C65">
            <v>12310</v>
          </cell>
          <cell r="D65">
            <v>275.5</v>
          </cell>
        </row>
        <row r="66">
          <cell r="B66">
            <v>0.78498999999999997</v>
          </cell>
          <cell r="C66">
            <v>20960</v>
          </cell>
          <cell r="D66">
            <v>127.5</v>
          </cell>
        </row>
        <row r="67">
          <cell r="B67">
            <v>0.78120000000000001</v>
          </cell>
          <cell r="C67">
            <v>74630</v>
          </cell>
          <cell r="D67">
            <v>4.3</v>
          </cell>
        </row>
        <row r="68">
          <cell r="B68">
            <v>0.77997000000000005</v>
          </cell>
          <cell r="C68">
            <v>11500</v>
          </cell>
          <cell r="D68">
            <v>18.100000000000001</v>
          </cell>
        </row>
        <row r="69">
          <cell r="B69">
            <v>0.77929999999999999</v>
          </cell>
          <cell r="C69">
            <v>16580</v>
          </cell>
          <cell r="D69">
            <v>51.5</v>
          </cell>
        </row>
        <row r="70">
          <cell r="B70">
            <v>0.77922999999999998</v>
          </cell>
          <cell r="C70">
            <v>18170</v>
          </cell>
          <cell r="D70">
            <v>3.7</v>
          </cell>
        </row>
        <row r="71">
          <cell r="B71">
            <v>0.77195000000000003</v>
          </cell>
          <cell r="C71">
            <v>14260</v>
          </cell>
          <cell r="D71">
            <v>2.6</v>
          </cell>
        </row>
        <row r="72">
          <cell r="B72">
            <v>0.77092000000000005</v>
          </cell>
          <cell r="C72">
            <v>11260</v>
          </cell>
          <cell r="D72">
            <v>98.2</v>
          </cell>
        </row>
        <row r="73">
          <cell r="B73">
            <v>0.76363999999999999</v>
          </cell>
          <cell r="C73">
            <v>34520</v>
          </cell>
          <cell r="D73">
            <v>19</v>
          </cell>
        </row>
        <row r="74">
          <cell r="B74">
            <v>0.76212000000000002</v>
          </cell>
          <cell r="C74">
            <v>9820</v>
          </cell>
          <cell r="D74">
            <v>115.6</v>
          </cell>
        </row>
        <row r="75">
          <cell r="B75">
            <v>0.76073000000000002</v>
          </cell>
          <cell r="C75">
            <v>14540</v>
          </cell>
          <cell r="D75">
            <v>10.199999999999999</v>
          </cell>
        </row>
        <row r="76">
          <cell r="B76">
            <v>0.75536000000000003</v>
          </cell>
          <cell r="C76">
            <v>83530</v>
          </cell>
          <cell r="D76">
            <v>0.4</v>
          </cell>
        </row>
        <row r="77">
          <cell r="B77">
            <v>0.75061</v>
          </cell>
          <cell r="C77">
            <v>24310</v>
          </cell>
          <cell r="D77">
            <v>1.3</v>
          </cell>
        </row>
        <row r="78">
          <cell r="B78">
            <v>0.74448999999999999</v>
          </cell>
          <cell r="C78">
            <v>20080</v>
          </cell>
          <cell r="D78">
            <v>9.3000000000000007</v>
          </cell>
        </row>
        <row r="79">
          <cell r="B79">
            <v>0.73160000000000003</v>
          </cell>
          <cell r="C79">
            <v>5300</v>
          </cell>
          <cell r="D79">
            <v>6.7</v>
          </cell>
        </row>
        <row r="80">
          <cell r="B80">
            <v>0.72980999999999996</v>
          </cell>
          <cell r="C80">
            <v>30990</v>
          </cell>
          <cell r="D80">
            <v>4.4000000000000004</v>
          </cell>
        </row>
        <row r="81">
          <cell r="B81">
            <v>0.72506999999999999</v>
          </cell>
          <cell r="C81">
            <v>13990</v>
          </cell>
          <cell r="D81">
            <v>7.3</v>
          </cell>
        </row>
        <row r="82">
          <cell r="B82">
            <v>0.72111000000000003</v>
          </cell>
          <cell r="C82">
            <v>22940</v>
          </cell>
          <cell r="D82">
            <v>0.6</v>
          </cell>
        </row>
        <row r="83">
          <cell r="B83">
            <v>0.71747000000000005</v>
          </cell>
          <cell r="D83">
            <v>0.04</v>
          </cell>
        </row>
        <row r="84">
          <cell r="B84">
            <v>0.71433999999999997</v>
          </cell>
          <cell r="C84">
            <v>34860</v>
          </cell>
          <cell r="D84">
            <v>0.4</v>
          </cell>
        </row>
        <row r="85">
          <cell r="B85">
            <v>0.70704</v>
          </cell>
          <cell r="C85">
            <v>18210</v>
          </cell>
          <cell r="D85">
            <v>2.1</v>
          </cell>
        </row>
        <row r="86">
          <cell r="B86">
            <v>0.70126999999999995</v>
          </cell>
          <cell r="C86">
            <v>20640</v>
          </cell>
          <cell r="D86">
            <v>10.8</v>
          </cell>
        </row>
        <row r="87">
          <cell r="B87">
            <v>0.69725999999999999</v>
          </cell>
          <cell r="C87">
            <v>26730</v>
          </cell>
          <cell r="D87">
            <v>1.4</v>
          </cell>
        </row>
        <row r="88">
          <cell r="B88">
            <v>0.69347999999999999</v>
          </cell>
          <cell r="C88">
            <v>11870</v>
          </cell>
          <cell r="D88">
            <v>12.3</v>
          </cell>
        </row>
        <row r="89">
          <cell r="B89">
            <v>0.68930999999999998</v>
          </cell>
          <cell r="D89">
            <v>0.08</v>
          </cell>
        </row>
        <row r="90">
          <cell r="B90">
            <v>0.68493000000000004</v>
          </cell>
          <cell r="C90">
            <v>11980</v>
          </cell>
          <cell r="D90">
            <v>11.1</v>
          </cell>
        </row>
        <row r="91">
          <cell r="B91">
            <v>0.68411</v>
          </cell>
          <cell r="C91">
            <v>9230</v>
          </cell>
          <cell r="D91">
            <v>37.799999999999997</v>
          </cell>
        </row>
        <row r="92">
          <cell r="B92">
            <v>0.68149999999999999</v>
          </cell>
          <cell r="C92">
            <v>17450</v>
          </cell>
          <cell r="D92">
            <v>0.3</v>
          </cell>
        </row>
        <row r="93">
          <cell r="B93">
            <v>0.67732999999999999</v>
          </cell>
          <cell r="C93">
            <v>26320</v>
          </cell>
          <cell r="D93">
            <v>0.1</v>
          </cell>
        </row>
        <row r="94">
          <cell r="B94">
            <v>0.67544000000000004</v>
          </cell>
          <cell r="C94">
            <v>12080</v>
          </cell>
          <cell r="D94">
            <v>0.9</v>
          </cell>
        </row>
        <row r="95">
          <cell r="B95">
            <v>0.67452999999999996</v>
          </cell>
          <cell r="C95">
            <v>19150</v>
          </cell>
          <cell r="D95">
            <v>0.5</v>
          </cell>
        </row>
        <row r="96">
          <cell r="B96">
            <v>0.66993999999999998</v>
          </cell>
          <cell r="C96">
            <v>14000</v>
          </cell>
          <cell r="D96">
            <v>110.9</v>
          </cell>
        </row>
        <row r="97">
          <cell r="B97">
            <v>0.66776999999999997</v>
          </cell>
          <cell r="C97">
            <v>10990</v>
          </cell>
          <cell r="D97">
            <v>2.8</v>
          </cell>
        </row>
        <row r="98">
          <cell r="B98">
            <v>0.66776000000000002</v>
          </cell>
          <cell r="C98">
            <v>7130</v>
          </cell>
          <cell r="D98">
            <v>1417.2</v>
          </cell>
        </row>
        <row r="99">
          <cell r="B99">
            <v>0.66668000000000005</v>
          </cell>
          <cell r="C99">
            <v>12570</v>
          </cell>
          <cell r="D99">
            <v>21.5</v>
          </cell>
        </row>
        <row r="100">
          <cell r="B100">
            <v>0.66508</v>
          </cell>
          <cell r="C100">
            <v>8550</v>
          </cell>
          <cell r="D100">
            <v>12.1</v>
          </cell>
        </row>
        <row r="101">
          <cell r="B101">
            <v>0.65695999999999999</v>
          </cell>
          <cell r="C101">
            <v>6530</v>
          </cell>
          <cell r="D101">
            <v>171.2</v>
          </cell>
        </row>
        <row r="102">
          <cell r="B102">
            <v>0.65639000000000003</v>
          </cell>
          <cell r="C102">
            <v>16790</v>
          </cell>
          <cell r="D102">
            <v>88.6</v>
          </cell>
        </row>
        <row r="103">
          <cell r="B103">
            <v>0.65508999999999995</v>
          </cell>
          <cell r="D103">
            <v>0.03</v>
          </cell>
        </row>
        <row r="104">
          <cell r="B104">
            <v>0.65110000000000001</v>
          </cell>
          <cell r="C104">
            <v>10840</v>
          </cell>
          <cell r="D104">
            <v>0.8</v>
          </cell>
        </row>
        <row r="105">
          <cell r="B105">
            <v>0.64576999999999996</v>
          </cell>
          <cell r="C105">
            <v>17460</v>
          </cell>
          <cell r="D105">
            <v>0.1</v>
          </cell>
        </row>
        <row r="106">
          <cell r="B106">
            <v>0.64281999999999995</v>
          </cell>
          <cell r="C106">
            <v>21840</v>
          </cell>
          <cell r="D106">
            <v>0.1</v>
          </cell>
        </row>
        <row r="107">
          <cell r="B107">
            <v>0.63654999999999995</v>
          </cell>
          <cell r="C107">
            <v>15120</v>
          </cell>
          <cell r="D107">
            <v>0.6</v>
          </cell>
        </row>
        <row r="108">
          <cell r="B108">
            <v>0.63292999999999999</v>
          </cell>
          <cell r="C108">
            <v>17650</v>
          </cell>
          <cell r="D108">
            <v>3.2</v>
          </cell>
        </row>
        <row r="109">
          <cell r="B109">
            <v>0.63168999999999997</v>
          </cell>
          <cell r="C109">
            <v>6220</v>
          </cell>
          <cell r="D109">
            <v>32.799999999999997</v>
          </cell>
        </row>
        <row r="110">
          <cell r="B110">
            <v>0.63139999999999996</v>
          </cell>
          <cell r="C110">
            <v>5150</v>
          </cell>
          <cell r="D110">
            <v>54</v>
          </cell>
        </row>
        <row r="111">
          <cell r="B111">
            <v>0.63053999999999999</v>
          </cell>
          <cell r="C111">
            <v>25940</v>
          </cell>
          <cell r="D111">
            <v>0.05</v>
          </cell>
        </row>
        <row r="112">
          <cell r="B112">
            <v>0.62378</v>
          </cell>
          <cell r="C112">
            <v>7000</v>
          </cell>
          <cell r="D112">
            <v>0.6</v>
          </cell>
        </row>
        <row r="113">
          <cell r="B113">
            <v>0.61177999999999999</v>
          </cell>
          <cell r="C113">
            <v>17220</v>
          </cell>
          <cell r="D113">
            <v>2.4</v>
          </cell>
        </row>
        <row r="114">
          <cell r="B114">
            <v>0.60811999999999999</v>
          </cell>
          <cell r="C114">
            <v>9550</v>
          </cell>
          <cell r="D114">
            <v>1.2</v>
          </cell>
        </row>
        <row r="115">
          <cell r="B115">
            <v>0.60074000000000005</v>
          </cell>
          <cell r="C115">
            <v>9650</v>
          </cell>
          <cell r="D115">
            <v>2.5</v>
          </cell>
        </row>
        <row r="116">
          <cell r="B116">
            <v>0.5988</v>
          </cell>
          <cell r="C116">
            <v>9000</v>
          </cell>
          <cell r="D116">
            <v>6.5</v>
          </cell>
        </row>
        <row r="117">
          <cell r="B117">
            <v>0.59555999999999998</v>
          </cell>
          <cell r="C117">
            <v>11430</v>
          </cell>
          <cell r="D117">
            <v>46.2</v>
          </cell>
        </row>
        <row r="118">
          <cell r="B118">
            <v>0.58762000000000003</v>
          </cell>
          <cell r="C118">
            <v>14990</v>
          </cell>
          <cell r="D118">
            <v>0.1</v>
          </cell>
        </row>
        <row r="119">
          <cell r="B119">
            <v>0.57992999999999995</v>
          </cell>
          <cell r="C119">
            <v>2370</v>
          </cell>
          <cell r="D119">
            <v>13.5</v>
          </cell>
        </row>
        <row r="120">
          <cell r="B120">
            <v>0.57813000000000003</v>
          </cell>
          <cell r="C120">
            <v>4190</v>
          </cell>
          <cell r="D120">
            <v>30</v>
          </cell>
        </row>
        <row r="121">
          <cell r="B121">
            <v>0.57535999999999998</v>
          </cell>
          <cell r="C121">
            <v>4580</v>
          </cell>
          <cell r="D121">
            <v>16.899999999999999</v>
          </cell>
        </row>
        <row r="122">
          <cell r="B122">
            <v>0.57408000000000003</v>
          </cell>
          <cell r="C122">
            <v>14970</v>
          </cell>
          <cell r="D122">
            <v>2.2999999999999998</v>
          </cell>
        </row>
        <row r="123">
          <cell r="B123">
            <v>0.57382999999999995</v>
          </cell>
          <cell r="C123">
            <v>9110</v>
          </cell>
          <cell r="D123">
            <v>18.100000000000001</v>
          </cell>
        </row>
        <row r="124">
          <cell r="B124">
            <v>0.56054999999999999</v>
          </cell>
          <cell r="C124">
            <v>4170</v>
          </cell>
          <cell r="D124">
            <v>10</v>
          </cell>
        </row>
        <row r="125">
          <cell r="B125">
            <v>0.55867999999999995</v>
          </cell>
          <cell r="C125">
            <v>6090</v>
          </cell>
          <cell r="D125">
            <v>29.4</v>
          </cell>
        </row>
        <row r="126">
          <cell r="B126">
            <v>0.54661999999999999</v>
          </cell>
          <cell r="C126">
            <v>13910</v>
          </cell>
          <cell r="D126">
            <v>6.9</v>
          </cell>
        </row>
        <row r="127">
          <cell r="B127">
            <v>0.54490000000000005</v>
          </cell>
          <cell r="C127">
            <v>11800</v>
          </cell>
          <cell r="D127">
            <v>5.3</v>
          </cell>
        </row>
        <row r="128">
          <cell r="B128">
            <v>0.54452</v>
          </cell>
          <cell r="C128">
            <v>12740</v>
          </cell>
          <cell r="D128">
            <v>7.0000000000000007E-2</v>
          </cell>
        </row>
        <row r="129">
          <cell r="B129">
            <v>0.54432000000000003</v>
          </cell>
          <cell r="C129">
            <v>20540</v>
          </cell>
          <cell r="D129">
            <v>0.8</v>
          </cell>
        </row>
        <row r="130">
          <cell r="B130">
            <v>0.54271000000000003</v>
          </cell>
          <cell r="C130">
            <v>3310</v>
          </cell>
          <cell r="D130">
            <v>0.3</v>
          </cell>
        </row>
        <row r="131">
          <cell r="B131">
            <v>0.54237000000000002</v>
          </cell>
          <cell r="C131">
            <v>3630</v>
          </cell>
          <cell r="D131">
            <v>19.600000000000001</v>
          </cell>
        </row>
        <row r="132">
          <cell r="B132">
            <v>0.53603000000000001</v>
          </cell>
          <cell r="C132">
            <v>17440</v>
          </cell>
          <cell r="D132">
            <v>28.2</v>
          </cell>
        </row>
        <row r="133">
          <cell r="B133">
            <v>0.53181</v>
          </cell>
          <cell r="C133">
            <v>5790</v>
          </cell>
          <cell r="D133">
            <v>7</v>
          </cell>
        </row>
        <row r="134">
          <cell r="B134">
            <v>0.52546999999999999</v>
          </cell>
          <cell r="C134">
            <v>13740</v>
          </cell>
          <cell r="D134">
            <v>0.2</v>
          </cell>
        </row>
        <row r="135">
          <cell r="B135">
            <v>0.51639000000000002</v>
          </cell>
          <cell r="C135">
            <v>6070</v>
          </cell>
          <cell r="D135">
            <v>0.1</v>
          </cell>
        </row>
        <row r="136">
          <cell r="B136">
            <v>0.51624999999999999</v>
          </cell>
          <cell r="C136">
            <v>4090</v>
          </cell>
          <cell r="D136">
            <v>17.899999999999999</v>
          </cell>
        </row>
        <row r="137">
          <cell r="B137">
            <v>0.50954999999999995</v>
          </cell>
          <cell r="C137">
            <v>5860</v>
          </cell>
          <cell r="D137">
            <v>235.8</v>
          </cell>
        </row>
        <row r="138">
          <cell r="B138">
            <v>0.50724000000000002</v>
          </cell>
          <cell r="C138">
            <v>14370</v>
          </cell>
          <cell r="D138">
            <v>0.02</v>
          </cell>
        </row>
        <row r="139">
          <cell r="B139">
            <v>0.50007000000000001</v>
          </cell>
          <cell r="C139">
            <v>5140</v>
          </cell>
          <cell r="D139">
            <v>54.2</v>
          </cell>
        </row>
        <row r="140">
          <cell r="B140">
            <v>0.49214000000000002</v>
          </cell>
          <cell r="C140">
            <v>8920</v>
          </cell>
          <cell r="D140">
            <v>11.1</v>
          </cell>
        </row>
        <row r="141">
          <cell r="B141">
            <v>0.4899</v>
          </cell>
          <cell r="C141">
            <v>6310</v>
          </cell>
          <cell r="D141">
            <v>0.2</v>
          </cell>
        </row>
        <row r="142">
          <cell r="B142">
            <v>0.48719000000000001</v>
          </cell>
          <cell r="C142">
            <v>9420</v>
          </cell>
          <cell r="D142">
            <v>0.4</v>
          </cell>
        </row>
        <row r="143">
          <cell r="B143">
            <v>0.48559000000000002</v>
          </cell>
          <cell r="C143">
            <v>6500</v>
          </cell>
          <cell r="D143">
            <v>10.3</v>
          </cell>
        </row>
        <row r="144">
          <cell r="B144">
            <v>0.48229</v>
          </cell>
          <cell r="C144">
            <v>6310</v>
          </cell>
          <cell r="D144">
            <v>0.06</v>
          </cell>
        </row>
        <row r="145">
          <cell r="B145">
            <v>0.48146</v>
          </cell>
          <cell r="C145">
            <v>5000</v>
          </cell>
          <cell r="D145">
            <v>218.5</v>
          </cell>
        </row>
        <row r="146">
          <cell r="B146">
            <v>0.47569</v>
          </cell>
          <cell r="C146">
            <v>16050</v>
          </cell>
          <cell r="D146">
            <v>6.3</v>
          </cell>
        </row>
        <row r="147">
          <cell r="B147">
            <v>0.45778999999999997</v>
          </cell>
          <cell r="C147">
            <v>3740</v>
          </cell>
          <cell r="D147">
            <v>13.7</v>
          </cell>
        </row>
        <row r="148">
          <cell r="B148">
            <v>0.45723000000000003</v>
          </cell>
          <cell r="C148">
            <v>2530</v>
          </cell>
          <cell r="D148">
            <v>0.1</v>
          </cell>
        </row>
        <row r="149">
          <cell r="B149">
            <v>0.45721000000000001</v>
          </cell>
          <cell r="C149">
            <v>14160</v>
          </cell>
          <cell r="D149">
            <v>44.5</v>
          </cell>
        </row>
        <row r="150">
          <cell r="B150">
            <v>0.44807000000000002</v>
          </cell>
          <cell r="C150">
            <v>2150</v>
          </cell>
          <cell r="D150">
            <v>16</v>
          </cell>
        </row>
        <row r="151">
          <cell r="B151">
            <v>0.44635999999999998</v>
          </cell>
          <cell r="C151">
            <v>2370</v>
          </cell>
          <cell r="D151">
            <v>45.9</v>
          </cell>
        </row>
        <row r="152">
          <cell r="B152">
            <v>0.44544</v>
          </cell>
          <cell r="D152">
            <v>0.01</v>
          </cell>
        </row>
        <row r="153">
          <cell r="B153">
            <v>0.44037999999999999</v>
          </cell>
          <cell r="C153">
            <v>12122</v>
          </cell>
          <cell r="D153">
            <v>7.5</v>
          </cell>
        </row>
        <row r="154">
          <cell r="B154">
            <v>0.43271999999999999</v>
          </cell>
          <cell r="C154">
            <v>3000</v>
          </cell>
          <cell r="D154">
            <v>63.6</v>
          </cell>
        </row>
        <row r="155">
          <cell r="B155">
            <v>0.43078</v>
          </cell>
          <cell r="C155">
            <v>4170</v>
          </cell>
          <cell r="D155">
            <v>0.2</v>
          </cell>
        </row>
        <row r="156">
          <cell r="B156">
            <v>0.42935000000000001</v>
          </cell>
          <cell r="C156">
            <v>4090</v>
          </cell>
          <cell r="D156">
            <v>27.2</v>
          </cell>
        </row>
        <row r="157">
          <cell r="B157">
            <v>0.41487000000000002</v>
          </cell>
          <cell r="C157">
            <v>6090</v>
          </cell>
          <cell r="D157">
            <v>35.6</v>
          </cell>
        </row>
        <row r="158">
          <cell r="B158">
            <v>0.41228999999999999</v>
          </cell>
          <cell r="C158">
            <v>2740</v>
          </cell>
          <cell r="D158">
            <v>2.2000000000000002</v>
          </cell>
        </row>
        <row r="159">
          <cell r="B159">
            <v>0.40425</v>
          </cell>
          <cell r="C159">
            <v>7790</v>
          </cell>
          <cell r="D159">
            <v>0.01</v>
          </cell>
        </row>
        <row r="160">
          <cell r="B160">
            <v>0.40201999999999999</v>
          </cell>
          <cell r="C160">
            <v>4170</v>
          </cell>
          <cell r="D160">
            <v>1.3</v>
          </cell>
        </row>
        <row r="161">
          <cell r="B161">
            <v>0.40059</v>
          </cell>
          <cell r="C161">
            <v>3000</v>
          </cell>
          <cell r="D161">
            <v>13.5</v>
          </cell>
        </row>
        <row r="162">
          <cell r="B162">
            <v>0.39198</v>
          </cell>
          <cell r="C162">
            <v>2800</v>
          </cell>
          <cell r="D162">
            <v>8.5</v>
          </cell>
        </row>
        <row r="163">
          <cell r="B163">
            <v>0.38875999999999999</v>
          </cell>
          <cell r="C163">
            <v>4610</v>
          </cell>
          <cell r="D163">
            <v>22.1</v>
          </cell>
        </row>
        <row r="164">
          <cell r="B164">
            <v>0.37534000000000001</v>
          </cell>
          <cell r="C164">
            <v>1500</v>
          </cell>
          <cell r="D164">
            <v>20</v>
          </cell>
        </row>
        <row r="165">
          <cell r="B165">
            <v>0.36810999999999999</v>
          </cell>
          <cell r="C165">
            <v>2700</v>
          </cell>
          <cell r="D165">
            <v>0.7</v>
          </cell>
        </row>
        <row r="166">
          <cell r="B166">
            <v>0.34911999999999999</v>
          </cell>
          <cell r="C166">
            <v>5860</v>
          </cell>
          <cell r="D166">
            <v>5</v>
          </cell>
        </row>
        <row r="167">
          <cell r="B167">
            <v>0.33911999999999998</v>
          </cell>
          <cell r="C167">
            <v>4170</v>
          </cell>
          <cell r="D167">
            <v>5.8</v>
          </cell>
        </row>
        <row r="168">
          <cell r="B168">
            <v>0.32351999999999997</v>
          </cell>
          <cell r="C168">
            <v>3740</v>
          </cell>
          <cell r="D168">
            <v>0.1</v>
          </cell>
        </row>
        <row r="169">
          <cell r="B169">
            <v>0.32346000000000003</v>
          </cell>
          <cell r="C169">
            <v>1600</v>
          </cell>
          <cell r="D169">
            <v>29.1</v>
          </cell>
        </row>
        <row r="170">
          <cell r="B170">
            <v>0.31108999999999998</v>
          </cell>
          <cell r="C170">
            <v>2370</v>
          </cell>
          <cell r="D170">
            <v>123.4</v>
          </cell>
        </row>
        <row r="171">
          <cell r="B171">
            <v>0.30830999999999997</v>
          </cell>
          <cell r="C171">
            <v>2370</v>
          </cell>
          <cell r="D171">
            <v>2.1</v>
          </cell>
        </row>
        <row r="172">
          <cell r="B172">
            <v>0.30756</v>
          </cell>
          <cell r="C172">
            <v>4230</v>
          </cell>
          <cell r="D172">
            <v>10.9</v>
          </cell>
        </row>
        <row r="173">
          <cell r="B173">
            <v>0.30421999999999999</v>
          </cell>
          <cell r="C173">
            <v>1660</v>
          </cell>
          <cell r="D173">
            <v>8.6999999999999993</v>
          </cell>
        </row>
        <row r="174">
          <cell r="B174">
            <v>0.30053000000000002</v>
          </cell>
          <cell r="C174">
            <v>2540</v>
          </cell>
          <cell r="D174">
            <v>23.3</v>
          </cell>
        </row>
        <row r="175">
          <cell r="B175">
            <v>0.29104999999999998</v>
          </cell>
          <cell r="C175">
            <v>4900</v>
          </cell>
          <cell r="D175">
            <v>1.1000000000000001</v>
          </cell>
        </row>
        <row r="176">
          <cell r="B176">
            <v>0.28946</v>
          </cell>
          <cell r="C176">
            <v>2420</v>
          </cell>
          <cell r="D176">
            <v>23.3</v>
          </cell>
        </row>
        <row r="177">
          <cell r="B177">
            <v>0.28554000000000002</v>
          </cell>
          <cell r="C177">
            <v>17330</v>
          </cell>
          <cell r="D177">
            <v>1.7</v>
          </cell>
        </row>
        <row r="178">
          <cell r="B178">
            <v>0.28476000000000001</v>
          </cell>
          <cell r="C178">
            <v>1520</v>
          </cell>
          <cell r="D178">
            <v>33.9</v>
          </cell>
        </row>
        <row r="179">
          <cell r="B179">
            <v>0.27594000000000002</v>
          </cell>
          <cell r="C179">
            <v>3870</v>
          </cell>
          <cell r="D179">
            <v>48.1</v>
          </cell>
        </row>
        <row r="180">
          <cell r="B180">
            <v>0.27149000000000001</v>
          </cell>
          <cell r="C180">
            <v>1270</v>
          </cell>
          <cell r="D180">
            <v>102.3</v>
          </cell>
        </row>
        <row r="181">
          <cell r="B181">
            <v>0.25862000000000002</v>
          </cell>
          <cell r="C181">
            <v>3620</v>
          </cell>
          <cell r="D181">
            <v>0.9</v>
          </cell>
        </row>
        <row r="182">
          <cell r="B182">
            <v>0.25517000000000001</v>
          </cell>
          <cell r="C182">
            <v>2280</v>
          </cell>
          <cell r="D182">
            <v>2.8</v>
          </cell>
        </row>
        <row r="183">
          <cell r="B183">
            <v>0.25133</v>
          </cell>
          <cell r="C183">
            <v>1620</v>
          </cell>
          <cell r="D183">
            <v>5.4</v>
          </cell>
        </row>
        <row r="184">
          <cell r="B184">
            <v>0.24804999999999999</v>
          </cell>
          <cell r="C184">
            <v>840</v>
          </cell>
          <cell r="D184">
            <v>12.9</v>
          </cell>
        </row>
        <row r="185">
          <cell r="B185">
            <v>0.23200999999999999</v>
          </cell>
          <cell r="C185">
            <v>840</v>
          </cell>
          <cell r="D185">
            <v>26.1</v>
          </cell>
        </row>
        <row r="186">
          <cell r="B186">
            <v>0.23175000000000001</v>
          </cell>
          <cell r="C186">
            <v>1840</v>
          </cell>
          <cell r="D186">
            <v>34.4</v>
          </cell>
        </row>
        <row r="187">
          <cell r="B187">
            <v>0.21165</v>
          </cell>
          <cell r="C187">
            <v>2110</v>
          </cell>
          <cell r="D187">
            <v>11.7</v>
          </cell>
        </row>
        <row r="188">
          <cell r="B188">
            <v>0.21157000000000001</v>
          </cell>
          <cell r="C188">
            <v>1830</v>
          </cell>
          <cell r="D188">
            <v>27.2</v>
          </cell>
        </row>
        <row r="189">
          <cell r="B189">
            <v>0.20827000000000001</v>
          </cell>
          <cell r="C189">
            <v>1500</v>
          </cell>
          <cell r="D189">
            <v>41.1</v>
          </cell>
        </row>
        <row r="190">
          <cell r="B190">
            <v>0.17852999999999999</v>
          </cell>
          <cell r="C190">
            <v>920</v>
          </cell>
          <cell r="D190">
            <v>17.8</v>
          </cell>
        </row>
        <row r="191">
          <cell r="B191">
            <v>0.15762000000000001</v>
          </cell>
          <cell r="C191">
            <v>980</v>
          </cell>
          <cell r="D191">
            <v>3.7</v>
          </cell>
        </row>
        <row r="192">
          <cell r="B192">
            <v>0.14677000000000001</v>
          </cell>
          <cell r="D192">
            <v>17.600000000000001</v>
          </cell>
        </row>
        <row r="193">
          <cell r="B193">
            <v>0.11907</v>
          </cell>
          <cell r="C193">
            <v>1200</v>
          </cell>
          <cell r="D193">
            <v>10.9</v>
          </cell>
        </row>
        <row r="194">
          <cell r="B194">
            <v>9.4700000000000006E-2</v>
          </cell>
          <cell r="C194">
            <v>980</v>
          </cell>
          <cell r="D194">
            <v>5.5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D8B3E-827D-3A40-8AD0-94E1F6CCB566}">
  <sheetPr codeName="Sheet2">
    <tabColor rgb="FF002060"/>
  </sheetPr>
  <dimension ref="A1:Z200"/>
  <sheetViews>
    <sheetView topLeftCell="F1" zoomScale="50" zoomScaleNormal="50" workbookViewId="0">
      <selection activeCell="A2" sqref="A2:A27"/>
    </sheetView>
  </sheetViews>
  <sheetFormatPr baseColWidth="10" defaultRowHeight="16" x14ac:dyDescent="0.2"/>
  <cols>
    <col min="1" max="2" width="30.6640625" customWidth="1"/>
    <col min="3" max="7" width="20.6640625" customWidth="1"/>
    <col min="8" max="8" width="23" customWidth="1"/>
    <col min="11" max="11" width="23.33203125" customWidth="1"/>
    <col min="13" max="13" width="38.1640625" customWidth="1"/>
    <col min="14" max="14" width="24" customWidth="1"/>
    <col min="17" max="17" width="19.83203125" customWidth="1"/>
    <col min="18" max="18" width="17" customWidth="1"/>
    <col min="20" max="20" width="18.83203125" customWidth="1"/>
    <col min="21" max="21" width="25.6640625" style="5" customWidth="1"/>
  </cols>
  <sheetData>
    <row r="1" spans="1:26" x14ac:dyDescent="0.2">
      <c r="A1" s="1" t="s">
        <v>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/>
      <c r="H1" s="2" t="s">
        <v>0</v>
      </c>
      <c r="I1" s="2" t="s">
        <v>5</v>
      </c>
      <c r="J1" s="2"/>
      <c r="K1" s="2" t="s">
        <v>0</v>
      </c>
      <c r="L1" s="2" t="s">
        <v>6</v>
      </c>
      <c r="M1" s="2"/>
      <c r="N1" s="2" t="s">
        <v>0</v>
      </c>
      <c r="O1" s="2" t="s">
        <v>7</v>
      </c>
      <c r="P1" s="2"/>
      <c r="Q1" s="2" t="s">
        <v>0</v>
      </c>
      <c r="R1" s="2" t="s">
        <v>8</v>
      </c>
      <c r="T1" s="3" t="s">
        <v>9</v>
      </c>
      <c r="U1" s="4" t="s">
        <v>10</v>
      </c>
      <c r="V1" s="3" t="s">
        <v>11</v>
      </c>
      <c r="W1">
        <v>1</v>
      </c>
      <c r="X1">
        <v>0.25</v>
      </c>
      <c r="Y1">
        <v>1</v>
      </c>
      <c r="Z1">
        <v>0.25</v>
      </c>
    </row>
    <row r="2" spans="1:26" x14ac:dyDescent="0.2">
      <c r="A2" t="str">
        <f>IF(E2&gt;1, B2, "")</f>
        <v>Denmark</v>
      </c>
      <c r="B2" t="s">
        <v>12</v>
      </c>
      <c r="C2">
        <v>0.98473999999999995</v>
      </c>
      <c r="D2">
        <f>INDEX($U$2:$U$194, MATCH(B2,$T$2:$T$194,0))</f>
        <v>68300</v>
      </c>
      <c r="E2">
        <f>INDEX($V$2:$V$194, MATCH(B2,$T$2:$T$194,0))</f>
        <v>5.9</v>
      </c>
      <c r="F2">
        <f>INDEX($R$2:$R$194, MATCH(B2,$Q$2:$Q$194,0))</f>
        <v>0.99661999999999995</v>
      </c>
      <c r="H2" t="s">
        <v>13</v>
      </c>
      <c r="I2">
        <v>1</v>
      </c>
      <c r="K2" t="s">
        <v>25</v>
      </c>
      <c r="L2">
        <v>1</v>
      </c>
      <c r="N2" t="s">
        <v>15</v>
      </c>
      <c r="O2">
        <v>1</v>
      </c>
      <c r="Q2" t="s">
        <v>16</v>
      </c>
      <c r="R2">
        <v>1</v>
      </c>
      <c r="T2" t="s">
        <v>12</v>
      </c>
      <c r="U2" s="5">
        <v>68300</v>
      </c>
      <c r="V2">
        <v>5.9</v>
      </c>
      <c r="W2">
        <v>2</v>
      </c>
      <c r="X2">
        <v>0.25376884422110552</v>
      </c>
      <c r="Y2">
        <v>2</v>
      </c>
      <c r="Z2">
        <v>0.25376884422110552</v>
      </c>
    </row>
    <row r="3" spans="1:26" x14ac:dyDescent="0.2">
      <c r="A3" t="str">
        <f t="shared" ref="A3:A66" si="0">IF(E3&gt;1, B3, "")</f>
        <v>Estonia</v>
      </c>
      <c r="B3" t="s">
        <v>17</v>
      </c>
      <c r="C3">
        <v>0.97274000000000005</v>
      </c>
      <c r="D3">
        <f t="shared" ref="D3:D66" si="1">INDEX($U$2:$U$194, MATCH(B3,$T$2:$T$194,0))</f>
        <v>38110</v>
      </c>
      <c r="E3">
        <f t="shared" ref="E3:E66" si="2">INDEX($V$2:$V$194, MATCH(B3,$T$2:$T$194,0))</f>
        <v>1.3</v>
      </c>
      <c r="F3">
        <f t="shared" ref="F3:F66" si="3">INDEX($R$2:$R$194, MATCH(B3,$Q$2:$Q$194,0))</f>
        <v>0.97309000000000001</v>
      </c>
      <c r="H3" t="s">
        <v>18</v>
      </c>
      <c r="I3">
        <v>0.98629999999999995</v>
      </c>
      <c r="K3" t="s">
        <v>12</v>
      </c>
      <c r="L3">
        <v>0.99924000000000002</v>
      </c>
      <c r="N3" t="s">
        <v>20</v>
      </c>
      <c r="O3">
        <v>0.99531000000000003</v>
      </c>
      <c r="Q3" t="s">
        <v>160</v>
      </c>
      <c r="R3">
        <v>0.99883</v>
      </c>
      <c r="T3" t="s">
        <v>17</v>
      </c>
      <c r="U3" s="5">
        <v>38110</v>
      </c>
      <c r="V3">
        <v>1.3</v>
      </c>
      <c r="W3">
        <v>3</v>
      </c>
      <c r="X3">
        <v>0.25753768844221103</v>
      </c>
      <c r="Y3">
        <v>3</v>
      </c>
      <c r="Z3">
        <v>0.25753768844221103</v>
      </c>
    </row>
    <row r="4" spans="1:26" x14ac:dyDescent="0.2">
      <c r="A4" t="str">
        <f t="shared" si="0"/>
        <v>Singapore</v>
      </c>
      <c r="B4" t="s">
        <v>22</v>
      </c>
      <c r="C4">
        <v>0.96911999999999998</v>
      </c>
      <c r="D4">
        <f t="shared" si="1"/>
        <v>116500</v>
      </c>
      <c r="E4">
        <f t="shared" si="2"/>
        <v>5.6</v>
      </c>
      <c r="F4">
        <f t="shared" si="3"/>
        <v>0.98806000000000005</v>
      </c>
      <c r="H4" t="s">
        <v>19</v>
      </c>
      <c r="I4">
        <v>0.98629999999999995</v>
      </c>
      <c r="K4" t="s">
        <v>17</v>
      </c>
      <c r="L4">
        <v>0.99534999999999996</v>
      </c>
      <c r="N4" t="s">
        <v>24</v>
      </c>
      <c r="O4">
        <v>0.98358999999999996</v>
      </c>
      <c r="Q4" t="s">
        <v>28</v>
      </c>
      <c r="R4">
        <v>0.99829000000000001</v>
      </c>
      <c r="T4" t="s">
        <v>22</v>
      </c>
      <c r="U4" s="5">
        <v>116500</v>
      </c>
      <c r="V4">
        <v>5.6</v>
      </c>
      <c r="W4">
        <v>4</v>
      </c>
      <c r="X4">
        <v>0.2613065326633166</v>
      </c>
      <c r="Y4">
        <v>4</v>
      </c>
      <c r="Z4">
        <v>0.2613065326633166</v>
      </c>
    </row>
    <row r="5" spans="1:26" x14ac:dyDescent="0.2">
      <c r="A5" t="str">
        <f t="shared" si="0"/>
        <v>South Korea</v>
      </c>
      <c r="B5" t="s">
        <v>25</v>
      </c>
      <c r="C5">
        <v>0.96789000000000003</v>
      </c>
      <c r="D5">
        <f t="shared" si="1"/>
        <v>44740</v>
      </c>
      <c r="E5">
        <f t="shared" si="2"/>
        <v>51.8</v>
      </c>
      <c r="F5">
        <f t="shared" si="3"/>
        <v>0.99170000000000003</v>
      </c>
      <c r="H5" t="s">
        <v>14</v>
      </c>
      <c r="I5">
        <v>0.97260000000000002</v>
      </c>
      <c r="K5" t="s">
        <v>31</v>
      </c>
      <c r="L5">
        <v>0.98995</v>
      </c>
      <c r="N5" t="s">
        <v>27</v>
      </c>
      <c r="O5">
        <v>0.96880999999999995</v>
      </c>
      <c r="Q5" t="s">
        <v>12</v>
      </c>
      <c r="R5">
        <v>0.99661999999999995</v>
      </c>
      <c r="T5" t="s">
        <v>25</v>
      </c>
      <c r="U5" s="5">
        <v>44740</v>
      </c>
      <c r="V5">
        <v>51.8</v>
      </c>
      <c r="W5">
        <v>5</v>
      </c>
      <c r="X5">
        <v>0.26507537688442212</v>
      </c>
      <c r="Y5">
        <v>5</v>
      </c>
      <c r="Z5">
        <v>0.26507537688442212</v>
      </c>
    </row>
    <row r="6" spans="1:26" x14ac:dyDescent="0.2">
      <c r="A6" t="s">
        <v>28</v>
      </c>
      <c r="B6" t="s">
        <v>28</v>
      </c>
      <c r="C6">
        <v>0.96706999999999999</v>
      </c>
      <c r="D6">
        <f t="shared" si="1"/>
        <v>55220</v>
      </c>
      <c r="E6">
        <f t="shared" si="2"/>
        <v>0.4</v>
      </c>
      <c r="F6">
        <f t="shared" si="3"/>
        <v>0.99829000000000001</v>
      </c>
      <c r="G6">
        <f>MIN(F2:F27)</f>
        <v>0.87280999999999997</v>
      </c>
      <c r="H6" t="s">
        <v>29</v>
      </c>
      <c r="I6">
        <v>0.97260000000000002</v>
      </c>
      <c r="K6" t="s">
        <v>13</v>
      </c>
      <c r="L6">
        <v>0.98536000000000001</v>
      </c>
      <c r="N6" t="s">
        <v>29</v>
      </c>
      <c r="O6">
        <v>0.96723999999999999</v>
      </c>
      <c r="Q6" t="s">
        <v>137</v>
      </c>
      <c r="R6">
        <v>0.99634</v>
      </c>
      <c r="T6" t="s">
        <v>28</v>
      </c>
      <c r="U6" s="5">
        <v>55220</v>
      </c>
      <c r="V6">
        <v>0.4</v>
      </c>
      <c r="W6">
        <v>6</v>
      </c>
      <c r="X6">
        <v>0.26884422110552764</v>
      </c>
      <c r="Y6">
        <v>6</v>
      </c>
      <c r="Z6">
        <v>0.26884422110552764</v>
      </c>
    </row>
    <row r="7" spans="1:26" x14ac:dyDescent="0.2">
      <c r="A7" t="str">
        <f t="shared" si="0"/>
        <v>Saudi Arabia</v>
      </c>
      <c r="B7" t="s">
        <v>31</v>
      </c>
      <c r="C7">
        <v>0.96021999999999996</v>
      </c>
      <c r="D7">
        <f t="shared" si="1"/>
        <v>46120</v>
      </c>
      <c r="E7">
        <f t="shared" si="2"/>
        <v>35.799999999999997</v>
      </c>
      <c r="F7">
        <f t="shared" si="3"/>
        <v>0.98411000000000004</v>
      </c>
      <c r="H7" t="s">
        <v>32</v>
      </c>
      <c r="I7">
        <v>0.97260000000000002</v>
      </c>
      <c r="K7" t="s">
        <v>22</v>
      </c>
      <c r="L7">
        <v>0.98306000000000004</v>
      </c>
      <c r="N7" t="s">
        <v>34</v>
      </c>
      <c r="O7">
        <v>0.96152000000000004</v>
      </c>
      <c r="Q7" t="s">
        <v>25</v>
      </c>
      <c r="R7">
        <v>0.99170000000000003</v>
      </c>
      <c r="T7" t="s">
        <v>31</v>
      </c>
      <c r="U7" s="5">
        <v>46120</v>
      </c>
      <c r="V7">
        <v>35.799999999999997</v>
      </c>
      <c r="W7">
        <v>7</v>
      </c>
      <c r="X7">
        <v>0.27261306532663315</v>
      </c>
      <c r="Y7">
        <v>7</v>
      </c>
      <c r="Z7">
        <v>0.27261306532663315</v>
      </c>
    </row>
    <row r="8" spans="1:26" x14ac:dyDescent="0.2">
      <c r="A8" t="str">
        <f t="shared" si="0"/>
        <v>U.K.</v>
      </c>
      <c r="B8" t="s">
        <v>32</v>
      </c>
      <c r="C8">
        <v>0.95772999999999997</v>
      </c>
      <c r="D8">
        <f t="shared" si="1"/>
        <v>53070</v>
      </c>
      <c r="E8">
        <f t="shared" si="2"/>
        <v>67.3</v>
      </c>
      <c r="F8">
        <f t="shared" si="3"/>
        <v>0.97467000000000004</v>
      </c>
      <c r="H8" t="s">
        <v>23</v>
      </c>
      <c r="I8">
        <v>0.95889999999999997</v>
      </c>
      <c r="K8" t="s">
        <v>32</v>
      </c>
      <c r="L8">
        <v>0.95348999999999995</v>
      </c>
      <c r="N8" t="s">
        <v>19</v>
      </c>
      <c r="O8">
        <v>0.95840999999999998</v>
      </c>
      <c r="Q8" t="s">
        <v>35</v>
      </c>
      <c r="R8">
        <v>0.99063999999999997</v>
      </c>
      <c r="T8" t="s">
        <v>32</v>
      </c>
      <c r="U8" s="5">
        <v>53070</v>
      </c>
      <c r="V8">
        <v>67.3</v>
      </c>
      <c r="W8">
        <v>8</v>
      </c>
      <c r="X8">
        <v>0.27638190954773867</v>
      </c>
      <c r="Y8">
        <v>8</v>
      </c>
      <c r="Z8">
        <v>0.27638190954773867</v>
      </c>
    </row>
    <row r="9" spans="1:26" x14ac:dyDescent="0.2">
      <c r="A9" t="str">
        <f t="shared" si="0"/>
        <v>Australia</v>
      </c>
      <c r="B9" t="s">
        <v>36</v>
      </c>
      <c r="C9">
        <v>0.9577</v>
      </c>
      <c r="D9">
        <f t="shared" si="1"/>
        <v>55100</v>
      </c>
      <c r="E9">
        <f t="shared" si="2"/>
        <v>25.7</v>
      </c>
      <c r="F9">
        <f t="shared" si="3"/>
        <v>0.95091999999999999</v>
      </c>
      <c r="H9" t="s">
        <v>20</v>
      </c>
      <c r="I9">
        <v>0.95889999999999997</v>
      </c>
      <c r="K9" t="s">
        <v>57</v>
      </c>
      <c r="L9">
        <v>0.94530000000000003</v>
      </c>
      <c r="N9" t="s">
        <v>23</v>
      </c>
      <c r="O9">
        <v>0.94972000000000001</v>
      </c>
      <c r="Q9" t="s">
        <v>37</v>
      </c>
      <c r="R9">
        <v>0.98875999999999997</v>
      </c>
      <c r="T9" t="s">
        <v>36</v>
      </c>
      <c r="U9" s="5">
        <v>55100</v>
      </c>
      <c r="V9">
        <v>25.7</v>
      </c>
      <c r="W9">
        <v>9</v>
      </c>
      <c r="X9">
        <v>0.28015075376884424</v>
      </c>
      <c r="Y9">
        <v>9</v>
      </c>
      <c r="Z9">
        <v>0.28015075376884424</v>
      </c>
    </row>
    <row r="10" spans="1:26" x14ac:dyDescent="0.2">
      <c r="A10" t="str">
        <f t="shared" si="0"/>
        <v>Finland</v>
      </c>
      <c r="B10" t="s">
        <v>38</v>
      </c>
      <c r="C10">
        <v>0.95745999999999998</v>
      </c>
      <c r="D10">
        <f t="shared" si="1"/>
        <v>53040</v>
      </c>
      <c r="E10">
        <f t="shared" si="2"/>
        <v>5.5</v>
      </c>
      <c r="F10">
        <f t="shared" si="3"/>
        <v>0.97909000000000002</v>
      </c>
      <c r="H10" t="s">
        <v>26</v>
      </c>
      <c r="I10">
        <v>0.95889999999999997</v>
      </c>
      <c r="K10" t="s">
        <v>49</v>
      </c>
      <c r="L10">
        <v>0.94274000000000002</v>
      </c>
      <c r="N10" t="s">
        <v>32</v>
      </c>
      <c r="O10">
        <v>0.94498000000000004</v>
      </c>
      <c r="Q10" t="s">
        <v>22</v>
      </c>
      <c r="R10">
        <v>0.98806000000000005</v>
      </c>
      <c r="T10" t="s">
        <v>38</v>
      </c>
      <c r="U10" s="5">
        <v>53040</v>
      </c>
      <c r="V10">
        <v>5.5</v>
      </c>
      <c r="W10">
        <v>10</v>
      </c>
      <c r="X10">
        <v>0.28391959798994976</v>
      </c>
      <c r="Y10">
        <v>10</v>
      </c>
      <c r="Z10">
        <v>0.28391959798994976</v>
      </c>
    </row>
    <row r="11" spans="1:26" x14ac:dyDescent="0.2">
      <c r="A11" t="str">
        <f t="shared" si="0"/>
        <v>Netherlands</v>
      </c>
      <c r="B11" t="s">
        <v>39</v>
      </c>
      <c r="C11">
        <v>0.95384000000000002</v>
      </c>
      <c r="D11">
        <f t="shared" si="1"/>
        <v>61000</v>
      </c>
      <c r="E11">
        <f t="shared" si="2"/>
        <v>17.5</v>
      </c>
      <c r="F11">
        <f t="shared" si="3"/>
        <v>0.97150999999999998</v>
      </c>
      <c r="H11" t="s">
        <v>33</v>
      </c>
      <c r="I11">
        <v>0.95889999999999997</v>
      </c>
      <c r="K11" t="s">
        <v>76</v>
      </c>
      <c r="L11">
        <v>0.93903000000000003</v>
      </c>
      <c r="N11" t="s">
        <v>41</v>
      </c>
      <c r="O11">
        <v>0.94355</v>
      </c>
      <c r="Q11" t="s">
        <v>63</v>
      </c>
      <c r="R11">
        <v>0.98773</v>
      </c>
      <c r="T11" t="s">
        <v>39</v>
      </c>
      <c r="U11" s="5">
        <v>61000</v>
      </c>
      <c r="V11">
        <v>17.5</v>
      </c>
      <c r="W11">
        <v>11</v>
      </c>
      <c r="X11">
        <v>0.28768844221105527</v>
      </c>
      <c r="Y11">
        <v>11</v>
      </c>
      <c r="Z11">
        <v>0.28768844221105527</v>
      </c>
    </row>
    <row r="12" spans="1:26" x14ac:dyDescent="0.2">
      <c r="A12" t="str">
        <f t="shared" si="0"/>
        <v>U.A.E.</v>
      </c>
      <c r="B12" t="s">
        <v>16</v>
      </c>
      <c r="C12">
        <v>0.95328000000000002</v>
      </c>
      <c r="D12">
        <f t="shared" si="1"/>
        <v>74410</v>
      </c>
      <c r="E12">
        <f t="shared" si="2"/>
        <v>9.3000000000000007</v>
      </c>
      <c r="F12">
        <f t="shared" si="3"/>
        <v>1</v>
      </c>
      <c r="H12" t="s">
        <v>43</v>
      </c>
      <c r="I12">
        <v>0.94520000000000004</v>
      </c>
      <c r="K12" t="s">
        <v>97</v>
      </c>
      <c r="L12">
        <v>0.92576000000000003</v>
      </c>
      <c r="N12" t="s">
        <v>33</v>
      </c>
      <c r="O12">
        <v>0.93615000000000004</v>
      </c>
      <c r="Q12" t="s">
        <v>179</v>
      </c>
      <c r="R12">
        <v>0.98680000000000001</v>
      </c>
      <c r="T12" t="s">
        <v>16</v>
      </c>
      <c r="U12" s="5">
        <v>74410</v>
      </c>
      <c r="V12">
        <v>9.3000000000000007</v>
      </c>
      <c r="W12">
        <v>12</v>
      </c>
      <c r="X12">
        <v>0.29145728643216079</v>
      </c>
      <c r="Y12">
        <v>12</v>
      </c>
      <c r="Z12">
        <v>0.29145728643216079</v>
      </c>
    </row>
    <row r="13" spans="1:26" x14ac:dyDescent="0.2">
      <c r="A13" t="str">
        <f t="shared" si="0"/>
        <v>Germany</v>
      </c>
      <c r="B13" t="s">
        <v>46</v>
      </c>
      <c r="C13">
        <v>0.93820999999999999</v>
      </c>
      <c r="D13">
        <f t="shared" si="1"/>
        <v>58370</v>
      </c>
      <c r="E13">
        <f t="shared" si="2"/>
        <v>83.2</v>
      </c>
      <c r="F13">
        <f t="shared" si="3"/>
        <v>0.92359000000000002</v>
      </c>
      <c r="H13" t="s">
        <v>27</v>
      </c>
      <c r="I13">
        <v>0.93149999999999999</v>
      </c>
      <c r="K13" t="s">
        <v>46</v>
      </c>
      <c r="L13">
        <v>0.92383999999999999</v>
      </c>
      <c r="N13" t="s">
        <v>47</v>
      </c>
      <c r="O13">
        <v>0.93298000000000003</v>
      </c>
      <c r="Q13" t="s">
        <v>52</v>
      </c>
      <c r="R13">
        <v>0.98678999999999994</v>
      </c>
      <c r="T13" t="s">
        <v>46</v>
      </c>
      <c r="U13" s="5">
        <v>58370</v>
      </c>
      <c r="V13">
        <v>83.2</v>
      </c>
      <c r="W13">
        <v>13</v>
      </c>
      <c r="X13">
        <v>0.29522613065326631</v>
      </c>
      <c r="Y13">
        <v>13</v>
      </c>
      <c r="Z13">
        <v>0.29522613065326631</v>
      </c>
    </row>
    <row r="14" spans="1:26" x14ac:dyDescent="0.2">
      <c r="A14" t="str">
        <f t="shared" si="0"/>
        <v>Japan</v>
      </c>
      <c r="B14" t="s">
        <v>49</v>
      </c>
      <c r="C14">
        <v>0.93510000000000004</v>
      </c>
      <c r="D14">
        <f t="shared" si="1"/>
        <v>44600</v>
      </c>
      <c r="E14">
        <f t="shared" si="2"/>
        <v>125.1</v>
      </c>
      <c r="F14">
        <f t="shared" si="3"/>
        <v>0.95091000000000003</v>
      </c>
      <c r="H14" t="s">
        <v>34</v>
      </c>
      <c r="I14">
        <v>0.93149999999999999</v>
      </c>
      <c r="K14" t="s">
        <v>50</v>
      </c>
      <c r="L14">
        <v>0.92252999999999996</v>
      </c>
      <c r="N14" t="s">
        <v>48</v>
      </c>
      <c r="O14">
        <v>0.92745</v>
      </c>
      <c r="Q14" t="s">
        <v>51</v>
      </c>
      <c r="R14">
        <v>0.98617999999999995</v>
      </c>
      <c r="T14" t="s">
        <v>49</v>
      </c>
      <c r="U14" s="5">
        <v>44600</v>
      </c>
      <c r="V14">
        <v>125.1</v>
      </c>
      <c r="W14">
        <v>14</v>
      </c>
      <c r="X14">
        <v>0.29899497487437188</v>
      </c>
      <c r="Y14">
        <v>14</v>
      </c>
      <c r="Z14">
        <v>0.29899497487437188</v>
      </c>
    </row>
    <row r="15" spans="1:26" x14ac:dyDescent="0.2">
      <c r="A15" t="str">
        <f t="shared" si="0"/>
        <v>Sweden</v>
      </c>
      <c r="B15" t="s">
        <v>52</v>
      </c>
      <c r="C15">
        <v>0.93262</v>
      </c>
      <c r="D15">
        <f t="shared" si="1"/>
        <v>58780</v>
      </c>
      <c r="E15">
        <f t="shared" si="2"/>
        <v>10.4</v>
      </c>
      <c r="F15">
        <f t="shared" si="3"/>
        <v>0.98678999999999994</v>
      </c>
      <c r="H15" t="s">
        <v>44</v>
      </c>
      <c r="I15">
        <v>0.93149999999999999</v>
      </c>
      <c r="K15" t="s">
        <v>36</v>
      </c>
      <c r="L15">
        <v>0.92218999999999995</v>
      </c>
      <c r="N15" t="s">
        <v>53</v>
      </c>
      <c r="O15">
        <v>0.92190000000000005</v>
      </c>
      <c r="Q15" t="s">
        <v>31</v>
      </c>
      <c r="R15">
        <v>0.98411000000000004</v>
      </c>
      <c r="T15" t="s">
        <v>52</v>
      </c>
      <c r="U15" s="5">
        <v>58780</v>
      </c>
      <c r="V15">
        <v>10.4</v>
      </c>
      <c r="W15">
        <v>15</v>
      </c>
      <c r="X15">
        <v>0.30276381909547739</v>
      </c>
      <c r="Y15">
        <v>15</v>
      </c>
      <c r="Z15">
        <v>0.30276381909547739</v>
      </c>
    </row>
    <row r="16" spans="1:26" x14ac:dyDescent="0.2">
      <c r="A16" t="str">
        <f t="shared" si="0"/>
        <v>Norway</v>
      </c>
      <c r="B16" t="s">
        <v>54</v>
      </c>
      <c r="C16">
        <v>0.93152999999999997</v>
      </c>
      <c r="D16">
        <f t="shared" si="1"/>
        <v>74940</v>
      </c>
      <c r="E16">
        <f t="shared" si="2"/>
        <v>5.4</v>
      </c>
      <c r="F16">
        <f t="shared" si="3"/>
        <v>0.96538999999999997</v>
      </c>
      <c r="H16" t="s">
        <v>55</v>
      </c>
      <c r="I16">
        <v>0.91779999999999995</v>
      </c>
      <c r="K16" t="s">
        <v>39</v>
      </c>
      <c r="L16">
        <v>0.92118</v>
      </c>
      <c r="N16" t="s">
        <v>50</v>
      </c>
      <c r="O16">
        <v>0.91922999999999999</v>
      </c>
      <c r="Q16" t="s">
        <v>56</v>
      </c>
      <c r="R16">
        <v>0.98096000000000005</v>
      </c>
      <c r="T16" t="s">
        <v>54</v>
      </c>
      <c r="U16" s="5">
        <v>74940</v>
      </c>
      <c r="V16">
        <v>5.4</v>
      </c>
      <c r="W16">
        <v>16</v>
      </c>
      <c r="X16">
        <v>0.30653266331658291</v>
      </c>
      <c r="Y16">
        <v>16</v>
      </c>
      <c r="Z16">
        <v>0.30653266331658291</v>
      </c>
    </row>
    <row r="17" spans="1:26" x14ac:dyDescent="0.2">
      <c r="A17" t="str">
        <f t="shared" si="0"/>
        <v>New Zealand</v>
      </c>
      <c r="B17" t="s">
        <v>57</v>
      </c>
      <c r="C17">
        <v>0.92654000000000003</v>
      </c>
      <c r="D17">
        <f t="shared" si="1"/>
        <v>48830</v>
      </c>
      <c r="E17">
        <f t="shared" si="2"/>
        <v>5.0999999999999996</v>
      </c>
      <c r="F17">
        <f t="shared" si="3"/>
        <v>0.87280999999999997</v>
      </c>
      <c r="H17" t="s">
        <v>58</v>
      </c>
      <c r="I17">
        <v>0.91779999999999995</v>
      </c>
      <c r="K17" t="s">
        <v>16</v>
      </c>
      <c r="L17">
        <v>0.91627000000000003</v>
      </c>
      <c r="N17" t="s">
        <v>59</v>
      </c>
      <c r="O17">
        <v>0.91747999999999996</v>
      </c>
      <c r="Q17" t="s">
        <v>38</v>
      </c>
      <c r="R17">
        <v>0.97909000000000002</v>
      </c>
      <c r="T17" t="s">
        <v>57</v>
      </c>
      <c r="U17" s="5">
        <v>48830</v>
      </c>
      <c r="V17">
        <v>5.0999999999999996</v>
      </c>
      <c r="W17">
        <v>17</v>
      </c>
      <c r="X17">
        <v>0.31030150753768843</v>
      </c>
      <c r="Y17">
        <v>17</v>
      </c>
      <c r="Z17">
        <v>0.31030150753768843</v>
      </c>
    </row>
    <row r="18" spans="1:26" x14ac:dyDescent="0.2">
      <c r="A18" t="str">
        <f t="shared" si="0"/>
        <v>Spain</v>
      </c>
      <c r="B18" t="s">
        <v>60</v>
      </c>
      <c r="C18">
        <v>0.92059999999999997</v>
      </c>
      <c r="D18">
        <f t="shared" si="1"/>
        <v>42520</v>
      </c>
      <c r="E18">
        <f t="shared" si="2"/>
        <v>47.4</v>
      </c>
      <c r="F18">
        <f t="shared" si="3"/>
        <v>0.96031</v>
      </c>
      <c r="H18" t="s">
        <v>61</v>
      </c>
      <c r="I18">
        <v>0.91779999999999995</v>
      </c>
      <c r="K18" t="s">
        <v>64</v>
      </c>
      <c r="L18">
        <v>0.91357999999999995</v>
      </c>
      <c r="N18" t="s">
        <v>14</v>
      </c>
      <c r="O18">
        <v>0.91198000000000001</v>
      </c>
      <c r="Q18" t="s">
        <v>74</v>
      </c>
      <c r="R18">
        <v>0.97633000000000003</v>
      </c>
      <c r="T18" t="s">
        <v>60</v>
      </c>
      <c r="U18" s="5">
        <v>42520</v>
      </c>
      <c r="V18">
        <v>47.4</v>
      </c>
      <c r="W18">
        <v>18</v>
      </c>
      <c r="X18">
        <v>0.31407035175879394</v>
      </c>
      <c r="Y18">
        <v>18</v>
      </c>
      <c r="Z18">
        <v>0.31407035175879394</v>
      </c>
    </row>
    <row r="19" spans="1:26" x14ac:dyDescent="0.2">
      <c r="A19" t="str">
        <f t="shared" si="0"/>
        <v>Bahrain</v>
      </c>
      <c r="B19" t="s">
        <v>63</v>
      </c>
      <c r="C19">
        <v>0.91957999999999995</v>
      </c>
      <c r="D19">
        <f t="shared" si="1"/>
        <v>47850</v>
      </c>
      <c r="E19">
        <f t="shared" si="2"/>
        <v>1.5</v>
      </c>
      <c r="F19">
        <f t="shared" si="3"/>
        <v>0.98773</v>
      </c>
      <c r="H19" t="s">
        <v>42</v>
      </c>
      <c r="I19">
        <v>0.90410000000000001</v>
      </c>
      <c r="K19" t="s">
        <v>54</v>
      </c>
      <c r="L19">
        <v>0.91171999999999997</v>
      </c>
      <c r="N19" t="s">
        <v>18</v>
      </c>
      <c r="O19">
        <v>0.91169999999999995</v>
      </c>
      <c r="Q19" t="s">
        <v>32</v>
      </c>
      <c r="R19">
        <v>0.97467000000000004</v>
      </c>
      <c r="T19" t="s">
        <v>63</v>
      </c>
      <c r="U19" s="5">
        <v>47850</v>
      </c>
      <c r="V19">
        <v>1.5</v>
      </c>
      <c r="W19">
        <v>19</v>
      </c>
      <c r="X19">
        <v>0.31783919597989951</v>
      </c>
      <c r="Y19">
        <v>19</v>
      </c>
      <c r="Z19">
        <v>0.31783919597989951</v>
      </c>
    </row>
    <row r="20" spans="1:26" x14ac:dyDescent="0.2">
      <c r="A20" t="str">
        <f t="shared" si="0"/>
        <v>U.S.A.</v>
      </c>
      <c r="B20" t="s">
        <v>64</v>
      </c>
      <c r="C20">
        <v>0.91944999999999999</v>
      </c>
      <c r="D20">
        <f t="shared" si="1"/>
        <v>70480</v>
      </c>
      <c r="E20">
        <f t="shared" si="2"/>
        <v>333.3</v>
      </c>
      <c r="F20">
        <f t="shared" si="3"/>
        <v>0.96052000000000004</v>
      </c>
      <c r="H20" t="s">
        <v>24</v>
      </c>
      <c r="I20">
        <v>0.89039999999999997</v>
      </c>
      <c r="K20" t="s">
        <v>38</v>
      </c>
      <c r="L20">
        <v>0.90973000000000004</v>
      </c>
      <c r="N20" t="s">
        <v>26</v>
      </c>
      <c r="O20">
        <v>0.90666000000000002</v>
      </c>
      <c r="Q20" t="s">
        <v>83</v>
      </c>
      <c r="R20">
        <v>0.97465999999999997</v>
      </c>
      <c r="T20" t="s">
        <v>64</v>
      </c>
      <c r="U20" s="5">
        <v>70480</v>
      </c>
      <c r="V20">
        <v>333.3</v>
      </c>
      <c r="W20">
        <v>20</v>
      </c>
      <c r="X20">
        <v>0.32160804020100503</v>
      </c>
      <c r="Y20">
        <v>20</v>
      </c>
      <c r="Z20">
        <v>0.32160804020100503</v>
      </c>
    </row>
    <row r="21" spans="1:26" x14ac:dyDescent="0.2">
      <c r="A21" t="str">
        <f t="shared" si="0"/>
        <v>Ireland</v>
      </c>
      <c r="B21" t="s">
        <v>66</v>
      </c>
      <c r="C21">
        <v>0.91376999999999997</v>
      </c>
      <c r="D21">
        <f t="shared" si="1"/>
        <v>99240</v>
      </c>
      <c r="E21">
        <f t="shared" si="2"/>
        <v>5</v>
      </c>
      <c r="F21">
        <f t="shared" si="3"/>
        <v>0.95987</v>
      </c>
      <c r="H21" t="s">
        <v>67</v>
      </c>
      <c r="I21">
        <v>0.89039999999999997</v>
      </c>
      <c r="K21" t="s">
        <v>28</v>
      </c>
      <c r="L21">
        <v>0.90754999999999997</v>
      </c>
      <c r="N21" t="s">
        <v>55</v>
      </c>
      <c r="O21">
        <v>0.90459999999999996</v>
      </c>
      <c r="Q21" t="s">
        <v>17</v>
      </c>
      <c r="R21">
        <v>0.97309000000000001</v>
      </c>
      <c r="T21" t="s">
        <v>66</v>
      </c>
      <c r="U21" s="5">
        <v>99240</v>
      </c>
      <c r="V21">
        <v>5</v>
      </c>
      <c r="W21">
        <v>21</v>
      </c>
      <c r="X21">
        <v>0.32537688442211055</v>
      </c>
      <c r="Y21">
        <v>21</v>
      </c>
      <c r="Z21">
        <v>0.32537688442211055</v>
      </c>
    </row>
    <row r="22" spans="1:26" x14ac:dyDescent="0.2">
      <c r="A22" t="str">
        <f t="shared" si="0"/>
        <v>Lithuania</v>
      </c>
      <c r="B22" t="s">
        <v>68</v>
      </c>
      <c r="C22">
        <v>0.91103999999999996</v>
      </c>
      <c r="D22">
        <f t="shared" si="1"/>
        <v>42510</v>
      </c>
      <c r="E22">
        <f t="shared" si="2"/>
        <v>2.8</v>
      </c>
      <c r="F22">
        <f t="shared" si="3"/>
        <v>0.96309</v>
      </c>
      <c r="H22" t="s">
        <v>69</v>
      </c>
      <c r="I22">
        <v>0.87670000000000003</v>
      </c>
      <c r="K22" t="s">
        <v>130</v>
      </c>
      <c r="L22">
        <v>0.90630999999999995</v>
      </c>
      <c r="N22" t="s">
        <v>71</v>
      </c>
      <c r="O22">
        <v>0.90264</v>
      </c>
      <c r="Q22" t="s">
        <v>39</v>
      </c>
      <c r="R22">
        <v>0.97150999999999998</v>
      </c>
      <c r="T22" t="s">
        <v>68</v>
      </c>
      <c r="U22" s="5">
        <v>42510</v>
      </c>
      <c r="V22">
        <v>2.8</v>
      </c>
      <c r="W22">
        <v>22</v>
      </c>
      <c r="X22">
        <v>0.32914572864321606</v>
      </c>
      <c r="Y22">
        <v>22</v>
      </c>
      <c r="Z22">
        <v>0.32914572864321606</v>
      </c>
    </row>
    <row r="23" spans="1:26" x14ac:dyDescent="0.2">
      <c r="A23" t="str">
        <f t="shared" si="0"/>
        <v>Austria</v>
      </c>
      <c r="B23" t="s">
        <v>56</v>
      </c>
      <c r="C23">
        <v>0.90652999999999995</v>
      </c>
      <c r="D23">
        <f t="shared" si="1"/>
        <v>60840</v>
      </c>
      <c r="E23">
        <f t="shared" si="2"/>
        <v>9</v>
      </c>
      <c r="F23">
        <f t="shared" si="3"/>
        <v>0.98096000000000005</v>
      </c>
      <c r="H23" t="s">
        <v>59</v>
      </c>
      <c r="I23">
        <v>0.86299999999999999</v>
      </c>
      <c r="K23" t="s">
        <v>60</v>
      </c>
      <c r="L23">
        <v>0.90542</v>
      </c>
      <c r="N23" t="s">
        <v>56</v>
      </c>
      <c r="O23">
        <v>0.90027999999999997</v>
      </c>
      <c r="Q23" t="s">
        <v>110</v>
      </c>
      <c r="R23">
        <v>0.96738999999999997</v>
      </c>
      <c r="T23" t="s">
        <v>56</v>
      </c>
      <c r="U23" s="5">
        <v>60840</v>
      </c>
      <c r="V23">
        <v>9</v>
      </c>
      <c r="W23">
        <v>23</v>
      </c>
      <c r="X23">
        <v>0.33291457286432158</v>
      </c>
      <c r="Y23">
        <v>23</v>
      </c>
      <c r="Z23">
        <v>0.33291457286432158</v>
      </c>
    </row>
    <row r="24" spans="1:26" x14ac:dyDescent="0.2">
      <c r="A24" t="str">
        <f t="shared" si="0"/>
        <v>Israel</v>
      </c>
      <c r="B24" t="s">
        <v>74</v>
      </c>
      <c r="C24">
        <v>0.90142999999999995</v>
      </c>
      <c r="D24">
        <f t="shared" si="1"/>
        <v>44740</v>
      </c>
      <c r="E24">
        <f t="shared" si="2"/>
        <v>9.3000000000000007</v>
      </c>
      <c r="F24">
        <f t="shared" si="3"/>
        <v>0.97633000000000003</v>
      </c>
      <c r="H24" t="s">
        <v>15</v>
      </c>
      <c r="I24">
        <v>0.86299999999999999</v>
      </c>
      <c r="K24" t="s">
        <v>63</v>
      </c>
      <c r="L24">
        <v>0.90305000000000002</v>
      </c>
      <c r="N24" t="s">
        <v>72</v>
      </c>
      <c r="O24">
        <v>0.89610000000000001</v>
      </c>
      <c r="Q24" t="s">
        <v>86</v>
      </c>
      <c r="R24">
        <v>0.96597</v>
      </c>
      <c r="T24" t="s">
        <v>74</v>
      </c>
      <c r="U24" s="5">
        <v>44740</v>
      </c>
      <c r="V24">
        <v>9.3000000000000007</v>
      </c>
      <c r="W24">
        <v>24</v>
      </c>
      <c r="X24">
        <v>0.33668341708542715</v>
      </c>
      <c r="Y24">
        <v>24</v>
      </c>
      <c r="Z24">
        <v>0.33668341708542715</v>
      </c>
    </row>
    <row r="25" spans="1:26" x14ac:dyDescent="0.2">
      <c r="A25" t="str">
        <f t="shared" si="0"/>
        <v>Kazakhstan</v>
      </c>
      <c r="B25" t="s">
        <v>76</v>
      </c>
      <c r="C25">
        <v>0.90093000000000001</v>
      </c>
      <c r="D25">
        <f t="shared" si="1"/>
        <v>26940</v>
      </c>
      <c r="E25">
        <f t="shared" si="2"/>
        <v>19.399999999999999</v>
      </c>
      <c r="F25">
        <f t="shared" si="3"/>
        <v>0.92352999999999996</v>
      </c>
      <c r="H25" t="s">
        <v>70</v>
      </c>
      <c r="I25">
        <v>0.86299999999999999</v>
      </c>
      <c r="K25" t="s">
        <v>107</v>
      </c>
      <c r="L25">
        <v>0.88721000000000005</v>
      </c>
      <c r="N25" t="s">
        <v>78</v>
      </c>
      <c r="O25">
        <v>0.88612999999999997</v>
      </c>
      <c r="Q25" t="s">
        <v>54</v>
      </c>
      <c r="R25">
        <v>0.96538999999999997</v>
      </c>
      <c r="T25" t="s">
        <v>76</v>
      </c>
      <c r="U25" s="5">
        <v>26940</v>
      </c>
      <c r="V25">
        <v>19.399999999999999</v>
      </c>
      <c r="W25">
        <v>25</v>
      </c>
      <c r="X25">
        <v>0.34045226130653267</v>
      </c>
      <c r="Y25">
        <v>25</v>
      </c>
      <c r="Z25">
        <v>0.34045226130653267</v>
      </c>
    </row>
    <row r="26" spans="1:26" x14ac:dyDescent="0.2">
      <c r="A26" t="str">
        <f t="shared" si="0"/>
        <v>Uruguay</v>
      </c>
      <c r="B26" t="s">
        <v>79</v>
      </c>
      <c r="C26">
        <v>0.90059</v>
      </c>
      <c r="D26">
        <f t="shared" si="1"/>
        <v>25660</v>
      </c>
      <c r="E26">
        <f t="shared" si="2"/>
        <v>3.5</v>
      </c>
      <c r="F26">
        <f t="shared" si="3"/>
        <v>0.94374000000000002</v>
      </c>
      <c r="H26" t="s">
        <v>50</v>
      </c>
      <c r="I26">
        <v>0.86299999999999999</v>
      </c>
      <c r="K26" t="s">
        <v>161</v>
      </c>
      <c r="L26">
        <v>0.88507000000000002</v>
      </c>
      <c r="N26" t="s">
        <v>43</v>
      </c>
      <c r="O26">
        <v>0.88424000000000003</v>
      </c>
      <c r="Q26" t="s">
        <v>80</v>
      </c>
      <c r="R26">
        <v>0.96389999999999998</v>
      </c>
      <c r="T26" t="s">
        <v>79</v>
      </c>
      <c r="U26" s="5">
        <v>25660</v>
      </c>
      <c r="V26">
        <v>3.5</v>
      </c>
      <c r="W26">
        <v>26</v>
      </c>
      <c r="X26">
        <v>0.34422110552763818</v>
      </c>
      <c r="Y26">
        <v>26</v>
      </c>
      <c r="Z26">
        <v>0.34422110552763818</v>
      </c>
    </row>
    <row r="27" spans="1:26" x14ac:dyDescent="0.2">
      <c r="A27" t="str">
        <f t="shared" si="0"/>
        <v>Switzerland</v>
      </c>
      <c r="B27" t="s">
        <v>81</v>
      </c>
      <c r="C27">
        <v>0.90034999999999998</v>
      </c>
      <c r="D27">
        <f t="shared" si="1"/>
        <v>74250</v>
      </c>
      <c r="E27">
        <f t="shared" si="2"/>
        <v>8.6999999999999993</v>
      </c>
      <c r="F27">
        <f t="shared" si="3"/>
        <v>0.95757000000000003</v>
      </c>
      <c r="H27" t="s">
        <v>82</v>
      </c>
      <c r="I27">
        <v>0.86299999999999999</v>
      </c>
      <c r="K27" t="s">
        <v>68</v>
      </c>
      <c r="L27">
        <v>0.88390000000000002</v>
      </c>
      <c r="N27" t="s">
        <v>75</v>
      </c>
      <c r="O27">
        <v>0.88046999999999997</v>
      </c>
      <c r="Q27" t="s">
        <v>68</v>
      </c>
      <c r="R27">
        <v>0.96309</v>
      </c>
      <c r="T27" t="s">
        <v>81</v>
      </c>
      <c r="U27" s="5">
        <v>74250</v>
      </c>
      <c r="V27">
        <v>8.6999999999999993</v>
      </c>
      <c r="W27">
        <v>27</v>
      </c>
      <c r="X27">
        <v>0.34798994974874375</v>
      </c>
      <c r="Y27">
        <v>27</v>
      </c>
      <c r="Z27">
        <v>0.34798994974874375</v>
      </c>
    </row>
    <row r="28" spans="1:26" x14ac:dyDescent="0.2">
      <c r="H28" t="s">
        <v>40</v>
      </c>
      <c r="I28">
        <v>0.84930000000000005</v>
      </c>
      <c r="K28" t="s">
        <v>52</v>
      </c>
      <c r="L28">
        <v>0.88361000000000001</v>
      </c>
      <c r="N28" t="s">
        <v>82</v>
      </c>
      <c r="O28">
        <v>0.87487999999999999</v>
      </c>
      <c r="Q28" t="s">
        <v>64</v>
      </c>
      <c r="R28">
        <v>0.96052000000000004</v>
      </c>
      <c r="T28" t="s">
        <v>50</v>
      </c>
      <c r="U28" s="5">
        <v>32730</v>
      </c>
      <c r="V28">
        <v>85.3</v>
      </c>
      <c r="W28">
        <v>28</v>
      </c>
      <c r="X28">
        <v>0.35175879396984921</v>
      </c>
      <c r="Y28">
        <v>28</v>
      </c>
      <c r="Z28">
        <v>0.35175879396984921</v>
      </c>
    </row>
    <row r="29" spans="1:26" x14ac:dyDescent="0.2">
      <c r="H29" t="s">
        <v>84</v>
      </c>
      <c r="I29">
        <v>0.84930000000000005</v>
      </c>
      <c r="K29" t="s">
        <v>79</v>
      </c>
      <c r="L29">
        <v>0.88321000000000005</v>
      </c>
      <c r="N29" t="s">
        <v>62</v>
      </c>
      <c r="O29">
        <v>0.87390000000000001</v>
      </c>
      <c r="Q29" t="s">
        <v>101</v>
      </c>
      <c r="R29">
        <v>0.96033999999999997</v>
      </c>
      <c r="T29" t="s">
        <v>83</v>
      </c>
      <c r="U29" s="5">
        <v>54910</v>
      </c>
      <c r="V29">
        <v>0.5</v>
      </c>
      <c r="W29">
        <v>29</v>
      </c>
      <c r="X29">
        <v>0.35552763819095479</v>
      </c>
      <c r="Y29">
        <v>29</v>
      </c>
      <c r="Z29">
        <v>0.35552763819095479</v>
      </c>
    </row>
    <row r="30" spans="1:26" x14ac:dyDescent="0.2">
      <c r="H30" t="s">
        <v>78</v>
      </c>
      <c r="I30">
        <v>0.83560000000000001</v>
      </c>
      <c r="K30" t="s">
        <v>66</v>
      </c>
      <c r="L30">
        <v>0.87678</v>
      </c>
      <c r="N30" t="s">
        <v>58</v>
      </c>
      <c r="O30">
        <v>0.87248999999999999</v>
      </c>
      <c r="Q30" t="s">
        <v>60</v>
      </c>
      <c r="R30">
        <v>0.96031</v>
      </c>
      <c r="T30" t="s">
        <v>86</v>
      </c>
      <c r="U30" s="5">
        <v>35230</v>
      </c>
      <c r="V30">
        <v>1.8</v>
      </c>
      <c r="W30">
        <v>30</v>
      </c>
      <c r="X30">
        <v>0.3592964824120603</v>
      </c>
      <c r="Y30">
        <v>30</v>
      </c>
      <c r="Z30">
        <v>0.3592964824120603</v>
      </c>
    </row>
    <row r="31" spans="1:26" x14ac:dyDescent="0.2">
      <c r="H31" t="s">
        <v>87</v>
      </c>
      <c r="I31">
        <v>0.83560000000000001</v>
      </c>
      <c r="K31" t="s">
        <v>83</v>
      </c>
      <c r="L31">
        <v>0.87492000000000003</v>
      </c>
      <c r="N31" t="s">
        <v>88</v>
      </c>
      <c r="O31">
        <v>0.87029999999999996</v>
      </c>
      <c r="Q31" t="s">
        <v>66</v>
      </c>
      <c r="R31">
        <v>0.95987</v>
      </c>
      <c r="T31" t="s">
        <v>13</v>
      </c>
      <c r="U31" s="5">
        <v>14480</v>
      </c>
      <c r="V31">
        <v>41.2</v>
      </c>
      <c r="W31">
        <v>31</v>
      </c>
      <c r="X31">
        <v>0.36306532663316582</v>
      </c>
      <c r="Y31">
        <v>31</v>
      </c>
      <c r="Z31">
        <v>0.36306532663316582</v>
      </c>
    </row>
    <row r="32" spans="1:26" x14ac:dyDescent="0.2">
      <c r="H32" t="s">
        <v>77</v>
      </c>
      <c r="I32">
        <v>0.83560000000000001</v>
      </c>
      <c r="K32" t="s">
        <v>91</v>
      </c>
      <c r="L32">
        <v>0.87346999999999997</v>
      </c>
      <c r="N32" t="s">
        <v>90</v>
      </c>
      <c r="O32">
        <v>0.86980000000000002</v>
      </c>
      <c r="Q32" t="s">
        <v>81</v>
      </c>
      <c r="R32">
        <v>0.95757000000000003</v>
      </c>
      <c r="T32" t="s">
        <v>89</v>
      </c>
      <c r="U32" s="5">
        <v>25670</v>
      </c>
      <c r="V32">
        <v>19.5</v>
      </c>
      <c r="W32">
        <v>32</v>
      </c>
      <c r="X32">
        <v>0.36683417085427139</v>
      </c>
      <c r="Y32">
        <v>32</v>
      </c>
      <c r="Z32">
        <v>0.36683417085427139</v>
      </c>
    </row>
    <row r="33" spans="8:26" x14ac:dyDescent="0.2">
      <c r="H33" t="s">
        <v>71</v>
      </c>
      <c r="I33">
        <v>0.82189999999999996</v>
      </c>
      <c r="K33" t="s">
        <v>94</v>
      </c>
      <c r="L33">
        <v>0.86395999999999995</v>
      </c>
      <c r="N33" t="s">
        <v>42</v>
      </c>
      <c r="O33">
        <v>0.86804000000000003</v>
      </c>
      <c r="Q33" t="s">
        <v>93</v>
      </c>
      <c r="R33">
        <v>0.95118000000000003</v>
      </c>
      <c r="T33" t="s">
        <v>91</v>
      </c>
      <c r="U33" s="5">
        <v>34740</v>
      </c>
      <c r="V33">
        <v>3.9</v>
      </c>
      <c r="W33">
        <v>33</v>
      </c>
      <c r="X33">
        <v>0.37060301507537685</v>
      </c>
      <c r="Y33">
        <v>33</v>
      </c>
      <c r="Z33">
        <v>0.37060301507537685</v>
      </c>
    </row>
    <row r="34" spans="8:26" x14ac:dyDescent="0.2">
      <c r="H34" t="s">
        <v>72</v>
      </c>
      <c r="I34">
        <v>0.80820000000000003</v>
      </c>
      <c r="K34" t="s">
        <v>89</v>
      </c>
      <c r="L34">
        <v>0.86119000000000001</v>
      </c>
      <c r="N34" t="s">
        <v>95</v>
      </c>
      <c r="O34">
        <v>0.86538999999999999</v>
      </c>
      <c r="Q34" s="6" t="s">
        <v>36</v>
      </c>
      <c r="R34" s="6">
        <v>0.95091999999999999</v>
      </c>
      <c r="T34" t="s">
        <v>94</v>
      </c>
      <c r="U34" s="5">
        <v>43770</v>
      </c>
      <c r="V34">
        <v>2.1</v>
      </c>
      <c r="W34">
        <v>34</v>
      </c>
      <c r="X34">
        <v>0.37437185929648242</v>
      </c>
      <c r="Y34">
        <v>34</v>
      </c>
      <c r="Z34">
        <v>0.37437185929648242</v>
      </c>
    </row>
    <row r="35" spans="8:26" x14ac:dyDescent="0.2">
      <c r="H35" t="s">
        <v>96</v>
      </c>
      <c r="I35">
        <v>0.80820000000000003</v>
      </c>
      <c r="K35" t="s">
        <v>122</v>
      </c>
      <c r="L35">
        <v>0.85516000000000003</v>
      </c>
      <c r="N35" t="s">
        <v>96</v>
      </c>
      <c r="O35">
        <v>0.85645000000000004</v>
      </c>
      <c r="Q35" t="s">
        <v>49</v>
      </c>
      <c r="R35">
        <v>0.95091000000000003</v>
      </c>
      <c r="T35" t="s">
        <v>96</v>
      </c>
      <c r="U35" s="5">
        <v>50660</v>
      </c>
      <c r="V35">
        <v>67.8</v>
      </c>
      <c r="W35">
        <v>35</v>
      </c>
      <c r="X35">
        <v>0.37814070351758794</v>
      </c>
      <c r="Y35">
        <v>35</v>
      </c>
      <c r="Z35">
        <v>0.37814070351758794</v>
      </c>
    </row>
    <row r="36" spans="8:26" x14ac:dyDescent="0.2">
      <c r="H36" t="s">
        <v>98</v>
      </c>
      <c r="I36">
        <v>0.79449999999999998</v>
      </c>
      <c r="K36" t="s">
        <v>74</v>
      </c>
      <c r="L36">
        <v>0.85411999999999999</v>
      </c>
      <c r="N36" t="s">
        <v>84</v>
      </c>
      <c r="O36">
        <v>0.85609999999999997</v>
      </c>
      <c r="Q36" t="s">
        <v>233</v>
      </c>
      <c r="R36">
        <v>0.94911999999999996</v>
      </c>
      <c r="T36" t="s">
        <v>97</v>
      </c>
      <c r="U36" s="5">
        <v>18140</v>
      </c>
      <c r="V36" s="7">
        <v>1412.2</v>
      </c>
      <c r="W36">
        <v>36</v>
      </c>
      <c r="X36">
        <v>0.38190954773869346</v>
      </c>
      <c r="Y36">
        <v>36</v>
      </c>
      <c r="Z36">
        <v>0.38190954773869346</v>
      </c>
    </row>
    <row r="37" spans="8:26" x14ac:dyDescent="0.2">
      <c r="H37" t="s">
        <v>48</v>
      </c>
      <c r="I37">
        <v>0.79449999999999998</v>
      </c>
      <c r="K37" t="s">
        <v>67</v>
      </c>
      <c r="L37">
        <v>0.85397000000000001</v>
      </c>
      <c r="N37" t="s">
        <v>61</v>
      </c>
      <c r="O37">
        <v>0.85375999999999996</v>
      </c>
      <c r="Q37" t="s">
        <v>89</v>
      </c>
      <c r="R37">
        <v>0.94552999999999998</v>
      </c>
      <c r="T37" t="s">
        <v>100</v>
      </c>
      <c r="U37" s="5">
        <v>32160</v>
      </c>
      <c r="V37">
        <v>10.4</v>
      </c>
      <c r="W37">
        <v>37</v>
      </c>
      <c r="X37">
        <v>0.38567839195979903</v>
      </c>
      <c r="Y37">
        <v>37</v>
      </c>
      <c r="Z37">
        <v>0.38567839195979903</v>
      </c>
    </row>
    <row r="38" spans="8:26" x14ac:dyDescent="0.2">
      <c r="H38" t="s">
        <v>75</v>
      </c>
      <c r="I38">
        <v>0.78080000000000005</v>
      </c>
      <c r="K38" t="s">
        <v>96</v>
      </c>
      <c r="L38">
        <v>0.84399999999999997</v>
      </c>
      <c r="N38" t="s">
        <v>92</v>
      </c>
      <c r="O38">
        <v>0.85297999999999996</v>
      </c>
      <c r="Q38" t="s">
        <v>79</v>
      </c>
      <c r="R38">
        <v>0.94374000000000002</v>
      </c>
      <c r="T38" t="s">
        <v>101</v>
      </c>
      <c r="U38" s="5">
        <v>37710</v>
      </c>
      <c r="V38">
        <v>37.799999999999997</v>
      </c>
      <c r="W38">
        <v>38</v>
      </c>
      <c r="X38">
        <v>0.38944723618090449</v>
      </c>
      <c r="Y38">
        <v>38</v>
      </c>
      <c r="Z38">
        <v>0.38944723618090449</v>
      </c>
    </row>
    <row r="39" spans="8:26" x14ac:dyDescent="0.2">
      <c r="H39" t="s">
        <v>103</v>
      </c>
      <c r="I39">
        <v>0.78080000000000005</v>
      </c>
      <c r="K39" t="s">
        <v>81</v>
      </c>
      <c r="L39">
        <v>0.84079999999999999</v>
      </c>
      <c r="N39" t="s">
        <v>104</v>
      </c>
      <c r="O39">
        <v>0.85082000000000002</v>
      </c>
      <c r="Q39" t="s">
        <v>135</v>
      </c>
      <c r="R39">
        <v>0.94101000000000001</v>
      </c>
      <c r="T39" t="s">
        <v>102</v>
      </c>
      <c r="U39" s="5">
        <v>42230</v>
      </c>
      <c r="V39">
        <v>1.2</v>
      </c>
      <c r="W39">
        <v>39</v>
      </c>
      <c r="X39">
        <v>0.39321608040201006</v>
      </c>
      <c r="Y39">
        <v>39</v>
      </c>
      <c r="Z39">
        <v>0.39321608040201006</v>
      </c>
    </row>
    <row r="40" spans="8:26" x14ac:dyDescent="0.2">
      <c r="H40" t="s">
        <v>56</v>
      </c>
      <c r="I40">
        <v>0.78080000000000005</v>
      </c>
      <c r="K40" t="s">
        <v>56</v>
      </c>
      <c r="L40">
        <v>0.83828999999999998</v>
      </c>
      <c r="N40" t="s">
        <v>106</v>
      </c>
      <c r="O40">
        <v>0.84416000000000002</v>
      </c>
      <c r="Q40" t="s">
        <v>119</v>
      </c>
      <c r="R40">
        <v>0.93740999999999997</v>
      </c>
      <c r="T40" t="s">
        <v>67</v>
      </c>
      <c r="U40" s="5">
        <v>23170</v>
      </c>
      <c r="V40">
        <v>6.7</v>
      </c>
      <c r="W40">
        <v>40</v>
      </c>
      <c r="X40">
        <v>0.39698492462311558</v>
      </c>
      <c r="Y40">
        <v>40</v>
      </c>
      <c r="Z40">
        <v>0.39698492462311558</v>
      </c>
    </row>
    <row r="41" spans="8:26" x14ac:dyDescent="0.2">
      <c r="H41" t="s">
        <v>92</v>
      </c>
      <c r="I41">
        <v>0.78080000000000005</v>
      </c>
      <c r="K41" t="s">
        <v>144</v>
      </c>
      <c r="L41">
        <v>0.8377</v>
      </c>
      <c r="N41" t="s">
        <v>109</v>
      </c>
      <c r="O41">
        <v>0.84262000000000004</v>
      </c>
      <c r="Q41" t="s">
        <v>46</v>
      </c>
      <c r="R41">
        <v>0.92359000000000002</v>
      </c>
      <c r="T41" t="s">
        <v>107</v>
      </c>
      <c r="U41" s="5">
        <v>13360</v>
      </c>
      <c r="V41">
        <v>60</v>
      </c>
      <c r="W41">
        <v>41</v>
      </c>
      <c r="X41">
        <v>0.40075376884422109</v>
      </c>
      <c r="Y41">
        <v>41</v>
      </c>
      <c r="Z41">
        <v>0.40075376884422109</v>
      </c>
    </row>
    <row r="42" spans="8:26" x14ac:dyDescent="0.2">
      <c r="H42" t="s">
        <v>41</v>
      </c>
      <c r="I42">
        <v>0.78080000000000005</v>
      </c>
      <c r="K42" t="s">
        <v>119</v>
      </c>
      <c r="L42">
        <v>0.82218999999999998</v>
      </c>
      <c r="N42" t="s">
        <v>87</v>
      </c>
      <c r="O42">
        <v>0.84128999999999998</v>
      </c>
      <c r="Q42" t="s">
        <v>76</v>
      </c>
      <c r="R42">
        <v>0.92352999999999996</v>
      </c>
      <c r="T42" t="s">
        <v>110</v>
      </c>
      <c r="U42" s="5">
        <v>39840</v>
      </c>
      <c r="V42">
        <v>4.5</v>
      </c>
      <c r="W42">
        <v>42</v>
      </c>
      <c r="X42">
        <v>0.40452261306532666</v>
      </c>
      <c r="Y42">
        <v>42</v>
      </c>
      <c r="Z42">
        <v>0.40452261306532666</v>
      </c>
    </row>
    <row r="43" spans="8:26" x14ac:dyDescent="0.2">
      <c r="H43" t="s">
        <v>108</v>
      </c>
      <c r="I43">
        <v>0.75339999999999996</v>
      </c>
      <c r="K43" t="s">
        <v>102</v>
      </c>
      <c r="L43">
        <v>0.82164999999999999</v>
      </c>
      <c r="N43" t="s">
        <v>40</v>
      </c>
      <c r="O43">
        <v>0.84028999999999998</v>
      </c>
      <c r="Q43" t="s">
        <v>206</v>
      </c>
      <c r="R43">
        <v>0.92306999999999995</v>
      </c>
      <c r="T43" t="s">
        <v>111</v>
      </c>
      <c r="U43" s="5">
        <v>22270</v>
      </c>
      <c r="V43">
        <v>45.8</v>
      </c>
      <c r="W43">
        <v>43</v>
      </c>
      <c r="X43">
        <v>0.40829145728643212</v>
      </c>
      <c r="Y43">
        <v>43</v>
      </c>
      <c r="Z43">
        <v>0.40829145728643212</v>
      </c>
    </row>
    <row r="44" spans="8:26" x14ac:dyDescent="0.2">
      <c r="H44" t="s">
        <v>85</v>
      </c>
      <c r="I44">
        <v>0.75339999999999996</v>
      </c>
      <c r="K44" t="s">
        <v>264</v>
      </c>
      <c r="L44">
        <v>0.82064999999999999</v>
      </c>
      <c r="N44" t="s">
        <v>114</v>
      </c>
      <c r="O44">
        <v>0.83887999999999996</v>
      </c>
      <c r="Q44" t="s">
        <v>115</v>
      </c>
      <c r="R44">
        <v>0.92291000000000001</v>
      </c>
      <c r="T44" t="s">
        <v>93</v>
      </c>
      <c r="U44" s="5">
        <v>28710</v>
      </c>
      <c r="V44">
        <v>143.6</v>
      </c>
      <c r="W44">
        <v>44</v>
      </c>
      <c r="X44">
        <v>0.4120603015075377</v>
      </c>
      <c r="Y44">
        <v>44</v>
      </c>
      <c r="Z44">
        <v>0.4120603015075377</v>
      </c>
    </row>
    <row r="45" spans="8:26" x14ac:dyDescent="0.2">
      <c r="H45" t="s">
        <v>105</v>
      </c>
      <c r="I45">
        <v>0.75339999999999996</v>
      </c>
      <c r="K45" t="s">
        <v>222</v>
      </c>
      <c r="L45">
        <v>0.81842000000000004</v>
      </c>
      <c r="N45" t="s">
        <v>117</v>
      </c>
      <c r="O45">
        <v>0.83194000000000001</v>
      </c>
      <c r="Q45" t="s">
        <v>96</v>
      </c>
      <c r="R45">
        <v>0.92281000000000002</v>
      </c>
      <c r="T45" t="s">
        <v>35</v>
      </c>
      <c r="U45" s="8" t="s">
        <v>118</v>
      </c>
      <c r="V45">
        <v>0.04</v>
      </c>
      <c r="W45">
        <v>45</v>
      </c>
      <c r="X45">
        <v>0.41582914572864321</v>
      </c>
      <c r="Y45">
        <v>45</v>
      </c>
      <c r="Z45">
        <v>0.41582914572864321</v>
      </c>
    </row>
    <row r="46" spans="8:26" x14ac:dyDescent="0.2">
      <c r="H46" t="s">
        <v>113</v>
      </c>
      <c r="I46">
        <v>0.75339999999999996</v>
      </c>
      <c r="K46" t="s">
        <v>100</v>
      </c>
      <c r="L46">
        <v>0.81452999999999998</v>
      </c>
      <c r="N46" t="s">
        <v>85</v>
      </c>
      <c r="O46">
        <v>0.83038999999999996</v>
      </c>
      <c r="Q46" t="s">
        <v>67</v>
      </c>
      <c r="R46">
        <v>0.92205999999999999</v>
      </c>
      <c r="T46" t="s">
        <v>37</v>
      </c>
      <c r="U46" s="5">
        <v>82230</v>
      </c>
      <c r="V46">
        <v>0.6</v>
      </c>
      <c r="W46">
        <v>46</v>
      </c>
      <c r="X46">
        <v>0.41959798994974873</v>
      </c>
      <c r="Y46">
        <v>46</v>
      </c>
      <c r="Z46">
        <v>0.41959798994974873</v>
      </c>
    </row>
    <row r="47" spans="8:26" x14ac:dyDescent="0.2">
      <c r="H47" t="s">
        <v>65</v>
      </c>
      <c r="I47">
        <v>0.73970000000000002</v>
      </c>
      <c r="K47" t="s">
        <v>151</v>
      </c>
      <c r="L47">
        <v>0.81440999999999997</v>
      </c>
      <c r="N47" t="s">
        <v>35</v>
      </c>
      <c r="O47">
        <v>0.82630999999999999</v>
      </c>
      <c r="Q47" t="s">
        <v>121</v>
      </c>
      <c r="R47">
        <v>0.92042999999999997</v>
      </c>
      <c r="T47" t="s">
        <v>119</v>
      </c>
      <c r="U47" s="5">
        <v>13350</v>
      </c>
      <c r="V47">
        <v>3.4</v>
      </c>
      <c r="W47">
        <v>47</v>
      </c>
      <c r="X47">
        <v>0.4233668341708543</v>
      </c>
      <c r="Y47">
        <v>47</v>
      </c>
      <c r="Z47">
        <v>0.4233668341708543</v>
      </c>
    </row>
    <row r="48" spans="8:26" x14ac:dyDescent="0.2">
      <c r="H48" t="s">
        <v>123</v>
      </c>
      <c r="I48">
        <v>0.73970000000000002</v>
      </c>
      <c r="K48" t="s">
        <v>86</v>
      </c>
      <c r="L48">
        <v>0.80915000000000004</v>
      </c>
      <c r="N48" t="s">
        <v>13</v>
      </c>
      <c r="O48">
        <v>0.82401999999999997</v>
      </c>
      <c r="Q48" t="s">
        <v>91</v>
      </c>
      <c r="R48">
        <v>0.91798999999999997</v>
      </c>
      <c r="T48" t="s">
        <v>122</v>
      </c>
      <c r="U48" s="5">
        <v>55970</v>
      </c>
      <c r="V48">
        <v>38.200000000000003</v>
      </c>
      <c r="W48">
        <v>48</v>
      </c>
      <c r="X48">
        <v>0.42713567839195976</v>
      </c>
      <c r="Y48">
        <v>48</v>
      </c>
      <c r="Z48">
        <v>0.42713567839195976</v>
      </c>
    </row>
    <row r="49" spans="8:26" x14ac:dyDescent="0.2">
      <c r="H49" t="s">
        <v>125</v>
      </c>
      <c r="I49">
        <v>0.73970000000000002</v>
      </c>
      <c r="K49" t="s">
        <v>110</v>
      </c>
      <c r="L49">
        <v>0.80774000000000001</v>
      </c>
      <c r="N49" t="s">
        <v>65</v>
      </c>
      <c r="O49">
        <v>0.81620000000000004</v>
      </c>
      <c r="Q49" t="s">
        <v>193</v>
      </c>
      <c r="R49">
        <v>0.91710999999999998</v>
      </c>
      <c r="T49" t="s">
        <v>124</v>
      </c>
      <c r="U49" s="5">
        <v>16950</v>
      </c>
      <c r="V49">
        <v>2.8</v>
      </c>
      <c r="W49">
        <v>49</v>
      </c>
      <c r="X49">
        <v>0.43090452261306533</v>
      </c>
      <c r="Y49">
        <v>49</v>
      </c>
      <c r="Z49">
        <v>0.43090452261306533</v>
      </c>
    </row>
    <row r="50" spans="8:26" x14ac:dyDescent="0.2">
      <c r="H50" t="s">
        <v>120</v>
      </c>
      <c r="I50">
        <v>0.72599999999999998</v>
      </c>
      <c r="K50" t="s">
        <v>175</v>
      </c>
      <c r="L50">
        <v>0.80542999999999998</v>
      </c>
      <c r="N50" t="s">
        <v>120</v>
      </c>
      <c r="O50">
        <v>0.81059000000000003</v>
      </c>
      <c r="Q50" t="s">
        <v>139</v>
      </c>
      <c r="R50">
        <v>0.91707000000000005</v>
      </c>
      <c r="T50" t="s">
        <v>127</v>
      </c>
      <c r="U50" s="5">
        <v>38730</v>
      </c>
      <c r="V50">
        <v>10.3</v>
      </c>
      <c r="W50">
        <v>50</v>
      </c>
      <c r="X50">
        <v>0.43467336683417085</v>
      </c>
      <c r="Y50">
        <v>50</v>
      </c>
      <c r="Z50">
        <v>0.43467336683417085</v>
      </c>
    </row>
    <row r="51" spans="8:26" x14ac:dyDescent="0.2">
      <c r="H51" t="s">
        <v>128</v>
      </c>
      <c r="I51">
        <v>0.72599999999999998</v>
      </c>
      <c r="K51" t="s">
        <v>101</v>
      </c>
      <c r="L51">
        <v>0.80371000000000004</v>
      </c>
      <c r="N51" t="s">
        <v>67</v>
      </c>
      <c r="O51">
        <v>0.80940999999999996</v>
      </c>
      <c r="Q51" t="s">
        <v>181</v>
      </c>
      <c r="R51">
        <v>0.91586000000000001</v>
      </c>
      <c r="T51" t="s">
        <v>130</v>
      </c>
      <c r="U51" s="5">
        <v>15600</v>
      </c>
      <c r="V51">
        <v>215.3</v>
      </c>
      <c r="W51">
        <v>51</v>
      </c>
      <c r="X51">
        <v>0.43844221105527637</v>
      </c>
      <c r="Y51">
        <v>51</v>
      </c>
      <c r="Z51">
        <v>0.43844221105527637</v>
      </c>
    </row>
    <row r="52" spans="8:26" x14ac:dyDescent="0.2">
      <c r="H52" t="s">
        <v>133</v>
      </c>
      <c r="I52">
        <v>0.72599999999999998</v>
      </c>
      <c r="K52" t="s">
        <v>156</v>
      </c>
      <c r="L52">
        <v>0.80345999999999995</v>
      </c>
      <c r="N52" t="s">
        <v>70</v>
      </c>
      <c r="O52">
        <v>0.80767999999999995</v>
      </c>
      <c r="Q52" t="s">
        <v>185</v>
      </c>
      <c r="R52">
        <v>0.91561000000000003</v>
      </c>
      <c r="T52" t="s">
        <v>132</v>
      </c>
      <c r="U52" s="5">
        <v>47190</v>
      </c>
      <c r="V52">
        <v>59</v>
      </c>
      <c r="W52">
        <v>52</v>
      </c>
      <c r="X52">
        <v>0.44221105527638194</v>
      </c>
      <c r="Y52">
        <v>52</v>
      </c>
      <c r="Z52">
        <v>0.44221105527638194</v>
      </c>
    </row>
    <row r="53" spans="8:26" x14ac:dyDescent="0.2">
      <c r="H53" t="s">
        <v>136</v>
      </c>
      <c r="I53">
        <v>0.72599999999999998</v>
      </c>
      <c r="K53" t="s">
        <v>111</v>
      </c>
      <c r="L53">
        <v>0.79649000000000003</v>
      </c>
      <c r="N53" t="s">
        <v>105</v>
      </c>
      <c r="O53">
        <v>0.80320000000000003</v>
      </c>
      <c r="Q53" t="s">
        <v>94</v>
      </c>
      <c r="R53">
        <v>0.91071999999999997</v>
      </c>
      <c r="T53" t="s">
        <v>135</v>
      </c>
      <c r="U53" s="5">
        <v>19110</v>
      </c>
      <c r="V53">
        <v>71.7</v>
      </c>
      <c r="W53">
        <v>53</v>
      </c>
      <c r="X53">
        <v>0.44597989949748745</v>
      </c>
      <c r="Y53">
        <v>53</v>
      </c>
      <c r="Z53">
        <v>0.44597989949748745</v>
      </c>
    </row>
    <row r="54" spans="8:26" x14ac:dyDescent="0.2">
      <c r="H54" t="s">
        <v>62</v>
      </c>
      <c r="I54">
        <v>0.6986</v>
      </c>
      <c r="K54" t="s">
        <v>124</v>
      </c>
      <c r="L54">
        <v>0.79220000000000002</v>
      </c>
      <c r="N54" t="s">
        <v>77</v>
      </c>
      <c r="O54">
        <v>0.80257000000000001</v>
      </c>
      <c r="Q54" t="s">
        <v>95</v>
      </c>
      <c r="R54">
        <v>0.90712999999999999</v>
      </c>
      <c r="T54" t="s">
        <v>137</v>
      </c>
      <c r="U54" s="5">
        <v>88070</v>
      </c>
      <c r="V54">
        <v>2.9</v>
      </c>
      <c r="W54">
        <v>54</v>
      </c>
      <c r="X54">
        <v>0.44974874371859297</v>
      </c>
      <c r="Y54">
        <v>54</v>
      </c>
      <c r="Z54">
        <v>0.44974874371859297</v>
      </c>
    </row>
    <row r="55" spans="8:26" x14ac:dyDescent="0.2">
      <c r="H55" t="s">
        <v>51</v>
      </c>
      <c r="I55">
        <v>0.6986</v>
      </c>
      <c r="K55" t="s">
        <v>127</v>
      </c>
      <c r="L55">
        <v>0.78774999999999995</v>
      </c>
      <c r="N55" t="s">
        <v>138</v>
      </c>
      <c r="O55">
        <v>0.79823</v>
      </c>
      <c r="Q55" t="s">
        <v>132</v>
      </c>
      <c r="R55">
        <v>0.90166999999999997</v>
      </c>
      <c r="T55" t="s">
        <v>121</v>
      </c>
      <c r="U55" s="5">
        <v>45130</v>
      </c>
      <c r="V55">
        <v>10.7</v>
      </c>
      <c r="W55">
        <v>55</v>
      </c>
      <c r="X55">
        <v>0.45351758793969849</v>
      </c>
      <c r="Y55">
        <v>55</v>
      </c>
      <c r="Z55">
        <v>0.45351758793969849</v>
      </c>
    </row>
    <row r="56" spans="8:26" x14ac:dyDescent="0.2">
      <c r="H56" t="s">
        <v>90</v>
      </c>
      <c r="I56">
        <v>0.6986</v>
      </c>
      <c r="K56" t="s">
        <v>249</v>
      </c>
      <c r="L56">
        <v>0.77703999999999995</v>
      </c>
      <c r="N56" t="s">
        <v>73</v>
      </c>
      <c r="O56">
        <v>0.79766999999999999</v>
      </c>
      <c r="Q56" t="s">
        <v>97</v>
      </c>
      <c r="R56">
        <v>0.89954000000000001</v>
      </c>
      <c r="T56" t="s">
        <v>139</v>
      </c>
      <c r="U56" s="5">
        <v>27800</v>
      </c>
      <c r="V56">
        <v>6.5</v>
      </c>
      <c r="W56">
        <v>56</v>
      </c>
      <c r="X56">
        <v>0.457286432160804</v>
      </c>
      <c r="Y56">
        <v>56</v>
      </c>
      <c r="Z56">
        <v>0.457286432160804</v>
      </c>
    </row>
    <row r="57" spans="8:26" x14ac:dyDescent="0.2">
      <c r="H57" t="s">
        <v>142</v>
      </c>
      <c r="I57">
        <v>0.6986</v>
      </c>
      <c r="K57" t="s">
        <v>93</v>
      </c>
      <c r="L57">
        <v>0.77659999999999996</v>
      </c>
      <c r="N57" t="s">
        <v>37</v>
      </c>
      <c r="O57">
        <v>0.79547999999999996</v>
      </c>
      <c r="Q57" t="s">
        <v>143</v>
      </c>
      <c r="R57">
        <v>0.89868999999999999</v>
      </c>
      <c r="T57" t="s">
        <v>141</v>
      </c>
      <c r="U57" s="5">
        <v>54640</v>
      </c>
      <c r="V57">
        <v>11.7</v>
      </c>
      <c r="W57">
        <v>57</v>
      </c>
      <c r="X57">
        <v>0.46105527638190957</v>
      </c>
      <c r="Y57">
        <v>57</v>
      </c>
      <c r="Z57">
        <v>0.46105527638190957</v>
      </c>
    </row>
    <row r="58" spans="8:26" x14ac:dyDescent="0.2">
      <c r="H58" t="s">
        <v>138</v>
      </c>
      <c r="I58">
        <v>0.6986</v>
      </c>
      <c r="K58" t="s">
        <v>139</v>
      </c>
      <c r="L58">
        <v>0.77271000000000001</v>
      </c>
      <c r="N58" t="s">
        <v>44</v>
      </c>
      <c r="O58">
        <v>0.79022999999999999</v>
      </c>
      <c r="Q58" t="s">
        <v>148</v>
      </c>
      <c r="R58">
        <v>0.89851000000000003</v>
      </c>
      <c r="T58" t="s">
        <v>51</v>
      </c>
      <c r="U58" s="5">
        <v>28650</v>
      </c>
      <c r="V58">
        <v>33.6</v>
      </c>
      <c r="W58">
        <v>58</v>
      </c>
      <c r="X58">
        <v>0.46482412060301509</v>
      </c>
      <c r="Y58">
        <v>58</v>
      </c>
      <c r="Z58">
        <v>0.46482412060301509</v>
      </c>
    </row>
    <row r="59" spans="8:26" x14ac:dyDescent="0.2">
      <c r="H59" t="s">
        <v>145</v>
      </c>
      <c r="I59">
        <v>0.68489999999999995</v>
      </c>
      <c r="K59" t="s">
        <v>137</v>
      </c>
      <c r="L59">
        <v>0.76549</v>
      </c>
      <c r="N59" t="s">
        <v>136</v>
      </c>
      <c r="O59">
        <v>0.78766000000000003</v>
      </c>
      <c r="Q59" t="s">
        <v>127</v>
      </c>
      <c r="R59">
        <v>0.89790999999999999</v>
      </c>
      <c r="T59" t="s">
        <v>144</v>
      </c>
      <c r="U59" s="5">
        <v>12480</v>
      </c>
      <c r="V59">
        <v>33.700000000000003</v>
      </c>
      <c r="W59">
        <v>59</v>
      </c>
      <c r="X59">
        <v>0.46859296482412061</v>
      </c>
      <c r="Y59">
        <v>59</v>
      </c>
      <c r="Z59">
        <v>0.46859296482412061</v>
      </c>
    </row>
    <row r="60" spans="8:26" x14ac:dyDescent="0.2">
      <c r="H60" t="s">
        <v>129</v>
      </c>
      <c r="I60">
        <v>0.67120000000000002</v>
      </c>
      <c r="K60" t="s">
        <v>152</v>
      </c>
      <c r="L60">
        <v>0.76483999999999996</v>
      </c>
      <c r="N60" t="s">
        <v>147</v>
      </c>
      <c r="O60">
        <v>0.78449999999999998</v>
      </c>
      <c r="Q60" t="s">
        <v>107</v>
      </c>
      <c r="R60">
        <v>0.89512000000000003</v>
      </c>
      <c r="T60" t="s">
        <v>146</v>
      </c>
      <c r="U60" s="5">
        <v>35540</v>
      </c>
      <c r="V60">
        <v>9.6</v>
      </c>
      <c r="W60">
        <v>60</v>
      </c>
      <c r="X60">
        <v>0.47236180904522612</v>
      </c>
      <c r="Y60">
        <v>60</v>
      </c>
      <c r="Z60">
        <v>0.47236180904522612</v>
      </c>
    </row>
    <row r="61" spans="8:26" x14ac:dyDescent="0.2">
      <c r="H61" t="s">
        <v>53</v>
      </c>
      <c r="I61">
        <v>0.67120000000000002</v>
      </c>
      <c r="K61" t="s">
        <v>158</v>
      </c>
      <c r="L61">
        <v>0.76366000000000001</v>
      </c>
      <c r="N61" t="s">
        <v>149</v>
      </c>
      <c r="O61">
        <v>0.78356000000000003</v>
      </c>
      <c r="Q61" t="s">
        <v>102</v>
      </c>
      <c r="R61">
        <v>0.89405999999999997</v>
      </c>
      <c r="T61" t="s">
        <v>148</v>
      </c>
      <c r="U61" s="5">
        <v>38540</v>
      </c>
      <c r="V61">
        <v>5.4</v>
      </c>
      <c r="W61">
        <v>61</v>
      </c>
      <c r="X61">
        <v>0.47613065326633164</v>
      </c>
      <c r="Y61">
        <v>61</v>
      </c>
      <c r="Z61">
        <v>0.47613065326633164</v>
      </c>
    </row>
    <row r="62" spans="8:26" x14ac:dyDescent="0.2">
      <c r="H62" t="s">
        <v>109</v>
      </c>
      <c r="I62">
        <v>0.65749999999999997</v>
      </c>
      <c r="K62" t="s">
        <v>132</v>
      </c>
      <c r="L62">
        <v>0.76239000000000001</v>
      </c>
      <c r="N62" t="s">
        <v>125</v>
      </c>
      <c r="O62">
        <v>0.77930999999999995</v>
      </c>
      <c r="Q62" t="s">
        <v>150</v>
      </c>
      <c r="R62">
        <v>0.89327000000000001</v>
      </c>
      <c r="T62" t="s">
        <v>150</v>
      </c>
      <c r="U62" s="5">
        <v>23340</v>
      </c>
      <c r="V62">
        <v>5.2</v>
      </c>
      <c r="W62">
        <v>62</v>
      </c>
      <c r="X62">
        <v>0.47989949748743721</v>
      </c>
      <c r="Y62">
        <v>62</v>
      </c>
      <c r="Z62">
        <v>0.47989949748743721</v>
      </c>
    </row>
    <row r="63" spans="8:26" x14ac:dyDescent="0.2">
      <c r="H63" t="s">
        <v>35</v>
      </c>
      <c r="I63">
        <v>0.65749999999999997</v>
      </c>
      <c r="K63" t="s">
        <v>135</v>
      </c>
      <c r="L63">
        <v>0.76105</v>
      </c>
      <c r="N63" t="s">
        <v>133</v>
      </c>
      <c r="O63">
        <v>0.77764</v>
      </c>
      <c r="Q63" t="s">
        <v>172</v>
      </c>
      <c r="R63">
        <v>0.89224000000000003</v>
      </c>
      <c r="T63" t="s">
        <v>151</v>
      </c>
      <c r="U63" s="5">
        <v>16000</v>
      </c>
      <c r="V63">
        <v>2.8</v>
      </c>
      <c r="W63">
        <v>63</v>
      </c>
      <c r="X63">
        <v>0.48366834170854273</v>
      </c>
      <c r="Y63">
        <v>63</v>
      </c>
      <c r="Z63">
        <v>0.48366834170854273</v>
      </c>
    </row>
    <row r="64" spans="8:26" x14ac:dyDescent="0.2">
      <c r="H64" t="s">
        <v>153</v>
      </c>
      <c r="I64">
        <v>0.65749999999999997</v>
      </c>
      <c r="K64" t="s">
        <v>209</v>
      </c>
      <c r="L64">
        <v>0.75905</v>
      </c>
      <c r="N64" t="s">
        <v>103</v>
      </c>
      <c r="O64">
        <v>0.77747999999999995</v>
      </c>
      <c r="Q64" t="s">
        <v>214</v>
      </c>
      <c r="R64">
        <v>0.89126000000000005</v>
      </c>
      <c r="T64" t="s">
        <v>152</v>
      </c>
      <c r="U64" s="5">
        <v>9470</v>
      </c>
      <c r="V64">
        <v>35.299999999999997</v>
      </c>
      <c r="W64">
        <v>64</v>
      </c>
      <c r="X64">
        <v>0.48743718592964824</v>
      </c>
      <c r="Y64">
        <v>64</v>
      </c>
      <c r="Z64">
        <v>0.48743718592964824</v>
      </c>
    </row>
    <row r="65" spans="8:26" x14ac:dyDescent="0.2">
      <c r="H65" t="s">
        <v>73</v>
      </c>
      <c r="I65">
        <v>0.65749999999999997</v>
      </c>
      <c r="K65" t="s">
        <v>37</v>
      </c>
      <c r="L65">
        <v>0.75553999999999999</v>
      </c>
      <c r="N65" t="s">
        <v>69</v>
      </c>
      <c r="O65">
        <v>0.77149999999999996</v>
      </c>
      <c r="Q65" t="s">
        <v>211</v>
      </c>
      <c r="R65">
        <v>0.88273000000000001</v>
      </c>
      <c r="T65" t="s">
        <v>156</v>
      </c>
      <c r="U65" s="5">
        <v>12310</v>
      </c>
      <c r="V65">
        <v>275.5</v>
      </c>
      <c r="W65">
        <v>65</v>
      </c>
      <c r="X65">
        <v>0.49120603015075376</v>
      </c>
      <c r="Y65">
        <v>65</v>
      </c>
      <c r="Z65">
        <v>0.49120603015075376</v>
      </c>
    </row>
    <row r="66" spans="8:26" x14ac:dyDescent="0.2">
      <c r="H66" t="s">
        <v>116</v>
      </c>
      <c r="I66">
        <v>0.65749999999999997</v>
      </c>
      <c r="K66" t="s">
        <v>165</v>
      </c>
      <c r="L66">
        <v>0.75209999999999999</v>
      </c>
      <c r="N66" t="s">
        <v>123</v>
      </c>
      <c r="O66">
        <v>0.76027</v>
      </c>
      <c r="Q66" t="s">
        <v>187</v>
      </c>
      <c r="R66">
        <v>0.88153999999999999</v>
      </c>
      <c r="T66" t="s">
        <v>158</v>
      </c>
      <c r="U66" s="5">
        <v>20960</v>
      </c>
      <c r="V66">
        <v>127.5</v>
      </c>
      <c r="W66">
        <v>66</v>
      </c>
      <c r="X66">
        <v>0.49497487437185933</v>
      </c>
      <c r="Y66">
        <v>66</v>
      </c>
      <c r="Z66">
        <v>0.49497487437185933</v>
      </c>
    </row>
    <row r="67" spans="8:26" x14ac:dyDescent="0.2">
      <c r="H67" t="s">
        <v>114</v>
      </c>
      <c r="I67">
        <v>0.64380000000000004</v>
      </c>
      <c r="K67" t="s">
        <v>35</v>
      </c>
      <c r="L67">
        <v>0.74156999999999995</v>
      </c>
      <c r="N67" t="s">
        <v>142</v>
      </c>
      <c r="O67">
        <v>0.75800999999999996</v>
      </c>
      <c r="Q67" t="s">
        <v>124</v>
      </c>
      <c r="R67">
        <v>0.87824000000000002</v>
      </c>
      <c r="T67" t="s">
        <v>160</v>
      </c>
      <c r="U67" s="5">
        <v>74630</v>
      </c>
      <c r="V67">
        <v>4.3</v>
      </c>
      <c r="W67">
        <v>67</v>
      </c>
      <c r="X67">
        <v>0.49874371859296485</v>
      </c>
      <c r="Y67">
        <v>67</v>
      </c>
      <c r="Z67">
        <v>0.49874371859296485</v>
      </c>
    </row>
    <row r="68" spans="8:26" x14ac:dyDescent="0.2">
      <c r="H68" t="s">
        <v>117</v>
      </c>
      <c r="I68">
        <v>0.64380000000000004</v>
      </c>
      <c r="K68" t="s">
        <v>176</v>
      </c>
      <c r="L68">
        <v>0.73863000000000001</v>
      </c>
      <c r="N68" t="s">
        <v>163</v>
      </c>
      <c r="O68">
        <v>0.75500999999999996</v>
      </c>
      <c r="Q68" t="s">
        <v>170</v>
      </c>
      <c r="R68">
        <v>0.87797000000000003</v>
      </c>
      <c r="T68" t="s">
        <v>161</v>
      </c>
      <c r="U68" s="5">
        <v>11500</v>
      </c>
      <c r="V68">
        <v>18.100000000000001</v>
      </c>
      <c r="W68">
        <v>68</v>
      </c>
      <c r="X68">
        <v>0.50251256281407031</v>
      </c>
      <c r="Y68">
        <v>68</v>
      </c>
      <c r="Z68">
        <v>0.50251256281407031</v>
      </c>
    </row>
    <row r="69" spans="8:26" x14ac:dyDescent="0.2">
      <c r="H69" t="s">
        <v>37</v>
      </c>
      <c r="I69">
        <v>0.63009999999999999</v>
      </c>
      <c r="K69" t="s">
        <v>230</v>
      </c>
      <c r="L69">
        <v>0.73743999999999998</v>
      </c>
      <c r="N69" t="s">
        <v>129</v>
      </c>
      <c r="O69">
        <v>0.75378000000000001</v>
      </c>
      <c r="Q69" t="s">
        <v>152</v>
      </c>
      <c r="R69">
        <v>0.87687000000000004</v>
      </c>
      <c r="T69" t="s">
        <v>165</v>
      </c>
      <c r="U69" s="5">
        <v>16580</v>
      </c>
      <c r="V69">
        <v>51.5</v>
      </c>
      <c r="W69">
        <v>69</v>
      </c>
      <c r="X69">
        <v>0.50628140703517588</v>
      </c>
      <c r="Y69">
        <v>69</v>
      </c>
      <c r="Z69">
        <v>0.50628140703517588</v>
      </c>
    </row>
    <row r="70" spans="8:26" x14ac:dyDescent="0.2">
      <c r="H70" t="s">
        <v>47</v>
      </c>
      <c r="I70">
        <v>0.63009999999999999</v>
      </c>
      <c r="K70" t="s">
        <v>51</v>
      </c>
      <c r="L70">
        <v>0.72796000000000005</v>
      </c>
      <c r="N70" t="s">
        <v>167</v>
      </c>
      <c r="O70">
        <v>0.75202999999999998</v>
      </c>
      <c r="Q70" t="s">
        <v>57</v>
      </c>
      <c r="R70">
        <v>0.87280999999999997</v>
      </c>
      <c r="T70" t="s">
        <v>95</v>
      </c>
      <c r="U70" s="5">
        <v>18170</v>
      </c>
      <c r="V70">
        <v>3.7</v>
      </c>
      <c r="W70">
        <v>70</v>
      </c>
      <c r="X70">
        <v>0.51005025125628145</v>
      </c>
      <c r="Y70">
        <v>70</v>
      </c>
      <c r="Z70">
        <v>0.51005025125628145</v>
      </c>
    </row>
    <row r="71" spans="8:26" x14ac:dyDescent="0.2">
      <c r="H71" t="s">
        <v>154</v>
      </c>
      <c r="I71">
        <v>0.61639999999999995</v>
      </c>
      <c r="K71" t="s">
        <v>168</v>
      </c>
      <c r="L71">
        <v>0.72636000000000001</v>
      </c>
      <c r="N71" t="s">
        <v>126</v>
      </c>
      <c r="O71">
        <v>0.75149999999999995</v>
      </c>
      <c r="Q71" t="s">
        <v>241</v>
      </c>
      <c r="R71">
        <v>0.87141000000000002</v>
      </c>
      <c r="T71" t="s">
        <v>168</v>
      </c>
      <c r="U71" s="5">
        <v>14260</v>
      </c>
      <c r="V71">
        <v>2.6</v>
      </c>
      <c r="W71">
        <v>71</v>
      </c>
      <c r="X71">
        <v>0.51381909547738691</v>
      </c>
      <c r="Y71">
        <v>71</v>
      </c>
      <c r="Z71">
        <v>0.51381909547738691</v>
      </c>
    </row>
    <row r="72" spans="8:26" x14ac:dyDescent="0.2">
      <c r="H72" t="s">
        <v>166</v>
      </c>
      <c r="I72">
        <v>0.61639999999999995</v>
      </c>
      <c r="K72" t="s">
        <v>141</v>
      </c>
      <c r="L72">
        <v>0.72243999999999997</v>
      </c>
      <c r="N72" t="s">
        <v>171</v>
      </c>
      <c r="O72">
        <v>0.74877000000000005</v>
      </c>
      <c r="Q72" t="s">
        <v>141</v>
      </c>
      <c r="R72">
        <v>0.86983999999999995</v>
      </c>
      <c r="T72" t="s">
        <v>170</v>
      </c>
      <c r="U72" s="5">
        <v>11260</v>
      </c>
      <c r="V72">
        <v>98.2</v>
      </c>
      <c r="W72">
        <v>72</v>
      </c>
      <c r="X72">
        <v>0.51758793969849248</v>
      </c>
      <c r="Y72">
        <v>72</v>
      </c>
      <c r="Z72">
        <v>0.51758793969849248</v>
      </c>
    </row>
    <row r="73" spans="8:26" x14ac:dyDescent="0.2">
      <c r="H73" t="s">
        <v>173</v>
      </c>
      <c r="I73">
        <v>0.60270000000000001</v>
      </c>
      <c r="K73" t="s">
        <v>150</v>
      </c>
      <c r="L73">
        <v>0.72169000000000005</v>
      </c>
      <c r="N73" t="s">
        <v>108</v>
      </c>
      <c r="O73">
        <v>0.74690000000000001</v>
      </c>
      <c r="Q73" t="s">
        <v>251</v>
      </c>
      <c r="R73">
        <v>0.86745000000000005</v>
      </c>
      <c r="T73" t="s">
        <v>172</v>
      </c>
      <c r="U73" s="5">
        <v>34520</v>
      </c>
      <c r="V73">
        <v>19</v>
      </c>
      <c r="W73">
        <v>73</v>
      </c>
      <c r="X73">
        <v>0.52135678391959805</v>
      </c>
      <c r="Y73">
        <v>73</v>
      </c>
      <c r="Z73">
        <v>0.52135678391959805</v>
      </c>
    </row>
    <row r="74" spans="8:26" x14ac:dyDescent="0.2">
      <c r="H74" t="s">
        <v>170</v>
      </c>
      <c r="I74">
        <v>0.60270000000000001</v>
      </c>
      <c r="K74" t="s">
        <v>146</v>
      </c>
      <c r="L74">
        <v>0.71436999999999995</v>
      </c>
      <c r="N74" t="s">
        <v>131</v>
      </c>
      <c r="O74">
        <v>0.74563999999999997</v>
      </c>
      <c r="Q74" t="s">
        <v>100</v>
      </c>
      <c r="R74">
        <v>0.86568000000000001</v>
      </c>
      <c r="T74" t="s">
        <v>175</v>
      </c>
      <c r="U74" s="5">
        <v>9820</v>
      </c>
      <c r="V74">
        <v>115.6</v>
      </c>
      <c r="W74">
        <v>74</v>
      </c>
      <c r="X74">
        <v>0.52512562814070352</v>
      </c>
      <c r="Y74">
        <v>74</v>
      </c>
      <c r="Z74">
        <v>0.52512562814070352</v>
      </c>
    </row>
    <row r="75" spans="8:26" x14ac:dyDescent="0.2">
      <c r="H75" t="s">
        <v>177</v>
      </c>
      <c r="I75">
        <v>0.58899999999999997</v>
      </c>
      <c r="K75" t="s">
        <v>148</v>
      </c>
      <c r="L75">
        <v>0.70969000000000004</v>
      </c>
      <c r="N75" t="s">
        <v>145</v>
      </c>
      <c r="O75">
        <v>0.74392000000000003</v>
      </c>
      <c r="Q75" t="s">
        <v>195</v>
      </c>
      <c r="R75">
        <v>0.86521999999999999</v>
      </c>
      <c r="T75" t="s">
        <v>176</v>
      </c>
      <c r="U75" s="5">
        <v>14540</v>
      </c>
      <c r="V75">
        <v>10.199999999999999</v>
      </c>
      <c r="W75">
        <v>75</v>
      </c>
      <c r="X75">
        <v>0.52889447236180898</v>
      </c>
      <c r="Y75">
        <v>75</v>
      </c>
      <c r="Z75">
        <v>0.52889447236180898</v>
      </c>
    </row>
    <row r="76" spans="8:26" x14ac:dyDescent="0.2">
      <c r="H76" t="s">
        <v>104</v>
      </c>
      <c r="I76">
        <v>0.58899999999999997</v>
      </c>
      <c r="K76" t="s">
        <v>170</v>
      </c>
      <c r="L76">
        <v>0.70811000000000002</v>
      </c>
      <c r="N76" t="s">
        <v>134</v>
      </c>
      <c r="O76">
        <v>0.74187999999999998</v>
      </c>
      <c r="Q76" t="s">
        <v>256</v>
      </c>
      <c r="R76">
        <v>0.86495</v>
      </c>
      <c r="T76" t="s">
        <v>179</v>
      </c>
      <c r="U76" s="5">
        <v>83530</v>
      </c>
      <c r="V76">
        <v>0.4</v>
      </c>
      <c r="W76">
        <v>76</v>
      </c>
      <c r="X76">
        <v>0.53266331658291466</v>
      </c>
      <c r="Y76">
        <v>76</v>
      </c>
      <c r="Z76">
        <v>0.53266331658291466</v>
      </c>
    </row>
    <row r="77" spans="8:26" x14ac:dyDescent="0.2">
      <c r="H77" t="s">
        <v>182</v>
      </c>
      <c r="I77">
        <v>0.57530000000000003</v>
      </c>
      <c r="K77" t="s">
        <v>297</v>
      </c>
      <c r="L77">
        <v>0.70416999999999996</v>
      </c>
      <c r="N77" t="s">
        <v>184</v>
      </c>
      <c r="O77">
        <v>0.74131000000000002</v>
      </c>
      <c r="Q77" t="s">
        <v>156</v>
      </c>
      <c r="R77">
        <v>0.86448000000000003</v>
      </c>
      <c r="T77" t="s">
        <v>181</v>
      </c>
      <c r="U77" s="5">
        <v>24310</v>
      </c>
      <c r="V77">
        <v>1.3</v>
      </c>
      <c r="W77">
        <v>77</v>
      </c>
      <c r="X77">
        <v>0.53643216080402012</v>
      </c>
      <c r="Y77">
        <v>77</v>
      </c>
      <c r="Z77">
        <v>0.53643216080402012</v>
      </c>
    </row>
    <row r="78" spans="8:26" x14ac:dyDescent="0.2">
      <c r="H78" t="s">
        <v>95</v>
      </c>
      <c r="I78">
        <v>0.56159999999999999</v>
      </c>
      <c r="K78" t="s">
        <v>121</v>
      </c>
      <c r="L78">
        <v>0.70062999999999998</v>
      </c>
      <c r="N78" t="s">
        <v>178</v>
      </c>
      <c r="O78">
        <v>0.73762000000000005</v>
      </c>
      <c r="Q78" t="s">
        <v>188</v>
      </c>
      <c r="R78">
        <v>0.85229999999999995</v>
      </c>
      <c r="T78" t="s">
        <v>185</v>
      </c>
      <c r="U78" s="5">
        <v>20080</v>
      </c>
      <c r="V78">
        <v>9.3000000000000007</v>
      </c>
      <c r="W78">
        <v>78</v>
      </c>
      <c r="X78">
        <v>0.54020100502512558</v>
      </c>
      <c r="Y78">
        <v>78</v>
      </c>
      <c r="Z78">
        <v>0.54020100502512558</v>
      </c>
    </row>
    <row r="79" spans="8:26" x14ac:dyDescent="0.2">
      <c r="H79" t="s">
        <v>112</v>
      </c>
      <c r="I79">
        <v>0.54790000000000005</v>
      </c>
      <c r="K79" t="s">
        <v>218</v>
      </c>
      <c r="L79">
        <v>0.70016</v>
      </c>
      <c r="N79" t="s">
        <v>98</v>
      </c>
      <c r="O79">
        <v>0.72933999999999999</v>
      </c>
      <c r="Q79" t="s">
        <v>13</v>
      </c>
      <c r="R79">
        <v>0.84277999999999997</v>
      </c>
      <c r="T79" t="s">
        <v>187</v>
      </c>
      <c r="U79" s="5">
        <v>5300</v>
      </c>
      <c r="V79">
        <v>6.7</v>
      </c>
      <c r="W79">
        <v>79</v>
      </c>
      <c r="X79">
        <v>0.54396984924623115</v>
      </c>
      <c r="Y79">
        <v>79</v>
      </c>
      <c r="Z79">
        <v>0.54396984924623115</v>
      </c>
    </row>
    <row r="80" spans="8:26" x14ac:dyDescent="0.2">
      <c r="H80" t="s">
        <v>189</v>
      </c>
      <c r="I80">
        <v>0.54790000000000005</v>
      </c>
      <c r="K80" t="s">
        <v>252</v>
      </c>
      <c r="L80">
        <v>0.68916999999999995</v>
      </c>
      <c r="N80" t="s">
        <v>164</v>
      </c>
      <c r="O80">
        <v>0.72665000000000002</v>
      </c>
      <c r="Q80" t="s">
        <v>111</v>
      </c>
      <c r="R80">
        <v>0.84253999999999996</v>
      </c>
      <c r="T80" t="s">
        <v>188</v>
      </c>
      <c r="U80" s="5">
        <v>30990</v>
      </c>
      <c r="V80">
        <v>4.4000000000000004</v>
      </c>
      <c r="W80">
        <v>80</v>
      </c>
      <c r="X80">
        <v>0.54773869346733672</v>
      </c>
      <c r="Y80">
        <v>80</v>
      </c>
      <c r="Z80">
        <v>0.54773869346733672</v>
      </c>
    </row>
    <row r="81" spans="8:26" x14ac:dyDescent="0.2">
      <c r="H81" t="s">
        <v>190</v>
      </c>
      <c r="I81">
        <v>0.54790000000000005</v>
      </c>
      <c r="K81" t="s">
        <v>191</v>
      </c>
      <c r="L81">
        <v>0.67115000000000002</v>
      </c>
      <c r="N81" t="s">
        <v>128</v>
      </c>
      <c r="O81">
        <v>0.72555999999999998</v>
      </c>
      <c r="Q81" t="s">
        <v>144</v>
      </c>
      <c r="R81">
        <v>0.83638000000000001</v>
      </c>
      <c r="T81" t="s">
        <v>191</v>
      </c>
      <c r="U81" s="5">
        <v>13990</v>
      </c>
      <c r="V81">
        <v>7.3</v>
      </c>
      <c r="W81">
        <v>81</v>
      </c>
      <c r="X81">
        <v>0.55150753768844218</v>
      </c>
      <c r="Y81">
        <v>81</v>
      </c>
      <c r="Z81">
        <v>0.55150753768844218</v>
      </c>
    </row>
    <row r="82" spans="8:26" x14ac:dyDescent="0.2">
      <c r="H82" t="s">
        <v>88</v>
      </c>
      <c r="I82">
        <v>0.54790000000000005</v>
      </c>
      <c r="K82" t="s">
        <v>182</v>
      </c>
      <c r="L82">
        <v>0.66415000000000002</v>
      </c>
      <c r="N82" t="s">
        <v>162</v>
      </c>
      <c r="O82">
        <v>0.72328999999999999</v>
      </c>
      <c r="Q82" t="s">
        <v>201</v>
      </c>
      <c r="R82">
        <v>0.83565999999999996</v>
      </c>
      <c r="T82" t="s">
        <v>115</v>
      </c>
      <c r="U82" s="5">
        <v>22940</v>
      </c>
      <c r="V82">
        <v>0.6</v>
      </c>
      <c r="W82">
        <v>82</v>
      </c>
      <c r="X82">
        <v>0.55527638190954776</v>
      </c>
      <c r="Y82">
        <v>82</v>
      </c>
      <c r="Z82">
        <v>0.55527638190954776</v>
      </c>
    </row>
    <row r="83" spans="8:26" x14ac:dyDescent="0.2">
      <c r="H83" t="s">
        <v>194</v>
      </c>
      <c r="I83">
        <v>0.53420000000000001</v>
      </c>
      <c r="K83" t="s">
        <v>172</v>
      </c>
      <c r="L83">
        <v>0.65476999999999996</v>
      </c>
      <c r="N83" t="s">
        <v>174</v>
      </c>
      <c r="O83">
        <v>0.72021000000000002</v>
      </c>
      <c r="Q83" t="s">
        <v>50</v>
      </c>
      <c r="R83">
        <v>0.83221000000000001</v>
      </c>
      <c r="T83" t="s">
        <v>193</v>
      </c>
      <c r="U83" s="8" t="s">
        <v>118</v>
      </c>
      <c r="V83">
        <v>0.04</v>
      </c>
      <c r="W83">
        <v>83</v>
      </c>
      <c r="X83">
        <v>0.55904522613065333</v>
      </c>
      <c r="Y83">
        <v>83</v>
      </c>
      <c r="Z83">
        <v>0.55904522613065333</v>
      </c>
    </row>
    <row r="84" spans="8:26" x14ac:dyDescent="0.2">
      <c r="H84" t="s">
        <v>140</v>
      </c>
      <c r="I84">
        <v>0.52049999999999996</v>
      </c>
      <c r="K84" t="s">
        <v>272</v>
      </c>
      <c r="L84">
        <v>0.65378999999999998</v>
      </c>
      <c r="N84" t="s">
        <v>51</v>
      </c>
      <c r="O84">
        <v>0.71921000000000002</v>
      </c>
      <c r="Q84" t="s">
        <v>158</v>
      </c>
      <c r="R84">
        <v>0.83101000000000003</v>
      </c>
      <c r="T84" t="s">
        <v>195</v>
      </c>
      <c r="U84" s="5">
        <v>34860</v>
      </c>
      <c r="V84">
        <v>0.4</v>
      </c>
      <c r="W84">
        <v>84</v>
      </c>
      <c r="X84">
        <v>0.56281407035175879</v>
      </c>
      <c r="Y84">
        <v>84</v>
      </c>
      <c r="Z84">
        <v>0.56281407035175879</v>
      </c>
    </row>
    <row r="85" spans="8:26" x14ac:dyDescent="0.2">
      <c r="H85" t="s">
        <v>186</v>
      </c>
      <c r="I85">
        <v>0.52049999999999996</v>
      </c>
      <c r="K85" t="s">
        <v>188</v>
      </c>
      <c r="L85">
        <v>0.65049000000000001</v>
      </c>
      <c r="N85" t="s">
        <v>115</v>
      </c>
      <c r="O85">
        <v>0.71904000000000001</v>
      </c>
      <c r="Q85" t="s">
        <v>146</v>
      </c>
      <c r="R85">
        <v>0.82821</v>
      </c>
      <c r="T85" t="s">
        <v>182</v>
      </c>
      <c r="U85" s="5">
        <v>18210</v>
      </c>
      <c r="V85">
        <v>2.1</v>
      </c>
      <c r="W85">
        <v>85</v>
      </c>
      <c r="X85">
        <v>0.56658291457286425</v>
      </c>
      <c r="Y85">
        <v>85</v>
      </c>
      <c r="Z85">
        <v>0.56658291457286425</v>
      </c>
    </row>
    <row r="86" spans="8:26" x14ac:dyDescent="0.2">
      <c r="H86" t="s">
        <v>115</v>
      </c>
      <c r="I86">
        <v>0.50680000000000003</v>
      </c>
      <c r="K86" t="s">
        <v>197</v>
      </c>
      <c r="L86">
        <v>0.64046999999999998</v>
      </c>
      <c r="N86" t="s">
        <v>153</v>
      </c>
      <c r="O86">
        <v>0.71889999999999998</v>
      </c>
      <c r="Q86" t="s">
        <v>270</v>
      </c>
      <c r="R86">
        <v>0.82630000000000003</v>
      </c>
      <c r="T86" t="s">
        <v>197</v>
      </c>
      <c r="U86" s="5">
        <v>20640</v>
      </c>
      <c r="V86">
        <v>10.8</v>
      </c>
      <c r="W86">
        <v>86</v>
      </c>
      <c r="X86">
        <v>0.57035175879396993</v>
      </c>
      <c r="Y86">
        <v>86</v>
      </c>
      <c r="Z86">
        <v>0.57035175879396993</v>
      </c>
    </row>
    <row r="87" spans="8:26" x14ac:dyDescent="0.2">
      <c r="H87" t="s">
        <v>106</v>
      </c>
      <c r="I87">
        <v>0.50680000000000003</v>
      </c>
      <c r="K87" t="s">
        <v>160</v>
      </c>
      <c r="L87">
        <v>0.63654999999999995</v>
      </c>
      <c r="N87" t="s">
        <v>200</v>
      </c>
      <c r="O87">
        <v>0.71757000000000004</v>
      </c>
      <c r="Q87" t="s">
        <v>176</v>
      </c>
      <c r="R87">
        <v>0.82033999999999996</v>
      </c>
      <c r="T87" t="s">
        <v>199</v>
      </c>
      <c r="U87" s="5">
        <v>26730</v>
      </c>
      <c r="V87">
        <v>1.4</v>
      </c>
      <c r="W87">
        <v>87</v>
      </c>
      <c r="X87">
        <v>0.57412060301507539</v>
      </c>
      <c r="Y87">
        <v>87</v>
      </c>
      <c r="Z87">
        <v>0.57412060301507539</v>
      </c>
    </row>
    <row r="88" spans="8:26" x14ac:dyDescent="0.2">
      <c r="H88" t="s">
        <v>202</v>
      </c>
      <c r="I88">
        <v>0.50680000000000003</v>
      </c>
      <c r="K88" t="s">
        <v>203</v>
      </c>
      <c r="L88">
        <v>0.62200999999999995</v>
      </c>
      <c r="N88" t="s">
        <v>204</v>
      </c>
      <c r="O88">
        <v>0.71738999999999997</v>
      </c>
      <c r="Q88" t="s">
        <v>234</v>
      </c>
      <c r="R88">
        <v>0.81694999999999995</v>
      </c>
      <c r="T88" t="s">
        <v>201</v>
      </c>
      <c r="U88" s="5">
        <v>11870</v>
      </c>
      <c r="V88">
        <v>12.3</v>
      </c>
      <c r="W88">
        <v>88</v>
      </c>
      <c r="X88">
        <v>0.57788944723618085</v>
      </c>
      <c r="Y88">
        <v>88</v>
      </c>
      <c r="Z88">
        <v>0.57788944723618085</v>
      </c>
    </row>
    <row r="89" spans="8:26" x14ac:dyDescent="0.2">
      <c r="H89" t="s">
        <v>183</v>
      </c>
      <c r="I89">
        <v>0.49320000000000003</v>
      </c>
      <c r="K89" t="s">
        <v>248</v>
      </c>
      <c r="L89">
        <v>0.60836999999999997</v>
      </c>
      <c r="N89" t="s">
        <v>207</v>
      </c>
      <c r="O89">
        <v>0.71480999999999995</v>
      </c>
      <c r="Q89" t="s">
        <v>261</v>
      </c>
      <c r="R89">
        <v>0.81289999999999996</v>
      </c>
      <c r="T89" t="s">
        <v>206</v>
      </c>
      <c r="U89" s="8" t="s">
        <v>118</v>
      </c>
      <c r="V89">
        <v>0.08</v>
      </c>
      <c r="W89">
        <v>89</v>
      </c>
      <c r="X89">
        <v>0.58165829145728642</v>
      </c>
      <c r="Y89">
        <v>89</v>
      </c>
      <c r="Z89">
        <v>0.58165829145728642</v>
      </c>
    </row>
    <row r="90" spans="8:26" x14ac:dyDescent="0.2">
      <c r="H90" t="s">
        <v>162</v>
      </c>
      <c r="I90">
        <v>0.49320000000000003</v>
      </c>
      <c r="K90" t="s">
        <v>187</v>
      </c>
      <c r="L90">
        <v>0.60723000000000005</v>
      </c>
      <c r="N90" t="s">
        <v>210</v>
      </c>
      <c r="O90">
        <v>0.71148999999999996</v>
      </c>
      <c r="Q90" t="s">
        <v>168</v>
      </c>
      <c r="R90">
        <v>0.81179999999999997</v>
      </c>
      <c r="T90" t="s">
        <v>209</v>
      </c>
      <c r="U90" s="5">
        <v>11980</v>
      </c>
      <c r="V90">
        <v>11.1</v>
      </c>
      <c r="W90">
        <v>90</v>
      </c>
      <c r="X90">
        <v>0.585427135678392</v>
      </c>
      <c r="Y90">
        <v>90</v>
      </c>
      <c r="Z90">
        <v>0.585427135678392</v>
      </c>
    </row>
    <row r="91" spans="8:26" x14ac:dyDescent="0.2">
      <c r="H91" t="s">
        <v>134</v>
      </c>
      <c r="I91">
        <v>0.49320000000000003</v>
      </c>
      <c r="K91" t="s">
        <v>319</v>
      </c>
      <c r="L91">
        <v>0.60690999999999995</v>
      </c>
      <c r="N91" t="s">
        <v>30</v>
      </c>
      <c r="O91">
        <v>0.71135000000000004</v>
      </c>
      <c r="Q91" t="s">
        <v>122</v>
      </c>
      <c r="R91">
        <v>0.80781999999999998</v>
      </c>
      <c r="T91" t="s">
        <v>211</v>
      </c>
      <c r="U91" s="5">
        <v>9230</v>
      </c>
      <c r="V91">
        <v>37.799999999999997</v>
      </c>
      <c r="W91">
        <v>91</v>
      </c>
      <c r="X91">
        <v>0.58919597989949746</v>
      </c>
      <c r="Y91">
        <v>91</v>
      </c>
      <c r="Z91">
        <v>0.58919597989949746</v>
      </c>
    </row>
    <row r="92" spans="8:26" x14ac:dyDescent="0.2">
      <c r="H92" t="s">
        <v>205</v>
      </c>
      <c r="I92">
        <v>0.49320000000000003</v>
      </c>
      <c r="K92" t="s">
        <v>199</v>
      </c>
      <c r="L92">
        <v>0.59989000000000003</v>
      </c>
      <c r="N92" t="s">
        <v>173</v>
      </c>
      <c r="O92">
        <v>0.70931999999999995</v>
      </c>
      <c r="Q92" t="s">
        <v>130</v>
      </c>
      <c r="R92">
        <v>0.80684999999999996</v>
      </c>
      <c r="T92" t="s">
        <v>213</v>
      </c>
      <c r="U92" s="5">
        <v>17450</v>
      </c>
      <c r="V92">
        <v>0.3</v>
      </c>
      <c r="W92">
        <v>92</v>
      </c>
      <c r="X92">
        <v>0.59296482412060303</v>
      </c>
      <c r="Y92">
        <v>92</v>
      </c>
      <c r="Z92">
        <v>0.59296482412060303</v>
      </c>
    </row>
    <row r="93" spans="8:26" x14ac:dyDescent="0.2">
      <c r="H93" t="s">
        <v>203</v>
      </c>
      <c r="I93">
        <v>0.47949999999999998</v>
      </c>
      <c r="K93" t="s">
        <v>228</v>
      </c>
      <c r="L93">
        <v>0.59869000000000006</v>
      </c>
      <c r="N93" t="s">
        <v>21</v>
      </c>
      <c r="O93">
        <v>0.70830000000000004</v>
      </c>
      <c r="Q93" t="s">
        <v>165</v>
      </c>
      <c r="R93">
        <v>0.80654000000000003</v>
      </c>
      <c r="T93" t="s">
        <v>214</v>
      </c>
      <c r="U93" s="5">
        <v>26320</v>
      </c>
      <c r="V93">
        <v>0.1</v>
      </c>
      <c r="W93">
        <v>93</v>
      </c>
      <c r="X93">
        <v>0.5967336683417086</v>
      </c>
      <c r="Y93">
        <v>93</v>
      </c>
      <c r="Z93">
        <v>0.5967336683417086</v>
      </c>
    </row>
    <row r="94" spans="8:26" x14ac:dyDescent="0.2">
      <c r="H94" t="s">
        <v>30</v>
      </c>
      <c r="I94">
        <v>0.47949999999999998</v>
      </c>
      <c r="K94" t="s">
        <v>201</v>
      </c>
      <c r="L94">
        <v>0.59506999999999999</v>
      </c>
      <c r="N94" t="s">
        <v>159</v>
      </c>
      <c r="O94">
        <v>0.70609999999999995</v>
      </c>
      <c r="Q94" t="s">
        <v>191</v>
      </c>
      <c r="R94">
        <v>0.79468000000000005</v>
      </c>
      <c r="T94" t="s">
        <v>216</v>
      </c>
      <c r="U94" s="5">
        <v>12080</v>
      </c>
      <c r="V94">
        <v>0.9</v>
      </c>
      <c r="W94">
        <v>94</v>
      </c>
      <c r="X94">
        <v>0.60050251256281406</v>
      </c>
      <c r="Y94">
        <v>94</v>
      </c>
      <c r="Z94">
        <v>0.60050251256281406</v>
      </c>
    </row>
    <row r="95" spans="8:26" x14ac:dyDescent="0.2">
      <c r="H95" t="s">
        <v>159</v>
      </c>
      <c r="I95">
        <v>0.46579999999999999</v>
      </c>
      <c r="K95" t="s">
        <v>181</v>
      </c>
      <c r="L95">
        <v>0.59031999999999996</v>
      </c>
      <c r="N95" t="s">
        <v>217</v>
      </c>
      <c r="O95">
        <v>0.70599999999999996</v>
      </c>
      <c r="Q95" t="s">
        <v>239</v>
      </c>
      <c r="R95">
        <v>0.79425999999999997</v>
      </c>
      <c r="T95" t="s">
        <v>203</v>
      </c>
      <c r="U95" s="5">
        <v>19150</v>
      </c>
      <c r="V95">
        <v>0.5</v>
      </c>
      <c r="W95">
        <v>95</v>
      </c>
      <c r="X95">
        <v>0.60427135678391952</v>
      </c>
      <c r="Y95">
        <v>95</v>
      </c>
      <c r="Z95">
        <v>0.60427135678391952</v>
      </c>
    </row>
    <row r="96" spans="8:26" x14ac:dyDescent="0.2">
      <c r="H96" t="s">
        <v>219</v>
      </c>
      <c r="I96">
        <v>0.46579999999999999</v>
      </c>
      <c r="K96" t="s">
        <v>234</v>
      </c>
      <c r="L96">
        <v>0.58862000000000003</v>
      </c>
      <c r="N96" t="s">
        <v>182</v>
      </c>
      <c r="O96">
        <v>0.70233000000000001</v>
      </c>
      <c r="Q96" t="s">
        <v>225</v>
      </c>
      <c r="R96">
        <v>0.79359000000000002</v>
      </c>
      <c r="T96" t="s">
        <v>218</v>
      </c>
      <c r="U96" s="5">
        <v>14000</v>
      </c>
      <c r="V96">
        <v>110.9</v>
      </c>
      <c r="W96">
        <v>96</v>
      </c>
      <c r="X96">
        <v>0.6080402010050252</v>
      </c>
      <c r="Y96">
        <v>96</v>
      </c>
      <c r="Z96">
        <v>0.6080402010050252</v>
      </c>
    </row>
    <row r="97" spans="8:26" x14ac:dyDescent="0.2">
      <c r="H97" t="s">
        <v>45</v>
      </c>
      <c r="I97">
        <v>0.46579999999999999</v>
      </c>
      <c r="K97" t="s">
        <v>179</v>
      </c>
      <c r="L97">
        <v>0.58020000000000005</v>
      </c>
      <c r="N97" t="s">
        <v>45</v>
      </c>
      <c r="O97">
        <v>0.69908999999999999</v>
      </c>
      <c r="Q97" t="s">
        <v>203</v>
      </c>
      <c r="R97">
        <v>0.78856000000000004</v>
      </c>
      <c r="T97" t="s">
        <v>221</v>
      </c>
      <c r="U97" s="5">
        <v>10990</v>
      </c>
      <c r="V97">
        <v>2.8</v>
      </c>
      <c r="W97">
        <v>97</v>
      </c>
      <c r="X97">
        <v>0.61180904522613067</v>
      </c>
      <c r="Y97">
        <v>97</v>
      </c>
      <c r="Z97">
        <v>0.61180904522613067</v>
      </c>
    </row>
    <row r="98" spans="8:26" x14ac:dyDescent="0.2">
      <c r="H98" t="s">
        <v>196</v>
      </c>
      <c r="I98">
        <v>0.46579999999999999</v>
      </c>
      <c r="K98" t="s">
        <v>185</v>
      </c>
      <c r="L98">
        <v>0.57598000000000005</v>
      </c>
      <c r="N98" t="s">
        <v>223</v>
      </c>
      <c r="O98">
        <v>0.69557000000000002</v>
      </c>
      <c r="Q98" t="s">
        <v>224</v>
      </c>
      <c r="R98">
        <v>0.78510999999999997</v>
      </c>
      <c r="T98" t="s">
        <v>222</v>
      </c>
      <c r="U98" s="5">
        <v>7130</v>
      </c>
      <c r="V98" s="7">
        <v>1417.2</v>
      </c>
      <c r="W98">
        <v>98</v>
      </c>
      <c r="X98">
        <v>0.61557788944723613</v>
      </c>
      <c r="Y98">
        <v>98</v>
      </c>
      <c r="Z98">
        <v>0.61557788944723613</v>
      </c>
    </row>
    <row r="99" spans="8:26" x14ac:dyDescent="0.2">
      <c r="H99" t="s">
        <v>226</v>
      </c>
      <c r="I99">
        <v>0.46579999999999999</v>
      </c>
      <c r="K99" t="s">
        <v>221</v>
      </c>
      <c r="L99">
        <v>0.56772</v>
      </c>
      <c r="N99" t="s">
        <v>227</v>
      </c>
      <c r="O99">
        <v>0.69316</v>
      </c>
      <c r="Q99" t="s">
        <v>245</v>
      </c>
      <c r="R99">
        <v>0.77627999999999997</v>
      </c>
      <c r="T99" t="s">
        <v>225</v>
      </c>
      <c r="U99" s="5">
        <v>12570</v>
      </c>
      <c r="V99">
        <v>21.5</v>
      </c>
      <c r="W99">
        <v>99</v>
      </c>
      <c r="X99">
        <v>0.6193467336683417</v>
      </c>
      <c r="Y99">
        <v>99</v>
      </c>
      <c r="Z99">
        <v>0.6193467336683417</v>
      </c>
    </row>
    <row r="100" spans="8:26" x14ac:dyDescent="0.2">
      <c r="H100" t="s">
        <v>229</v>
      </c>
      <c r="I100">
        <v>0.4521</v>
      </c>
      <c r="K100" t="s">
        <v>95</v>
      </c>
      <c r="L100">
        <v>0.56521999999999994</v>
      </c>
      <c r="N100" t="s">
        <v>215</v>
      </c>
      <c r="O100">
        <v>0.68764999999999998</v>
      </c>
      <c r="Q100" t="s">
        <v>151</v>
      </c>
      <c r="R100">
        <v>0.77497000000000005</v>
      </c>
      <c r="T100" t="s">
        <v>228</v>
      </c>
      <c r="U100" s="5">
        <v>8550</v>
      </c>
      <c r="V100">
        <v>12.1</v>
      </c>
      <c r="W100">
        <v>100</v>
      </c>
      <c r="X100">
        <v>0.62311557788944727</v>
      </c>
      <c r="Y100">
        <v>100</v>
      </c>
      <c r="Z100">
        <v>0.62311557788944727</v>
      </c>
    </row>
    <row r="101" spans="8:26" x14ac:dyDescent="0.2">
      <c r="H101" t="s">
        <v>231</v>
      </c>
      <c r="I101">
        <v>0.4521</v>
      </c>
      <c r="K101" t="s">
        <v>211</v>
      </c>
      <c r="L101">
        <v>0.56184000000000001</v>
      </c>
      <c r="N101" t="s">
        <v>186</v>
      </c>
      <c r="O101">
        <v>0.68662999999999996</v>
      </c>
      <c r="Q101" t="s">
        <v>199</v>
      </c>
      <c r="R101">
        <v>0.77454000000000001</v>
      </c>
      <c r="T101" t="s">
        <v>230</v>
      </c>
      <c r="U101" s="5">
        <v>6530</v>
      </c>
      <c r="V101">
        <v>171.2</v>
      </c>
      <c r="W101">
        <v>101</v>
      </c>
      <c r="X101">
        <v>0.62688442211055273</v>
      </c>
      <c r="Y101">
        <v>101</v>
      </c>
      <c r="Z101">
        <v>0.62688442211055273</v>
      </c>
    </row>
    <row r="102" spans="8:26" x14ac:dyDescent="0.2">
      <c r="H102" t="s">
        <v>192</v>
      </c>
      <c r="I102">
        <v>0.4521</v>
      </c>
      <c r="K102" t="s">
        <v>225</v>
      </c>
      <c r="L102">
        <v>0.54937000000000002</v>
      </c>
      <c r="N102" t="s">
        <v>155</v>
      </c>
      <c r="O102">
        <v>0.67688000000000004</v>
      </c>
      <c r="Q102" t="s">
        <v>267</v>
      </c>
      <c r="R102">
        <v>0.76529000000000003</v>
      </c>
      <c r="T102" t="s">
        <v>143</v>
      </c>
      <c r="U102" s="5">
        <v>16790</v>
      </c>
      <c r="V102">
        <v>88.6</v>
      </c>
      <c r="W102">
        <v>102</v>
      </c>
      <c r="X102">
        <v>0.6306532663316583</v>
      </c>
      <c r="Y102">
        <v>102</v>
      </c>
      <c r="Z102">
        <v>0.6306532663316583</v>
      </c>
    </row>
    <row r="103" spans="8:26" x14ac:dyDescent="0.2">
      <c r="H103" t="s">
        <v>217</v>
      </c>
      <c r="I103">
        <v>0.43840000000000001</v>
      </c>
      <c r="K103" t="s">
        <v>195</v>
      </c>
      <c r="L103">
        <v>0.54020999999999997</v>
      </c>
      <c r="N103" t="s">
        <v>112</v>
      </c>
      <c r="O103">
        <v>0.66683999999999999</v>
      </c>
      <c r="Q103" t="s">
        <v>213</v>
      </c>
      <c r="R103">
        <v>0.76239999999999997</v>
      </c>
      <c r="T103" t="s">
        <v>233</v>
      </c>
      <c r="U103" s="5" t="s">
        <v>118</v>
      </c>
      <c r="V103">
        <v>0.03</v>
      </c>
      <c r="W103">
        <v>103</v>
      </c>
      <c r="X103">
        <v>0.63442211055276387</v>
      </c>
      <c r="Y103">
        <v>103</v>
      </c>
      <c r="Z103">
        <v>0.63442211055276387</v>
      </c>
    </row>
    <row r="104" spans="8:26" x14ac:dyDescent="0.2">
      <c r="H104" t="s">
        <v>157</v>
      </c>
      <c r="I104">
        <v>0.43840000000000001</v>
      </c>
      <c r="K104" t="s">
        <v>311</v>
      </c>
      <c r="L104">
        <v>0.53718999999999995</v>
      </c>
      <c r="N104" t="s">
        <v>236</v>
      </c>
      <c r="O104">
        <v>0.66137000000000001</v>
      </c>
      <c r="Q104" t="s">
        <v>268</v>
      </c>
      <c r="R104">
        <v>0.76093999999999995</v>
      </c>
      <c r="T104" t="s">
        <v>234</v>
      </c>
      <c r="U104" s="5">
        <v>10840</v>
      </c>
      <c r="V104">
        <v>0.8</v>
      </c>
      <c r="W104">
        <v>104</v>
      </c>
      <c r="X104">
        <v>0.63819095477386933</v>
      </c>
      <c r="Y104">
        <v>104</v>
      </c>
      <c r="Z104">
        <v>0.63819095477386933</v>
      </c>
    </row>
    <row r="105" spans="8:26" x14ac:dyDescent="0.2">
      <c r="H105" t="s">
        <v>212</v>
      </c>
      <c r="I105">
        <v>0.43840000000000001</v>
      </c>
      <c r="K105" t="s">
        <v>216</v>
      </c>
      <c r="L105">
        <v>0.53430999999999995</v>
      </c>
      <c r="N105" t="s">
        <v>99</v>
      </c>
      <c r="O105">
        <v>0.65866000000000002</v>
      </c>
      <c r="Q105" t="s">
        <v>175</v>
      </c>
      <c r="R105">
        <v>0.75544</v>
      </c>
      <c r="T105" t="s">
        <v>238</v>
      </c>
      <c r="U105" s="5">
        <v>17460</v>
      </c>
      <c r="V105">
        <v>0.1</v>
      </c>
      <c r="W105">
        <v>105</v>
      </c>
      <c r="X105">
        <v>0.64195979899497491</v>
      </c>
      <c r="Y105">
        <v>105</v>
      </c>
      <c r="Z105">
        <v>0.64195979899497491</v>
      </c>
    </row>
    <row r="106" spans="8:26" x14ac:dyDescent="0.2">
      <c r="H106" t="s">
        <v>215</v>
      </c>
      <c r="I106">
        <v>0.42470000000000002</v>
      </c>
      <c r="K106" t="s">
        <v>240</v>
      </c>
      <c r="L106">
        <v>0.52193999999999996</v>
      </c>
      <c r="N106" t="s">
        <v>220</v>
      </c>
      <c r="O106">
        <v>0.65703999999999996</v>
      </c>
      <c r="Q106" t="s">
        <v>182</v>
      </c>
      <c r="R106">
        <v>0.75458999999999998</v>
      </c>
      <c r="T106" t="s">
        <v>239</v>
      </c>
      <c r="U106" s="5">
        <v>21840</v>
      </c>
      <c r="V106">
        <v>0.1</v>
      </c>
      <c r="W106">
        <v>106</v>
      </c>
      <c r="X106">
        <v>0.64572864321608037</v>
      </c>
      <c r="Y106">
        <v>106</v>
      </c>
      <c r="Z106">
        <v>0.64572864321608037</v>
      </c>
    </row>
    <row r="107" spans="8:26" x14ac:dyDescent="0.2">
      <c r="H107" t="s">
        <v>242</v>
      </c>
      <c r="I107">
        <v>0.42470000000000002</v>
      </c>
      <c r="K107" t="s">
        <v>115</v>
      </c>
      <c r="L107">
        <v>0.52141999999999999</v>
      </c>
      <c r="N107" t="s">
        <v>243</v>
      </c>
      <c r="O107">
        <v>0.65305000000000002</v>
      </c>
      <c r="Q107" t="s">
        <v>259</v>
      </c>
      <c r="R107">
        <v>0.75263999999999998</v>
      </c>
      <c r="T107" t="s">
        <v>241</v>
      </c>
      <c r="U107" s="5">
        <v>15120</v>
      </c>
      <c r="V107">
        <v>0.6</v>
      </c>
      <c r="W107">
        <v>107</v>
      </c>
      <c r="X107">
        <v>0.64949748743718594</v>
      </c>
      <c r="Y107">
        <v>107</v>
      </c>
      <c r="Z107">
        <v>0.64949748743718594</v>
      </c>
    </row>
    <row r="108" spans="8:26" x14ac:dyDescent="0.2">
      <c r="H108" t="s">
        <v>246</v>
      </c>
      <c r="I108">
        <v>0.42470000000000002</v>
      </c>
      <c r="K108" t="s">
        <v>313</v>
      </c>
      <c r="L108">
        <v>0.52015999999999996</v>
      </c>
      <c r="N108" t="s">
        <v>192</v>
      </c>
      <c r="O108">
        <v>0.64964999999999995</v>
      </c>
      <c r="Q108" t="s">
        <v>216</v>
      </c>
      <c r="R108">
        <v>0.75066999999999995</v>
      </c>
      <c r="T108" t="s">
        <v>245</v>
      </c>
      <c r="U108" s="5">
        <v>17650</v>
      </c>
      <c r="V108">
        <v>3.2</v>
      </c>
      <c r="W108">
        <v>108</v>
      </c>
      <c r="X108">
        <v>0.6532663316582914</v>
      </c>
      <c r="Y108">
        <v>108</v>
      </c>
      <c r="Z108">
        <v>0.6532663316582914</v>
      </c>
    </row>
    <row r="109" spans="8:26" x14ac:dyDescent="0.2">
      <c r="H109" t="s">
        <v>131</v>
      </c>
      <c r="I109">
        <v>0.41099999999999998</v>
      </c>
      <c r="K109" t="s">
        <v>259</v>
      </c>
      <c r="L109">
        <v>0.50897000000000003</v>
      </c>
      <c r="N109" t="s">
        <v>154</v>
      </c>
      <c r="O109">
        <v>0.64578999999999998</v>
      </c>
      <c r="Q109" t="s">
        <v>197</v>
      </c>
      <c r="R109">
        <v>0.74439999999999995</v>
      </c>
      <c r="T109" t="s">
        <v>248</v>
      </c>
      <c r="U109" s="5">
        <v>6220</v>
      </c>
      <c r="V109">
        <v>32.799999999999997</v>
      </c>
      <c r="W109">
        <v>109</v>
      </c>
      <c r="X109">
        <v>0.65703517587939697</v>
      </c>
      <c r="Y109">
        <v>109</v>
      </c>
      <c r="Z109">
        <v>0.65703517587939697</v>
      </c>
    </row>
    <row r="110" spans="8:26" x14ac:dyDescent="0.2">
      <c r="H110" t="s">
        <v>240</v>
      </c>
      <c r="I110">
        <v>0.41099999999999998</v>
      </c>
      <c r="K110" t="s">
        <v>238</v>
      </c>
      <c r="L110">
        <v>0.50555000000000005</v>
      </c>
      <c r="N110" t="s">
        <v>250</v>
      </c>
      <c r="O110">
        <v>0.64531000000000005</v>
      </c>
      <c r="Q110" t="s">
        <v>295</v>
      </c>
      <c r="R110">
        <v>0.73285</v>
      </c>
      <c r="T110" t="s">
        <v>249</v>
      </c>
      <c r="U110" s="5">
        <v>5150</v>
      </c>
      <c r="V110">
        <v>54</v>
      </c>
      <c r="W110">
        <v>110</v>
      </c>
      <c r="X110">
        <v>0.66080402010050254</v>
      </c>
      <c r="Y110">
        <v>110</v>
      </c>
      <c r="Z110">
        <v>0.66080402010050254</v>
      </c>
    </row>
    <row r="111" spans="8:26" x14ac:dyDescent="0.2">
      <c r="H111" t="s">
        <v>220</v>
      </c>
      <c r="I111">
        <v>0.41099999999999998</v>
      </c>
      <c r="K111" t="s">
        <v>245</v>
      </c>
      <c r="L111">
        <v>0.50027999999999995</v>
      </c>
      <c r="N111" t="s">
        <v>208</v>
      </c>
      <c r="O111">
        <v>0.64178999999999997</v>
      </c>
      <c r="Q111" t="s">
        <v>221</v>
      </c>
      <c r="R111">
        <v>0.72963</v>
      </c>
      <c r="T111" t="s">
        <v>251</v>
      </c>
      <c r="U111" s="5">
        <v>25940</v>
      </c>
      <c r="V111">
        <v>0.05</v>
      </c>
      <c r="W111">
        <v>111</v>
      </c>
      <c r="X111">
        <v>0.664572864321608</v>
      </c>
      <c r="Y111">
        <v>111</v>
      </c>
      <c r="Z111">
        <v>0.664572864321608</v>
      </c>
    </row>
    <row r="112" spans="8:26" x14ac:dyDescent="0.2">
      <c r="H112" t="s">
        <v>253</v>
      </c>
      <c r="I112">
        <v>0.41099999999999998</v>
      </c>
      <c r="K112" t="s">
        <v>258</v>
      </c>
      <c r="L112">
        <v>0.49958000000000002</v>
      </c>
      <c r="N112" t="s">
        <v>255</v>
      </c>
      <c r="O112">
        <v>0.62690000000000001</v>
      </c>
      <c r="Q112" t="s">
        <v>258</v>
      </c>
      <c r="R112">
        <v>0.72879000000000005</v>
      </c>
      <c r="T112" t="s">
        <v>252</v>
      </c>
      <c r="U112" s="5">
        <v>7000</v>
      </c>
      <c r="V112">
        <v>0.6</v>
      </c>
      <c r="W112">
        <v>112</v>
      </c>
      <c r="X112">
        <v>0.66834170854271358</v>
      </c>
      <c r="Y112">
        <v>112</v>
      </c>
      <c r="Z112">
        <v>0.66834170854271358</v>
      </c>
    </row>
    <row r="113" spans="8:26" x14ac:dyDescent="0.2">
      <c r="H113" t="s">
        <v>184</v>
      </c>
      <c r="I113">
        <v>0.39729999999999999</v>
      </c>
      <c r="K113" t="s">
        <v>213</v>
      </c>
      <c r="L113">
        <v>0.49754999999999999</v>
      </c>
      <c r="N113" t="s">
        <v>253</v>
      </c>
      <c r="O113">
        <v>0.62251999999999996</v>
      </c>
      <c r="Q113" t="s">
        <v>248</v>
      </c>
      <c r="R113">
        <v>0.72814000000000001</v>
      </c>
      <c r="T113" t="s">
        <v>256</v>
      </c>
      <c r="U113" s="5">
        <v>17220</v>
      </c>
      <c r="V113">
        <v>2.4</v>
      </c>
      <c r="W113">
        <v>113</v>
      </c>
      <c r="X113">
        <v>0.67211055276381915</v>
      </c>
      <c r="Y113">
        <v>113</v>
      </c>
      <c r="Z113">
        <v>0.67211055276381915</v>
      </c>
    </row>
    <row r="114" spans="8:26" x14ac:dyDescent="0.2">
      <c r="H114" t="s">
        <v>244</v>
      </c>
      <c r="I114">
        <v>0.3836</v>
      </c>
      <c r="K114" t="s">
        <v>343</v>
      </c>
      <c r="L114">
        <v>0.49696000000000001</v>
      </c>
      <c r="N114" t="s">
        <v>189</v>
      </c>
      <c r="O114">
        <v>0.62219000000000002</v>
      </c>
      <c r="Q114" t="s">
        <v>228</v>
      </c>
      <c r="R114">
        <v>0.70889999999999997</v>
      </c>
      <c r="T114" t="s">
        <v>224</v>
      </c>
      <c r="U114" s="5">
        <v>9550</v>
      </c>
      <c r="V114">
        <v>1.2</v>
      </c>
      <c r="W114">
        <v>114</v>
      </c>
      <c r="X114">
        <v>0.67587939698492461</v>
      </c>
      <c r="Y114">
        <v>114</v>
      </c>
      <c r="Z114">
        <v>0.67587939698492461</v>
      </c>
    </row>
    <row r="115" spans="8:26" x14ac:dyDescent="0.2">
      <c r="H115" t="s">
        <v>224</v>
      </c>
      <c r="I115">
        <v>0.3836</v>
      </c>
      <c r="K115" t="s">
        <v>285</v>
      </c>
      <c r="L115">
        <v>0.49584</v>
      </c>
      <c r="N115" t="s">
        <v>177</v>
      </c>
      <c r="O115">
        <v>0.61502999999999997</v>
      </c>
      <c r="Q115" t="s">
        <v>218</v>
      </c>
      <c r="R115">
        <v>0.69455999999999996</v>
      </c>
      <c r="T115" t="s">
        <v>258</v>
      </c>
      <c r="U115" s="5">
        <v>9650</v>
      </c>
      <c r="V115">
        <v>2.5</v>
      </c>
      <c r="W115">
        <v>115</v>
      </c>
      <c r="X115">
        <v>0.67964824120603018</v>
      </c>
      <c r="Y115">
        <v>115</v>
      </c>
      <c r="Z115">
        <v>0.67964824120603018</v>
      </c>
    </row>
    <row r="116" spans="8:26" x14ac:dyDescent="0.2">
      <c r="H116" t="s">
        <v>235</v>
      </c>
      <c r="I116">
        <v>0.36990000000000001</v>
      </c>
      <c r="K116" t="s">
        <v>193</v>
      </c>
      <c r="L116">
        <v>0.48376999999999998</v>
      </c>
      <c r="N116" t="s">
        <v>116</v>
      </c>
      <c r="O116">
        <v>0.61487000000000003</v>
      </c>
      <c r="Q116" t="s">
        <v>282</v>
      </c>
      <c r="R116">
        <v>0.69418000000000002</v>
      </c>
      <c r="T116" t="s">
        <v>259</v>
      </c>
      <c r="U116" s="5">
        <v>9000</v>
      </c>
      <c r="V116">
        <v>6.5</v>
      </c>
      <c r="W116">
        <v>116</v>
      </c>
      <c r="X116">
        <v>0.68341708542713564</v>
      </c>
      <c r="Y116">
        <v>116</v>
      </c>
      <c r="Z116">
        <v>0.68341708542713564</v>
      </c>
    </row>
    <row r="117" spans="8:26" x14ac:dyDescent="0.2">
      <c r="H117" t="s">
        <v>247</v>
      </c>
      <c r="I117">
        <v>0.36990000000000001</v>
      </c>
      <c r="K117" t="s">
        <v>241</v>
      </c>
      <c r="L117">
        <v>0.48137000000000002</v>
      </c>
      <c r="N117" t="s">
        <v>203</v>
      </c>
      <c r="O117">
        <v>0.61297999999999997</v>
      </c>
      <c r="Q117" t="s">
        <v>316</v>
      </c>
      <c r="R117">
        <v>0.68735999999999997</v>
      </c>
      <c r="T117" t="s">
        <v>261</v>
      </c>
      <c r="U117" s="5">
        <v>11430</v>
      </c>
      <c r="V117">
        <v>46.2</v>
      </c>
      <c r="W117">
        <v>117</v>
      </c>
      <c r="X117">
        <v>0.68718592964824121</v>
      </c>
      <c r="Y117">
        <v>117</v>
      </c>
      <c r="Z117">
        <v>0.68718592964824121</v>
      </c>
    </row>
    <row r="118" spans="8:26" x14ac:dyDescent="0.2">
      <c r="H118" t="s">
        <v>257</v>
      </c>
      <c r="I118">
        <v>0.36990000000000001</v>
      </c>
      <c r="K118" t="s">
        <v>338</v>
      </c>
      <c r="L118">
        <v>0.48081000000000002</v>
      </c>
      <c r="N118" t="s">
        <v>157</v>
      </c>
      <c r="O118">
        <v>0.60782999999999998</v>
      </c>
      <c r="Q118" t="s">
        <v>161</v>
      </c>
      <c r="R118">
        <v>0.68335000000000001</v>
      </c>
      <c r="T118" t="s">
        <v>263</v>
      </c>
      <c r="U118" s="5">
        <v>14990</v>
      </c>
      <c r="V118">
        <v>0.1</v>
      </c>
      <c r="W118">
        <v>118</v>
      </c>
      <c r="X118">
        <v>0.69095477386934667</v>
      </c>
      <c r="Y118">
        <v>118</v>
      </c>
      <c r="Z118">
        <v>0.69095477386934667</v>
      </c>
    </row>
    <row r="119" spans="8:26" x14ac:dyDescent="0.2">
      <c r="H119" t="s">
        <v>200</v>
      </c>
      <c r="I119">
        <v>0.34250000000000003</v>
      </c>
      <c r="K119" t="s">
        <v>325</v>
      </c>
      <c r="L119">
        <v>0.47910000000000003</v>
      </c>
      <c r="N119" t="s">
        <v>266</v>
      </c>
      <c r="O119">
        <v>0.60372000000000003</v>
      </c>
      <c r="Q119" t="s">
        <v>263</v>
      </c>
      <c r="R119">
        <v>0.67674999999999996</v>
      </c>
      <c r="T119" t="s">
        <v>264</v>
      </c>
      <c r="U119" s="5">
        <v>2370</v>
      </c>
      <c r="V119">
        <v>13.5</v>
      </c>
      <c r="W119">
        <v>119</v>
      </c>
      <c r="X119">
        <v>0.69472361809045224</v>
      </c>
      <c r="Y119">
        <v>119</v>
      </c>
      <c r="Z119">
        <v>0.69472361809045224</v>
      </c>
    </row>
    <row r="120" spans="8:26" x14ac:dyDescent="0.2">
      <c r="H120" t="s">
        <v>223</v>
      </c>
      <c r="I120">
        <v>0.34250000000000003</v>
      </c>
      <c r="K120" t="s">
        <v>206</v>
      </c>
      <c r="L120">
        <v>0.47804000000000002</v>
      </c>
      <c r="N120" t="s">
        <v>80</v>
      </c>
      <c r="O120">
        <v>0.59514999999999996</v>
      </c>
      <c r="Q120" t="s">
        <v>238</v>
      </c>
      <c r="R120">
        <v>0.67674000000000001</v>
      </c>
      <c r="T120" t="s">
        <v>267</v>
      </c>
      <c r="U120" s="5">
        <v>4190</v>
      </c>
      <c r="V120">
        <v>30</v>
      </c>
      <c r="W120">
        <v>120</v>
      </c>
      <c r="X120">
        <v>0.69849246231155782</v>
      </c>
      <c r="Y120">
        <v>120</v>
      </c>
      <c r="Z120">
        <v>0.69849246231155782</v>
      </c>
    </row>
    <row r="121" spans="8:26" x14ac:dyDescent="0.2">
      <c r="H121" t="s">
        <v>255</v>
      </c>
      <c r="I121">
        <v>0.32879999999999998</v>
      </c>
      <c r="K121" t="s">
        <v>295</v>
      </c>
      <c r="L121">
        <v>0.47788999999999998</v>
      </c>
      <c r="N121" t="s">
        <v>260</v>
      </c>
      <c r="O121">
        <v>0.59326999999999996</v>
      </c>
      <c r="Q121" t="s">
        <v>279</v>
      </c>
      <c r="R121">
        <v>0.67566000000000004</v>
      </c>
      <c r="T121" t="s">
        <v>268</v>
      </c>
      <c r="U121" s="5">
        <v>4580</v>
      </c>
      <c r="V121">
        <v>16.899999999999999</v>
      </c>
      <c r="W121">
        <v>121</v>
      </c>
      <c r="X121">
        <v>0.70226130653266328</v>
      </c>
      <c r="Y121">
        <v>121</v>
      </c>
      <c r="Z121">
        <v>0.70226130653266328</v>
      </c>
    </row>
    <row r="122" spans="8:26" x14ac:dyDescent="0.2">
      <c r="H122" t="s">
        <v>149</v>
      </c>
      <c r="I122">
        <v>0.32879999999999998</v>
      </c>
      <c r="K122" t="s">
        <v>284</v>
      </c>
      <c r="L122">
        <v>0.47692000000000001</v>
      </c>
      <c r="N122" t="s">
        <v>271</v>
      </c>
      <c r="O122">
        <v>0.59284999999999999</v>
      </c>
      <c r="Q122" t="s">
        <v>240</v>
      </c>
      <c r="R122">
        <v>0.66925999999999997</v>
      </c>
      <c r="T122" t="s">
        <v>270</v>
      </c>
      <c r="U122" s="5">
        <v>14970</v>
      </c>
      <c r="V122">
        <v>2.2999999999999998</v>
      </c>
      <c r="W122">
        <v>122</v>
      </c>
      <c r="X122">
        <v>0.70603015075376885</v>
      </c>
      <c r="Y122">
        <v>122</v>
      </c>
      <c r="Z122">
        <v>0.70603015075376885</v>
      </c>
    </row>
    <row r="123" spans="8:26" x14ac:dyDescent="0.2">
      <c r="H123" t="s">
        <v>147</v>
      </c>
      <c r="I123">
        <v>0.32879999999999998</v>
      </c>
      <c r="K123" t="s">
        <v>214</v>
      </c>
      <c r="L123">
        <v>0.46379999999999999</v>
      </c>
      <c r="N123" t="s">
        <v>224</v>
      </c>
      <c r="O123">
        <v>0.58357000000000003</v>
      </c>
      <c r="Q123" t="s">
        <v>300</v>
      </c>
      <c r="R123">
        <v>0.66617999999999999</v>
      </c>
      <c r="T123" t="s">
        <v>272</v>
      </c>
      <c r="U123" s="5">
        <v>9110</v>
      </c>
      <c r="V123">
        <v>18.100000000000001</v>
      </c>
      <c r="W123">
        <v>123</v>
      </c>
      <c r="X123">
        <v>0.70979899497487442</v>
      </c>
      <c r="Y123">
        <v>123</v>
      </c>
      <c r="Z123">
        <v>0.70979899497487442</v>
      </c>
    </row>
    <row r="124" spans="8:26" x14ac:dyDescent="0.2">
      <c r="H124" t="s">
        <v>275</v>
      </c>
      <c r="I124">
        <v>0.32879999999999998</v>
      </c>
      <c r="K124" t="s">
        <v>341</v>
      </c>
      <c r="L124">
        <v>0.46246999999999999</v>
      </c>
      <c r="N124" t="s">
        <v>166</v>
      </c>
      <c r="O124">
        <v>0.58337000000000006</v>
      </c>
      <c r="Q124" t="s">
        <v>230</v>
      </c>
      <c r="R124">
        <v>0.65010000000000001</v>
      </c>
      <c r="T124" t="s">
        <v>274</v>
      </c>
      <c r="U124" s="5">
        <v>4170</v>
      </c>
      <c r="V124">
        <v>10</v>
      </c>
      <c r="W124">
        <v>124</v>
      </c>
      <c r="X124">
        <v>0.71356783919597988</v>
      </c>
      <c r="Y124">
        <v>124</v>
      </c>
      <c r="Z124">
        <v>0.71356783919597988</v>
      </c>
    </row>
    <row r="125" spans="8:26" x14ac:dyDescent="0.2">
      <c r="H125" t="s">
        <v>276</v>
      </c>
      <c r="I125">
        <v>0.32879999999999998</v>
      </c>
      <c r="K125" t="s">
        <v>308</v>
      </c>
      <c r="L125">
        <v>0.45873999999999998</v>
      </c>
      <c r="N125" t="s">
        <v>269</v>
      </c>
      <c r="O125">
        <v>0.57806999999999997</v>
      </c>
      <c r="Q125" t="s">
        <v>209</v>
      </c>
      <c r="R125">
        <v>0.64992000000000005</v>
      </c>
      <c r="T125" t="s">
        <v>240</v>
      </c>
      <c r="U125" s="5">
        <v>6090</v>
      </c>
      <c r="V125">
        <v>29.4</v>
      </c>
      <c r="W125">
        <v>125</v>
      </c>
      <c r="X125">
        <v>0.71733668341708545</v>
      </c>
      <c r="Y125">
        <v>125</v>
      </c>
      <c r="Z125">
        <v>0.71733668341708545</v>
      </c>
    </row>
    <row r="126" spans="8:26" x14ac:dyDescent="0.2">
      <c r="H126" t="s">
        <v>171</v>
      </c>
      <c r="I126">
        <v>0.32879999999999998</v>
      </c>
      <c r="K126" t="s">
        <v>224</v>
      </c>
      <c r="L126">
        <v>0.45573999999999998</v>
      </c>
      <c r="N126" t="s">
        <v>198</v>
      </c>
      <c r="O126">
        <v>0.57723000000000002</v>
      </c>
      <c r="Q126" t="s">
        <v>290</v>
      </c>
      <c r="R126">
        <v>0.64980000000000004</v>
      </c>
      <c r="T126" t="s">
        <v>80</v>
      </c>
      <c r="U126" s="8">
        <v>13910</v>
      </c>
      <c r="V126">
        <v>6.9</v>
      </c>
      <c r="W126">
        <v>126</v>
      </c>
      <c r="X126">
        <v>0.72110552763819102</v>
      </c>
      <c r="Y126">
        <v>126</v>
      </c>
      <c r="Z126">
        <v>0.72110552763819102</v>
      </c>
    </row>
    <row r="127" spans="8:26" x14ac:dyDescent="0.2">
      <c r="H127" t="s">
        <v>204</v>
      </c>
      <c r="I127">
        <v>0.32879999999999998</v>
      </c>
      <c r="K127" t="s">
        <v>268</v>
      </c>
      <c r="L127">
        <v>0.45034000000000002</v>
      </c>
      <c r="N127" t="s">
        <v>254</v>
      </c>
      <c r="O127">
        <v>0.57382</v>
      </c>
      <c r="Q127" t="s">
        <v>278</v>
      </c>
      <c r="R127">
        <v>0.64246000000000003</v>
      </c>
      <c r="T127" t="s">
        <v>278</v>
      </c>
      <c r="U127" s="8">
        <v>11800</v>
      </c>
      <c r="V127">
        <v>5.3</v>
      </c>
      <c r="W127">
        <v>127</v>
      </c>
      <c r="X127">
        <v>0.72487437185929648</v>
      </c>
      <c r="Y127">
        <v>127</v>
      </c>
      <c r="Z127">
        <v>0.72487437185929648</v>
      </c>
    </row>
    <row r="128" spans="8:26" x14ac:dyDescent="0.2">
      <c r="H128" t="s">
        <v>178</v>
      </c>
      <c r="I128">
        <v>0.31509999999999999</v>
      </c>
      <c r="K128" t="s">
        <v>289</v>
      </c>
      <c r="L128">
        <v>0.44927</v>
      </c>
      <c r="N128" t="s">
        <v>281</v>
      </c>
      <c r="O128">
        <v>0.57345999999999997</v>
      </c>
      <c r="Q128" t="s">
        <v>284</v>
      </c>
      <c r="R128">
        <v>0.61651999999999996</v>
      </c>
      <c r="T128" t="s">
        <v>279</v>
      </c>
      <c r="U128" s="5">
        <v>12740</v>
      </c>
      <c r="V128">
        <v>7.0000000000000007E-2</v>
      </c>
      <c r="W128">
        <v>128</v>
      </c>
      <c r="X128">
        <v>0.72864321608040195</v>
      </c>
      <c r="Y128">
        <v>128</v>
      </c>
      <c r="Z128">
        <v>0.72864321608040195</v>
      </c>
    </row>
    <row r="129" spans="8:26" x14ac:dyDescent="0.2">
      <c r="H129" t="s">
        <v>283</v>
      </c>
      <c r="I129">
        <v>0.31509999999999999</v>
      </c>
      <c r="K129" t="s">
        <v>278</v>
      </c>
      <c r="L129">
        <v>0.44894000000000001</v>
      </c>
      <c r="N129" t="s">
        <v>180</v>
      </c>
      <c r="O129">
        <v>0.57194</v>
      </c>
      <c r="Q129" t="s">
        <v>252</v>
      </c>
      <c r="R129">
        <v>0.61277999999999999</v>
      </c>
      <c r="T129" t="s">
        <v>282</v>
      </c>
      <c r="U129" s="5">
        <v>20540</v>
      </c>
      <c r="V129">
        <v>0.8</v>
      </c>
      <c r="W129">
        <v>129</v>
      </c>
      <c r="X129">
        <v>0.73241206030150752</v>
      </c>
      <c r="Y129">
        <v>129</v>
      </c>
      <c r="Z129">
        <v>0.73241206030150752</v>
      </c>
    </row>
    <row r="130" spans="8:26" x14ac:dyDescent="0.2">
      <c r="H130" t="s">
        <v>237</v>
      </c>
      <c r="I130">
        <v>0.31509999999999999</v>
      </c>
      <c r="K130" t="s">
        <v>267</v>
      </c>
      <c r="L130">
        <v>0.44806000000000001</v>
      </c>
      <c r="N130" t="s">
        <v>190</v>
      </c>
      <c r="O130">
        <v>0.56935000000000002</v>
      </c>
      <c r="Q130" t="s">
        <v>249</v>
      </c>
      <c r="R130">
        <v>0.59014999999999995</v>
      </c>
      <c r="T130" t="s">
        <v>284</v>
      </c>
      <c r="U130" s="5">
        <v>3310</v>
      </c>
      <c r="V130">
        <v>0.3</v>
      </c>
      <c r="W130">
        <v>130</v>
      </c>
      <c r="X130">
        <v>0.73618090452261309</v>
      </c>
      <c r="Y130">
        <v>130</v>
      </c>
      <c r="Z130">
        <v>0.73618090452261309</v>
      </c>
    </row>
    <row r="131" spans="8:26" x14ac:dyDescent="0.2">
      <c r="H131" t="s">
        <v>21</v>
      </c>
      <c r="I131">
        <v>0.3014</v>
      </c>
      <c r="K131" t="s">
        <v>274</v>
      </c>
      <c r="L131">
        <v>0.4476</v>
      </c>
      <c r="N131" t="s">
        <v>280</v>
      </c>
      <c r="O131">
        <v>0.56101999999999996</v>
      </c>
      <c r="Q131" t="s">
        <v>321</v>
      </c>
      <c r="R131">
        <v>0.58633999999999997</v>
      </c>
      <c r="T131" t="s">
        <v>285</v>
      </c>
      <c r="U131" s="5">
        <v>3630</v>
      </c>
      <c r="V131">
        <v>19.600000000000001</v>
      </c>
      <c r="W131">
        <v>131</v>
      </c>
      <c r="X131">
        <v>0.73994974874371866</v>
      </c>
      <c r="Y131">
        <v>131</v>
      </c>
      <c r="Z131">
        <v>0.73994974874371866</v>
      </c>
    </row>
    <row r="132" spans="8:26" x14ac:dyDescent="0.2">
      <c r="H132" t="s">
        <v>288</v>
      </c>
      <c r="I132">
        <v>0.3014</v>
      </c>
      <c r="K132" t="s">
        <v>339</v>
      </c>
      <c r="L132">
        <v>0.44721</v>
      </c>
      <c r="N132" t="s">
        <v>194</v>
      </c>
      <c r="O132">
        <v>0.55857000000000001</v>
      </c>
      <c r="Q132" t="s">
        <v>289</v>
      </c>
      <c r="R132">
        <v>0.58511999999999997</v>
      </c>
      <c r="T132" t="s">
        <v>287</v>
      </c>
      <c r="U132" s="8">
        <v>17440</v>
      </c>
      <c r="V132">
        <v>28.2</v>
      </c>
      <c r="W132">
        <v>132</v>
      </c>
      <c r="X132">
        <v>0.74371859296482412</v>
      </c>
      <c r="Y132">
        <v>132</v>
      </c>
      <c r="Z132">
        <v>0.74371859296482412</v>
      </c>
    </row>
    <row r="133" spans="8:26" x14ac:dyDescent="0.2">
      <c r="H133" t="s">
        <v>269</v>
      </c>
      <c r="I133">
        <v>0.3014</v>
      </c>
      <c r="K133" t="s">
        <v>239</v>
      </c>
      <c r="L133">
        <v>0.41658000000000001</v>
      </c>
      <c r="N133" t="s">
        <v>169</v>
      </c>
      <c r="O133">
        <v>0.55684</v>
      </c>
      <c r="Q133" t="s">
        <v>272</v>
      </c>
      <c r="R133">
        <v>0.58426999999999996</v>
      </c>
      <c r="T133" t="s">
        <v>289</v>
      </c>
      <c r="U133" s="5">
        <v>5790</v>
      </c>
      <c r="V133">
        <v>7</v>
      </c>
      <c r="W133">
        <v>133</v>
      </c>
      <c r="X133">
        <v>0.74748743718592969</v>
      </c>
      <c r="Y133">
        <v>133</v>
      </c>
      <c r="Z133">
        <v>0.74748743718592969</v>
      </c>
    </row>
    <row r="134" spans="8:26" x14ac:dyDescent="0.2">
      <c r="H134" t="s">
        <v>167</v>
      </c>
      <c r="I134">
        <v>0.3014</v>
      </c>
      <c r="K134" t="s">
        <v>317</v>
      </c>
      <c r="L134">
        <v>0.41003000000000001</v>
      </c>
      <c r="N134" t="s">
        <v>205</v>
      </c>
      <c r="O134">
        <v>0.54781000000000002</v>
      </c>
      <c r="Q134" t="s">
        <v>344</v>
      </c>
      <c r="R134">
        <v>0.58238999999999996</v>
      </c>
      <c r="T134" t="s">
        <v>290</v>
      </c>
      <c r="U134" s="5">
        <v>13740</v>
      </c>
      <c r="V134">
        <v>0.2</v>
      </c>
      <c r="W134">
        <v>134</v>
      </c>
      <c r="X134">
        <v>0.75125628140703515</v>
      </c>
      <c r="Y134">
        <v>134</v>
      </c>
      <c r="Z134">
        <v>0.75125628140703515</v>
      </c>
    </row>
    <row r="135" spans="8:26" x14ac:dyDescent="0.2">
      <c r="H135" t="s">
        <v>277</v>
      </c>
      <c r="I135">
        <v>0.3014</v>
      </c>
      <c r="K135" t="s">
        <v>306</v>
      </c>
      <c r="L135">
        <v>0.40544999999999998</v>
      </c>
      <c r="N135" t="s">
        <v>113</v>
      </c>
      <c r="O135">
        <v>0.54668000000000005</v>
      </c>
      <c r="Q135" t="s">
        <v>274</v>
      </c>
      <c r="R135">
        <v>0.58098000000000005</v>
      </c>
      <c r="T135" t="s">
        <v>293</v>
      </c>
      <c r="U135" s="5">
        <v>6070</v>
      </c>
      <c r="V135">
        <v>0.1</v>
      </c>
      <c r="W135">
        <v>135</v>
      </c>
      <c r="X135">
        <v>0.75502512562814073</v>
      </c>
      <c r="Y135">
        <v>135</v>
      </c>
      <c r="Z135">
        <v>0.75502512562814073</v>
      </c>
    </row>
    <row r="136" spans="8:26" x14ac:dyDescent="0.2">
      <c r="H136" t="s">
        <v>250</v>
      </c>
      <c r="I136">
        <v>0.3014</v>
      </c>
      <c r="K136" t="s">
        <v>349</v>
      </c>
      <c r="L136">
        <v>0.40447</v>
      </c>
      <c r="N136" t="s">
        <v>296</v>
      </c>
      <c r="O136">
        <v>0.54634000000000005</v>
      </c>
      <c r="Q136" t="s">
        <v>222</v>
      </c>
      <c r="R136">
        <v>0.57003999999999999</v>
      </c>
      <c r="T136" t="s">
        <v>295</v>
      </c>
      <c r="U136" s="5">
        <v>4090</v>
      </c>
      <c r="V136">
        <v>17.899999999999999</v>
      </c>
      <c r="W136">
        <v>136</v>
      </c>
      <c r="X136">
        <v>0.7587939698492463</v>
      </c>
      <c r="Y136">
        <v>136</v>
      </c>
      <c r="Z136">
        <v>0.7587939698492463</v>
      </c>
    </row>
    <row r="137" spans="8:26" x14ac:dyDescent="0.2">
      <c r="H137" t="s">
        <v>155</v>
      </c>
      <c r="I137">
        <v>0.3014</v>
      </c>
      <c r="K137" t="s">
        <v>329</v>
      </c>
      <c r="L137">
        <v>0.39884999999999998</v>
      </c>
      <c r="N137" t="s">
        <v>219</v>
      </c>
      <c r="O137">
        <v>0.54329000000000005</v>
      </c>
      <c r="Q137" t="s">
        <v>287</v>
      </c>
      <c r="R137">
        <v>0.53905000000000003</v>
      </c>
      <c r="T137" t="s">
        <v>297</v>
      </c>
      <c r="U137" s="5">
        <v>5860</v>
      </c>
      <c r="V137">
        <v>235.8</v>
      </c>
      <c r="W137">
        <v>137</v>
      </c>
      <c r="X137">
        <v>0.76256281407035176</v>
      </c>
      <c r="Y137">
        <v>137</v>
      </c>
      <c r="Z137">
        <v>0.76256281407035176</v>
      </c>
    </row>
    <row r="138" spans="8:26" x14ac:dyDescent="0.2">
      <c r="H138" t="s">
        <v>299</v>
      </c>
      <c r="I138">
        <v>0.28770000000000001</v>
      </c>
      <c r="K138" t="s">
        <v>256</v>
      </c>
      <c r="L138">
        <v>0.39851999999999999</v>
      </c>
      <c r="N138" t="s">
        <v>291</v>
      </c>
      <c r="O138">
        <v>0.53949999999999998</v>
      </c>
      <c r="Q138" t="s">
        <v>299</v>
      </c>
      <c r="R138">
        <v>0.53381999999999996</v>
      </c>
      <c r="T138" t="s">
        <v>298</v>
      </c>
      <c r="U138" s="5">
        <v>14370</v>
      </c>
      <c r="V138">
        <v>0.02</v>
      </c>
      <c r="W138">
        <v>138</v>
      </c>
      <c r="X138">
        <v>0.76633165829145722</v>
      </c>
      <c r="Y138">
        <v>138</v>
      </c>
      <c r="Z138">
        <v>0.76633165829145722</v>
      </c>
    </row>
    <row r="139" spans="8:26" x14ac:dyDescent="0.2">
      <c r="H139" t="s">
        <v>301</v>
      </c>
      <c r="I139">
        <v>0.28770000000000001</v>
      </c>
      <c r="K139" t="s">
        <v>332</v>
      </c>
      <c r="L139">
        <v>0.39623999999999998</v>
      </c>
      <c r="N139" t="s">
        <v>244</v>
      </c>
      <c r="O139">
        <v>0.53478999999999999</v>
      </c>
      <c r="Q139" t="s">
        <v>303</v>
      </c>
      <c r="R139">
        <v>0.53183000000000002</v>
      </c>
      <c r="T139" t="s">
        <v>300</v>
      </c>
      <c r="U139" s="5">
        <v>5140</v>
      </c>
      <c r="V139">
        <v>54.2</v>
      </c>
      <c r="W139">
        <v>139</v>
      </c>
      <c r="X139">
        <v>0.77010050251256279</v>
      </c>
      <c r="Y139">
        <v>139</v>
      </c>
      <c r="Z139">
        <v>0.77010050251256279</v>
      </c>
    </row>
    <row r="140" spans="8:26" x14ac:dyDescent="0.2">
      <c r="H140" t="s">
        <v>169</v>
      </c>
      <c r="I140">
        <v>0.28770000000000001</v>
      </c>
      <c r="K140" t="s">
        <v>361</v>
      </c>
      <c r="L140">
        <v>0.39590999999999998</v>
      </c>
      <c r="N140" t="s">
        <v>226</v>
      </c>
      <c r="O140">
        <v>0.53473999999999999</v>
      </c>
      <c r="Q140" t="s">
        <v>306</v>
      </c>
      <c r="R140">
        <v>0.52917000000000003</v>
      </c>
      <c r="T140" t="s">
        <v>303</v>
      </c>
      <c r="U140" s="8">
        <v>8920</v>
      </c>
      <c r="V140">
        <v>11.1</v>
      </c>
      <c r="W140">
        <v>140</v>
      </c>
      <c r="X140">
        <v>0.77386934673366836</v>
      </c>
      <c r="Y140">
        <v>140</v>
      </c>
      <c r="Z140">
        <v>0.77386934673366836</v>
      </c>
    </row>
    <row r="141" spans="8:26" x14ac:dyDescent="0.2">
      <c r="H141" t="s">
        <v>265</v>
      </c>
      <c r="I141">
        <v>0.28770000000000001</v>
      </c>
      <c r="K141" t="s">
        <v>263</v>
      </c>
      <c r="L141">
        <v>0.39062999999999998</v>
      </c>
      <c r="N141" t="s">
        <v>140</v>
      </c>
      <c r="O141">
        <v>0.52710999999999997</v>
      </c>
      <c r="Q141" t="s">
        <v>312</v>
      </c>
      <c r="R141">
        <v>0.51512000000000002</v>
      </c>
      <c r="T141" t="s">
        <v>305</v>
      </c>
      <c r="U141" s="5">
        <v>6310</v>
      </c>
      <c r="V141">
        <v>0.2</v>
      </c>
      <c r="W141">
        <v>141</v>
      </c>
      <c r="X141">
        <v>0.77763819095477393</v>
      </c>
      <c r="Y141">
        <v>141</v>
      </c>
      <c r="Z141">
        <v>0.77763819095477393</v>
      </c>
    </row>
    <row r="142" spans="8:26" x14ac:dyDescent="0.2">
      <c r="H142" t="s">
        <v>307</v>
      </c>
      <c r="I142">
        <v>0.27400000000000002</v>
      </c>
      <c r="K142" t="s">
        <v>315</v>
      </c>
      <c r="L142">
        <v>0.39034999999999997</v>
      </c>
      <c r="N142" t="s">
        <v>294</v>
      </c>
      <c r="O142">
        <v>0.52698</v>
      </c>
      <c r="Q142" t="s">
        <v>285</v>
      </c>
      <c r="R142">
        <v>0.50880000000000003</v>
      </c>
      <c r="T142" t="s">
        <v>306</v>
      </c>
      <c r="U142" s="5">
        <v>9420</v>
      </c>
      <c r="V142">
        <v>0.4</v>
      </c>
      <c r="W142">
        <v>142</v>
      </c>
      <c r="X142">
        <v>0.78140703517587939</v>
      </c>
      <c r="Y142">
        <v>142</v>
      </c>
      <c r="Z142">
        <v>0.78140703517587939</v>
      </c>
    </row>
    <row r="143" spans="8:26" x14ac:dyDescent="0.2">
      <c r="H143" t="s">
        <v>254</v>
      </c>
      <c r="I143">
        <v>0.27400000000000002</v>
      </c>
      <c r="K143" t="s">
        <v>354</v>
      </c>
      <c r="L143">
        <v>0.38228000000000001</v>
      </c>
      <c r="N143" t="s">
        <v>232</v>
      </c>
      <c r="O143">
        <v>0.52100000000000002</v>
      </c>
      <c r="Q143" t="s">
        <v>298</v>
      </c>
      <c r="R143">
        <v>0.49096000000000001</v>
      </c>
      <c r="T143" t="s">
        <v>308</v>
      </c>
      <c r="U143" s="5">
        <v>6500</v>
      </c>
      <c r="V143">
        <v>10.3</v>
      </c>
      <c r="W143">
        <v>143</v>
      </c>
      <c r="X143">
        <v>0.78517587939698497</v>
      </c>
      <c r="Y143">
        <v>143</v>
      </c>
      <c r="Z143">
        <v>0.78517587939698497</v>
      </c>
    </row>
    <row r="144" spans="8:26" x14ac:dyDescent="0.2">
      <c r="H144" t="s">
        <v>180</v>
      </c>
      <c r="I144">
        <v>0.27400000000000002</v>
      </c>
      <c r="K144" t="s">
        <v>279</v>
      </c>
      <c r="L144">
        <v>0.37983</v>
      </c>
      <c r="N144" t="s">
        <v>242</v>
      </c>
      <c r="O144">
        <v>0.51924999999999999</v>
      </c>
      <c r="Q144" t="s">
        <v>352</v>
      </c>
      <c r="R144">
        <v>0.49023</v>
      </c>
      <c r="T144" t="s">
        <v>309</v>
      </c>
      <c r="U144" s="5">
        <v>6310</v>
      </c>
      <c r="V144">
        <v>0.06</v>
      </c>
      <c r="W144">
        <v>144</v>
      </c>
      <c r="X144">
        <v>0.78894472361809043</v>
      </c>
      <c r="Y144">
        <v>144</v>
      </c>
      <c r="Z144">
        <v>0.78894472361809043</v>
      </c>
    </row>
    <row r="145" spans="8:26" x14ac:dyDescent="0.2">
      <c r="H145" t="s">
        <v>243</v>
      </c>
      <c r="I145">
        <v>0.27400000000000002</v>
      </c>
      <c r="K145" t="s">
        <v>143</v>
      </c>
      <c r="L145">
        <v>0.37729000000000001</v>
      </c>
      <c r="N145" t="s">
        <v>277</v>
      </c>
      <c r="O145">
        <v>0.51817999999999997</v>
      </c>
      <c r="Q145" t="s">
        <v>327</v>
      </c>
      <c r="R145">
        <v>0.48393999999999998</v>
      </c>
      <c r="T145" t="s">
        <v>311</v>
      </c>
      <c r="U145" s="5">
        <v>5000</v>
      </c>
      <c r="V145">
        <v>218.5</v>
      </c>
      <c r="W145">
        <v>145</v>
      </c>
      <c r="X145">
        <v>0.792713567839196</v>
      </c>
      <c r="Y145">
        <v>145</v>
      </c>
      <c r="Z145">
        <v>0.792713567839196</v>
      </c>
    </row>
    <row r="146" spans="8:26" x14ac:dyDescent="0.2">
      <c r="H146" t="s">
        <v>291</v>
      </c>
      <c r="I146">
        <v>0.27400000000000002</v>
      </c>
      <c r="K146" t="s">
        <v>305</v>
      </c>
      <c r="L146">
        <v>0.36377999999999999</v>
      </c>
      <c r="N146" t="s">
        <v>237</v>
      </c>
      <c r="O146">
        <v>0.51488999999999996</v>
      </c>
      <c r="Q146" t="s">
        <v>311</v>
      </c>
      <c r="R146">
        <v>0.48354999999999998</v>
      </c>
      <c r="T146" t="s">
        <v>312</v>
      </c>
      <c r="U146" s="5">
        <v>16050</v>
      </c>
      <c r="V146">
        <v>6.3</v>
      </c>
      <c r="W146">
        <v>146</v>
      </c>
      <c r="X146">
        <v>0.79648241206030157</v>
      </c>
      <c r="Y146">
        <v>146</v>
      </c>
      <c r="Z146">
        <v>0.79648241206030157</v>
      </c>
    </row>
    <row r="147" spans="8:26" x14ac:dyDescent="0.2">
      <c r="H147" t="s">
        <v>314</v>
      </c>
      <c r="I147">
        <v>0.24660000000000001</v>
      </c>
      <c r="K147" t="s">
        <v>309</v>
      </c>
      <c r="L147">
        <v>0.35858000000000001</v>
      </c>
      <c r="N147" t="s">
        <v>276</v>
      </c>
      <c r="O147">
        <v>0.51036000000000004</v>
      </c>
      <c r="Q147" t="s">
        <v>313</v>
      </c>
      <c r="R147">
        <v>0.48171000000000003</v>
      </c>
      <c r="T147" t="s">
        <v>313</v>
      </c>
      <c r="U147" s="5">
        <v>3740</v>
      </c>
      <c r="V147">
        <v>13.7</v>
      </c>
      <c r="W147">
        <v>147</v>
      </c>
      <c r="X147">
        <v>0.80025125628140703</v>
      </c>
      <c r="Y147">
        <v>147</v>
      </c>
      <c r="Z147">
        <v>0.80025125628140703</v>
      </c>
    </row>
    <row r="148" spans="8:26" x14ac:dyDescent="0.2">
      <c r="H148" t="s">
        <v>163</v>
      </c>
      <c r="I148">
        <v>0.24660000000000001</v>
      </c>
      <c r="K148" t="s">
        <v>287</v>
      </c>
      <c r="L148">
        <v>0.35755999999999999</v>
      </c>
      <c r="N148" t="s">
        <v>273</v>
      </c>
      <c r="O148">
        <v>0.50812000000000002</v>
      </c>
      <c r="Q148" t="s">
        <v>308</v>
      </c>
      <c r="R148">
        <v>0.47992000000000001</v>
      </c>
      <c r="T148" t="s">
        <v>315</v>
      </c>
      <c r="U148" s="5">
        <v>2530</v>
      </c>
      <c r="V148">
        <v>0.1</v>
      </c>
      <c r="W148">
        <v>148</v>
      </c>
      <c r="X148">
        <v>0.80402010050251249</v>
      </c>
      <c r="Y148">
        <v>148</v>
      </c>
      <c r="Z148">
        <v>0.80402010050251249</v>
      </c>
    </row>
    <row r="149" spans="8:26" x14ac:dyDescent="0.2">
      <c r="H149" t="s">
        <v>286</v>
      </c>
      <c r="I149">
        <v>0.2329</v>
      </c>
      <c r="K149" t="s">
        <v>233</v>
      </c>
      <c r="L149">
        <v>0.35754000000000002</v>
      </c>
      <c r="N149" t="s">
        <v>286</v>
      </c>
      <c r="O149">
        <v>0.50612000000000001</v>
      </c>
      <c r="Q149" t="s">
        <v>293</v>
      </c>
      <c r="R149">
        <v>0.47841</v>
      </c>
      <c r="T149" t="s">
        <v>316</v>
      </c>
      <c r="U149" s="5">
        <v>14160</v>
      </c>
      <c r="V149">
        <v>44.5</v>
      </c>
      <c r="W149">
        <v>149</v>
      </c>
      <c r="X149">
        <v>0.80778894472361806</v>
      </c>
      <c r="Y149">
        <v>149</v>
      </c>
      <c r="Z149">
        <v>0.80778894472361806</v>
      </c>
    </row>
    <row r="150" spans="8:26" x14ac:dyDescent="0.2">
      <c r="H150" t="s">
        <v>318</v>
      </c>
      <c r="I150">
        <v>0.2329</v>
      </c>
      <c r="K150" t="s">
        <v>282</v>
      </c>
      <c r="L150">
        <v>0.34549000000000002</v>
      </c>
      <c r="N150" t="s">
        <v>212</v>
      </c>
      <c r="O150">
        <v>0.50229000000000001</v>
      </c>
      <c r="Q150" t="s">
        <v>297</v>
      </c>
      <c r="R150">
        <v>0.47453000000000001</v>
      </c>
      <c r="T150" t="s">
        <v>317</v>
      </c>
      <c r="U150" s="5">
        <v>2150</v>
      </c>
      <c r="V150">
        <v>16</v>
      </c>
      <c r="W150">
        <v>150</v>
      </c>
      <c r="X150">
        <v>0.81155778894472363</v>
      </c>
      <c r="Y150">
        <v>150</v>
      </c>
      <c r="Z150">
        <v>0.81155778894472363</v>
      </c>
    </row>
    <row r="151" spans="8:26" x14ac:dyDescent="0.2">
      <c r="H151" t="s">
        <v>280</v>
      </c>
      <c r="I151">
        <v>0.2329</v>
      </c>
      <c r="K151" t="s">
        <v>350</v>
      </c>
      <c r="L151">
        <v>0.34194999999999998</v>
      </c>
      <c r="N151" t="s">
        <v>262</v>
      </c>
      <c r="O151">
        <v>0.49671999999999999</v>
      </c>
      <c r="Q151" t="s">
        <v>334</v>
      </c>
      <c r="R151">
        <v>0.47197</v>
      </c>
      <c r="T151" t="s">
        <v>319</v>
      </c>
      <c r="U151" s="5">
        <v>2370</v>
      </c>
      <c r="V151">
        <v>45.9</v>
      </c>
      <c r="W151">
        <v>151</v>
      </c>
      <c r="X151">
        <v>0.81532663316582921</v>
      </c>
      <c r="Y151">
        <v>151</v>
      </c>
      <c r="Z151">
        <v>0.81532663316582921</v>
      </c>
    </row>
    <row r="152" spans="8:26" x14ac:dyDescent="0.2">
      <c r="H152" t="s">
        <v>294</v>
      </c>
      <c r="I152">
        <v>0.2329</v>
      </c>
      <c r="K152" t="s">
        <v>276</v>
      </c>
      <c r="L152">
        <v>0.34055999999999997</v>
      </c>
      <c r="N152" t="s">
        <v>322</v>
      </c>
      <c r="O152">
        <v>0.49243999999999999</v>
      </c>
      <c r="Q152" t="s">
        <v>333</v>
      </c>
      <c r="R152">
        <v>0.46427000000000002</v>
      </c>
      <c r="T152" t="s">
        <v>321</v>
      </c>
      <c r="U152" s="8" t="s">
        <v>118</v>
      </c>
      <c r="V152">
        <v>0.01</v>
      </c>
      <c r="W152">
        <v>152</v>
      </c>
      <c r="X152">
        <v>0.81909547738693467</v>
      </c>
      <c r="Y152">
        <v>152</v>
      </c>
      <c r="Z152">
        <v>0.81909547738693467</v>
      </c>
    </row>
    <row r="153" spans="8:26" x14ac:dyDescent="0.2">
      <c r="H153" t="s">
        <v>302</v>
      </c>
      <c r="I153">
        <v>0.21920000000000001</v>
      </c>
      <c r="K153" t="s">
        <v>353</v>
      </c>
      <c r="L153">
        <v>0.3392</v>
      </c>
      <c r="N153" t="s">
        <v>323</v>
      </c>
      <c r="O153">
        <v>0.48616999999999999</v>
      </c>
      <c r="Q153" t="s">
        <v>305</v>
      </c>
      <c r="R153">
        <v>0.46065</v>
      </c>
      <c r="T153" t="s">
        <v>299</v>
      </c>
      <c r="U153" s="5">
        <v>12122</v>
      </c>
      <c r="V153">
        <v>7.5</v>
      </c>
      <c r="W153">
        <v>153</v>
      </c>
      <c r="X153">
        <v>0.82286432160804024</v>
      </c>
      <c r="Y153">
        <v>153</v>
      </c>
      <c r="Z153">
        <v>0.82286432160804024</v>
      </c>
    </row>
    <row r="154" spans="8:26" x14ac:dyDescent="0.2">
      <c r="H154" t="s">
        <v>232</v>
      </c>
      <c r="I154">
        <v>0.21920000000000001</v>
      </c>
      <c r="K154" t="s">
        <v>357</v>
      </c>
      <c r="L154">
        <v>0.33764</v>
      </c>
      <c r="N154" t="s">
        <v>240</v>
      </c>
      <c r="O154">
        <v>0.48483999999999999</v>
      </c>
      <c r="Q154" t="s">
        <v>355</v>
      </c>
      <c r="R154">
        <v>0.44323000000000001</v>
      </c>
      <c r="T154" t="s">
        <v>325</v>
      </c>
      <c r="U154" s="5">
        <v>3000</v>
      </c>
      <c r="V154">
        <v>63.6</v>
      </c>
      <c r="W154">
        <v>154</v>
      </c>
      <c r="X154">
        <v>0.8266331658291457</v>
      </c>
      <c r="Y154">
        <v>154</v>
      </c>
      <c r="Z154">
        <v>0.8266331658291457</v>
      </c>
    </row>
    <row r="155" spans="8:26" x14ac:dyDescent="0.2">
      <c r="H155" t="s">
        <v>326</v>
      </c>
      <c r="I155">
        <v>0.21920000000000001</v>
      </c>
      <c r="K155" t="s">
        <v>355</v>
      </c>
      <c r="L155">
        <v>0.33339999999999997</v>
      </c>
      <c r="N155" t="s">
        <v>196</v>
      </c>
      <c r="O155">
        <v>0.4834</v>
      </c>
      <c r="Q155" t="s">
        <v>328</v>
      </c>
      <c r="R155">
        <v>0.44256000000000001</v>
      </c>
      <c r="T155" t="s">
        <v>327</v>
      </c>
      <c r="U155" s="5">
        <v>4170</v>
      </c>
      <c r="V155">
        <v>0.2</v>
      </c>
      <c r="W155">
        <v>155</v>
      </c>
      <c r="X155">
        <v>0.83040201005025127</v>
      </c>
      <c r="Y155">
        <v>155</v>
      </c>
      <c r="Z155">
        <v>0.83040201005025127</v>
      </c>
    </row>
    <row r="156" spans="8:26" x14ac:dyDescent="0.2">
      <c r="H156" t="s">
        <v>330</v>
      </c>
      <c r="I156">
        <v>0.21920000000000001</v>
      </c>
      <c r="K156" t="s">
        <v>261</v>
      </c>
      <c r="L156">
        <v>0.33200000000000002</v>
      </c>
      <c r="N156" t="s">
        <v>231</v>
      </c>
      <c r="O156">
        <v>0.48133999999999999</v>
      </c>
      <c r="Q156" t="s">
        <v>363</v>
      </c>
      <c r="R156">
        <v>0.43922</v>
      </c>
      <c r="T156" t="s">
        <v>329</v>
      </c>
      <c r="U156" s="5">
        <v>4090</v>
      </c>
      <c r="V156">
        <v>27.2</v>
      </c>
      <c r="W156">
        <v>156</v>
      </c>
      <c r="X156">
        <v>0.83417085427135684</v>
      </c>
      <c r="Y156">
        <v>156</v>
      </c>
      <c r="Z156">
        <v>0.83417085427135684</v>
      </c>
    </row>
    <row r="157" spans="8:26" x14ac:dyDescent="0.2">
      <c r="H157" t="s">
        <v>310</v>
      </c>
      <c r="I157">
        <v>0.21920000000000001</v>
      </c>
      <c r="K157" t="s">
        <v>299</v>
      </c>
      <c r="L157">
        <v>0.32647999999999999</v>
      </c>
      <c r="N157" t="s">
        <v>302</v>
      </c>
      <c r="O157">
        <v>0.47602</v>
      </c>
      <c r="Q157" t="s">
        <v>338</v>
      </c>
      <c r="R157">
        <v>0.43230000000000002</v>
      </c>
      <c r="T157" t="s">
        <v>332</v>
      </c>
      <c r="U157" s="5">
        <v>6090</v>
      </c>
      <c r="V157">
        <v>35.6</v>
      </c>
      <c r="W157">
        <v>157</v>
      </c>
      <c r="X157">
        <v>0.8379396984924623</v>
      </c>
      <c r="Y157">
        <v>157</v>
      </c>
      <c r="Z157">
        <v>0.8379396984924623</v>
      </c>
    </row>
    <row r="158" spans="8:26" x14ac:dyDescent="0.2">
      <c r="H158" t="s">
        <v>260</v>
      </c>
      <c r="I158">
        <v>0.21920000000000001</v>
      </c>
      <c r="K158" t="s">
        <v>300</v>
      </c>
      <c r="L158">
        <v>0.32594000000000001</v>
      </c>
      <c r="N158" t="s">
        <v>229</v>
      </c>
      <c r="O158">
        <v>0.47493000000000002</v>
      </c>
      <c r="Q158" t="s">
        <v>317</v>
      </c>
      <c r="R158">
        <v>0.39471000000000001</v>
      </c>
      <c r="T158" t="s">
        <v>333</v>
      </c>
      <c r="U158" s="5">
        <v>2740</v>
      </c>
      <c r="V158">
        <v>2.2000000000000002</v>
      </c>
      <c r="W158">
        <v>158</v>
      </c>
      <c r="X158">
        <v>0.84170854271356776</v>
      </c>
      <c r="Y158">
        <v>158</v>
      </c>
      <c r="Z158">
        <v>0.84170854271356776</v>
      </c>
    </row>
    <row r="159" spans="8:26" x14ac:dyDescent="0.2">
      <c r="H159" t="s">
        <v>210</v>
      </c>
      <c r="I159">
        <v>0.21920000000000001</v>
      </c>
      <c r="K159" t="s">
        <v>290</v>
      </c>
      <c r="L159">
        <v>0.32291999999999998</v>
      </c>
      <c r="N159" t="s">
        <v>335</v>
      </c>
      <c r="O159">
        <v>0.46375</v>
      </c>
      <c r="Q159" t="s">
        <v>367</v>
      </c>
      <c r="R159">
        <v>0.38766</v>
      </c>
      <c r="T159" t="s">
        <v>334</v>
      </c>
      <c r="U159" s="8">
        <v>7790</v>
      </c>
      <c r="V159">
        <v>0.01</v>
      </c>
      <c r="W159">
        <v>159</v>
      </c>
      <c r="X159">
        <v>0.84547738693467334</v>
      </c>
      <c r="Y159">
        <v>159</v>
      </c>
      <c r="Z159">
        <v>0.84547738693467334</v>
      </c>
    </row>
    <row r="160" spans="8:26" x14ac:dyDescent="0.2">
      <c r="H160" t="s">
        <v>323</v>
      </c>
      <c r="I160">
        <v>0.20549999999999999</v>
      </c>
      <c r="K160" t="s">
        <v>293</v>
      </c>
      <c r="L160">
        <v>0.32203999999999999</v>
      </c>
      <c r="N160" t="s">
        <v>299</v>
      </c>
      <c r="O160">
        <v>0.46084000000000003</v>
      </c>
      <c r="Q160" t="s">
        <v>356</v>
      </c>
      <c r="R160">
        <v>0.38401999999999997</v>
      </c>
      <c r="T160" t="s">
        <v>276</v>
      </c>
      <c r="U160" s="5">
        <v>4170</v>
      </c>
      <c r="V160">
        <v>1.3</v>
      </c>
      <c r="W160">
        <v>160</v>
      </c>
      <c r="X160">
        <v>0.84924623115577891</v>
      </c>
      <c r="Y160">
        <v>160</v>
      </c>
      <c r="Z160">
        <v>0.84924623115577891</v>
      </c>
    </row>
    <row r="161" spans="8:26" x14ac:dyDescent="0.2">
      <c r="H161" t="s">
        <v>304</v>
      </c>
      <c r="I161">
        <v>0.20549999999999999</v>
      </c>
      <c r="K161" t="s">
        <v>270</v>
      </c>
      <c r="L161">
        <v>0.31874999999999998</v>
      </c>
      <c r="N161" t="s">
        <v>314</v>
      </c>
      <c r="O161">
        <v>0.44867000000000001</v>
      </c>
      <c r="Q161" t="s">
        <v>325</v>
      </c>
      <c r="R161">
        <v>0.37920999999999999</v>
      </c>
      <c r="T161" t="s">
        <v>338</v>
      </c>
      <c r="U161" s="5">
        <v>3000</v>
      </c>
      <c r="V161">
        <v>13.5</v>
      </c>
      <c r="W161">
        <v>161</v>
      </c>
      <c r="X161">
        <v>0.85301507537688448</v>
      </c>
      <c r="Y161">
        <v>161</v>
      </c>
      <c r="Z161">
        <v>0.85301507537688448</v>
      </c>
    </row>
    <row r="162" spans="8:26" x14ac:dyDescent="0.2">
      <c r="H162" t="s">
        <v>340</v>
      </c>
      <c r="I162">
        <v>0.20549999999999999</v>
      </c>
      <c r="K162" t="s">
        <v>371</v>
      </c>
      <c r="L162">
        <v>0.31459999999999999</v>
      </c>
      <c r="N162" t="s">
        <v>265</v>
      </c>
      <c r="O162">
        <v>0.43986999999999998</v>
      </c>
      <c r="Q162" t="s">
        <v>332</v>
      </c>
      <c r="R162">
        <v>0.37237999999999999</v>
      </c>
      <c r="T162" t="s">
        <v>339</v>
      </c>
      <c r="U162" s="5">
        <v>2800</v>
      </c>
      <c r="V162">
        <v>8.5</v>
      </c>
      <c r="W162">
        <v>162</v>
      </c>
      <c r="X162">
        <v>0.85678391959798994</v>
      </c>
      <c r="Y162">
        <v>162</v>
      </c>
      <c r="Z162">
        <v>0.85678391959798994</v>
      </c>
    </row>
    <row r="163" spans="8:26" x14ac:dyDescent="0.2">
      <c r="H163" t="s">
        <v>174</v>
      </c>
      <c r="I163">
        <v>0.20549999999999999</v>
      </c>
      <c r="K163" t="s">
        <v>374</v>
      </c>
      <c r="L163">
        <v>0.30839</v>
      </c>
      <c r="N163" t="s">
        <v>257</v>
      </c>
      <c r="O163">
        <v>0.42624000000000001</v>
      </c>
      <c r="Q163" t="s">
        <v>264</v>
      </c>
      <c r="R163">
        <v>0.37235000000000001</v>
      </c>
      <c r="T163" t="s">
        <v>328</v>
      </c>
      <c r="U163" s="8">
        <v>4610</v>
      </c>
      <c r="V163">
        <v>22.1</v>
      </c>
      <c r="W163">
        <v>163</v>
      </c>
      <c r="X163">
        <v>0.86055276381909551</v>
      </c>
      <c r="Y163">
        <v>163</v>
      </c>
      <c r="Z163">
        <v>0.86055276381909551</v>
      </c>
    </row>
    <row r="164" spans="8:26" x14ac:dyDescent="0.2">
      <c r="H164" t="s">
        <v>324</v>
      </c>
      <c r="I164">
        <v>0.1918</v>
      </c>
      <c r="K164" t="s">
        <v>328</v>
      </c>
      <c r="L164">
        <v>0.30678</v>
      </c>
      <c r="N164" t="s">
        <v>235</v>
      </c>
      <c r="O164">
        <v>0.42357</v>
      </c>
      <c r="Q164" t="s">
        <v>329</v>
      </c>
      <c r="R164">
        <v>0.37003999999999998</v>
      </c>
      <c r="T164" t="s">
        <v>341</v>
      </c>
      <c r="U164" s="5">
        <v>1500</v>
      </c>
      <c r="V164">
        <v>20</v>
      </c>
      <c r="W164">
        <v>164</v>
      </c>
      <c r="X164">
        <v>0.86432160804020097</v>
      </c>
      <c r="Y164">
        <v>164</v>
      </c>
      <c r="Z164">
        <v>0.86432160804020097</v>
      </c>
    </row>
    <row r="165" spans="8:26" x14ac:dyDescent="0.2">
      <c r="H165" t="s">
        <v>336</v>
      </c>
      <c r="I165">
        <v>0.17810000000000001</v>
      </c>
      <c r="K165" t="s">
        <v>251</v>
      </c>
      <c r="L165">
        <v>0.30385000000000001</v>
      </c>
      <c r="N165" t="s">
        <v>342</v>
      </c>
      <c r="O165">
        <v>0.41688999999999998</v>
      </c>
      <c r="Q165" t="s">
        <v>357</v>
      </c>
      <c r="R165">
        <v>0.36402000000000001</v>
      </c>
      <c r="T165" t="s">
        <v>343</v>
      </c>
      <c r="U165" s="5">
        <v>2700</v>
      </c>
      <c r="V165">
        <v>0.7</v>
      </c>
      <c r="W165">
        <v>165</v>
      </c>
      <c r="X165">
        <v>0.86809045226130654</v>
      </c>
      <c r="Y165">
        <v>165</v>
      </c>
      <c r="Z165">
        <v>0.86809045226130654</v>
      </c>
    </row>
    <row r="166" spans="8:26" x14ac:dyDescent="0.2">
      <c r="H166" t="s">
        <v>227</v>
      </c>
      <c r="I166">
        <v>0.17810000000000001</v>
      </c>
      <c r="K166" t="s">
        <v>377</v>
      </c>
      <c r="L166">
        <v>0.29709999999999998</v>
      </c>
      <c r="N166" t="s">
        <v>288</v>
      </c>
      <c r="O166">
        <v>0.41409000000000001</v>
      </c>
      <c r="Q166" t="s">
        <v>276</v>
      </c>
      <c r="R166">
        <v>0.35505999999999999</v>
      </c>
      <c r="T166" t="s">
        <v>344</v>
      </c>
      <c r="U166" s="5">
        <v>5860</v>
      </c>
      <c r="V166">
        <v>5</v>
      </c>
      <c r="W166">
        <v>166</v>
      </c>
      <c r="X166">
        <v>0.87185929648241212</v>
      </c>
      <c r="Y166">
        <v>166</v>
      </c>
      <c r="Z166">
        <v>0.87185929648241212</v>
      </c>
    </row>
    <row r="167" spans="8:26" x14ac:dyDescent="0.2">
      <c r="H167" t="s">
        <v>346</v>
      </c>
      <c r="I167">
        <v>0.16439999999999999</v>
      </c>
      <c r="K167" t="s">
        <v>333</v>
      </c>
      <c r="L167">
        <v>0.28637000000000001</v>
      </c>
      <c r="N167" t="s">
        <v>318</v>
      </c>
      <c r="O167">
        <v>0.41021000000000002</v>
      </c>
      <c r="Q167" t="s">
        <v>315</v>
      </c>
      <c r="R167">
        <v>0.35437999999999997</v>
      </c>
      <c r="T167" t="s">
        <v>345</v>
      </c>
      <c r="U167" s="5">
        <v>4170</v>
      </c>
      <c r="V167">
        <v>5.8</v>
      </c>
      <c r="W167">
        <v>167</v>
      </c>
      <c r="X167">
        <v>0.87562814070351758</v>
      </c>
      <c r="Y167">
        <v>167</v>
      </c>
      <c r="Z167">
        <v>0.87562814070351758</v>
      </c>
    </row>
    <row r="168" spans="8:26" x14ac:dyDescent="0.2">
      <c r="H168" t="s">
        <v>273</v>
      </c>
      <c r="I168">
        <v>0.16439999999999999</v>
      </c>
      <c r="K168" t="s">
        <v>298</v>
      </c>
      <c r="L168">
        <v>0.27866999999999997</v>
      </c>
      <c r="N168" t="s">
        <v>348</v>
      </c>
      <c r="O168">
        <v>0.39916000000000001</v>
      </c>
      <c r="Q168" t="s">
        <v>366</v>
      </c>
      <c r="R168">
        <v>0.35367999999999999</v>
      </c>
      <c r="T168" t="s">
        <v>347</v>
      </c>
      <c r="U168" s="5">
        <v>3740</v>
      </c>
      <c r="V168">
        <v>0.1</v>
      </c>
      <c r="W168">
        <v>168</v>
      </c>
      <c r="X168">
        <v>0.87939698492462304</v>
      </c>
      <c r="Y168">
        <v>168</v>
      </c>
      <c r="Z168">
        <v>0.87939698492462304</v>
      </c>
    </row>
    <row r="169" spans="8:26" x14ac:dyDescent="0.2">
      <c r="H169" t="s">
        <v>320</v>
      </c>
      <c r="I169">
        <v>0.16439999999999999</v>
      </c>
      <c r="K169" t="s">
        <v>345</v>
      </c>
      <c r="L169">
        <v>0.27604000000000001</v>
      </c>
      <c r="N169" t="s">
        <v>324</v>
      </c>
      <c r="O169">
        <v>0.39838000000000001</v>
      </c>
      <c r="Q169" t="s">
        <v>309</v>
      </c>
      <c r="R169">
        <v>0.30473</v>
      </c>
      <c r="T169" t="s">
        <v>349</v>
      </c>
      <c r="U169" s="5">
        <v>1600</v>
      </c>
      <c r="V169">
        <v>29.1</v>
      </c>
      <c r="W169">
        <v>169</v>
      </c>
      <c r="X169">
        <v>0.88316582914572861</v>
      </c>
      <c r="Y169">
        <v>169</v>
      </c>
      <c r="Z169">
        <v>0.88316582914572861</v>
      </c>
    </row>
    <row r="170" spans="8:26" x14ac:dyDescent="0.2">
      <c r="H170" t="s">
        <v>271</v>
      </c>
      <c r="I170">
        <v>0.16439999999999999</v>
      </c>
      <c r="K170" t="s">
        <v>375</v>
      </c>
      <c r="L170">
        <v>0.26738000000000001</v>
      </c>
      <c r="N170" t="s">
        <v>330</v>
      </c>
      <c r="O170">
        <v>0.39655000000000001</v>
      </c>
      <c r="Q170" t="s">
        <v>372</v>
      </c>
      <c r="R170">
        <v>0.29044999999999999</v>
      </c>
      <c r="T170" t="s">
        <v>350</v>
      </c>
      <c r="U170" s="5">
        <v>2370</v>
      </c>
      <c r="V170">
        <v>123.4</v>
      </c>
      <c r="W170">
        <v>170</v>
      </c>
      <c r="X170">
        <v>0.88693467336683418</v>
      </c>
      <c r="Y170">
        <v>170</v>
      </c>
      <c r="Z170">
        <v>0.88693467336683418</v>
      </c>
    </row>
    <row r="171" spans="8:26" x14ac:dyDescent="0.2">
      <c r="H171" t="s">
        <v>126</v>
      </c>
      <c r="I171">
        <v>0.1507</v>
      </c>
      <c r="K171" t="s">
        <v>369</v>
      </c>
      <c r="L171">
        <v>0.26334999999999997</v>
      </c>
      <c r="N171" t="s">
        <v>304</v>
      </c>
      <c r="O171">
        <v>0.39518999999999999</v>
      </c>
      <c r="Q171" t="s">
        <v>345</v>
      </c>
      <c r="R171">
        <v>0.27757999999999999</v>
      </c>
      <c r="T171" t="s">
        <v>352</v>
      </c>
      <c r="U171" s="5">
        <v>2370</v>
      </c>
      <c r="V171">
        <v>2.1</v>
      </c>
      <c r="W171">
        <v>171</v>
      </c>
      <c r="X171">
        <v>0.89070351758793975</v>
      </c>
      <c r="Y171">
        <v>171</v>
      </c>
      <c r="Z171">
        <v>0.89070351758793975</v>
      </c>
    </row>
    <row r="172" spans="8:26" x14ac:dyDescent="0.2">
      <c r="H172" t="s">
        <v>351</v>
      </c>
      <c r="I172">
        <v>0.1507</v>
      </c>
      <c r="K172" t="s">
        <v>347</v>
      </c>
      <c r="L172">
        <v>0.26211000000000001</v>
      </c>
      <c r="N172" t="s">
        <v>247</v>
      </c>
      <c r="O172">
        <v>0.37146000000000001</v>
      </c>
      <c r="Q172" t="s">
        <v>350</v>
      </c>
      <c r="R172">
        <v>0.26591999999999999</v>
      </c>
      <c r="T172" t="s">
        <v>353</v>
      </c>
      <c r="U172" s="5">
        <v>4230</v>
      </c>
      <c r="V172">
        <v>10.9</v>
      </c>
      <c r="W172">
        <v>172</v>
      </c>
      <c r="X172">
        <v>0.89447236180904521</v>
      </c>
      <c r="Y172">
        <v>172</v>
      </c>
      <c r="Z172">
        <v>0.89447236180904521</v>
      </c>
    </row>
    <row r="173" spans="8:26" x14ac:dyDescent="0.2">
      <c r="H173" t="s">
        <v>281</v>
      </c>
      <c r="I173">
        <v>0.13700000000000001</v>
      </c>
      <c r="K173" t="s">
        <v>312</v>
      </c>
      <c r="L173">
        <v>0.25063999999999997</v>
      </c>
      <c r="N173" t="s">
        <v>346</v>
      </c>
      <c r="O173">
        <v>0.3669</v>
      </c>
      <c r="Q173" t="s">
        <v>354</v>
      </c>
      <c r="R173">
        <v>0.25851000000000002</v>
      </c>
      <c r="T173" t="s">
        <v>354</v>
      </c>
      <c r="U173" s="5">
        <v>1660</v>
      </c>
      <c r="V173">
        <v>8.6999999999999993</v>
      </c>
      <c r="W173">
        <v>173</v>
      </c>
      <c r="X173">
        <v>0.89824120603015079</v>
      </c>
      <c r="Y173">
        <v>173</v>
      </c>
      <c r="Z173">
        <v>0.89824120603015079</v>
      </c>
    </row>
    <row r="174" spans="8:26" x14ac:dyDescent="0.2">
      <c r="H174" t="s">
        <v>266</v>
      </c>
      <c r="I174">
        <v>0.13700000000000001</v>
      </c>
      <c r="K174" t="s">
        <v>321</v>
      </c>
      <c r="L174">
        <v>0.24387</v>
      </c>
      <c r="N174" t="s">
        <v>183</v>
      </c>
      <c r="O174">
        <v>0.34995999999999999</v>
      </c>
      <c r="Q174" t="s">
        <v>359</v>
      </c>
      <c r="R174">
        <v>0.25319999999999998</v>
      </c>
      <c r="T174" t="s">
        <v>355</v>
      </c>
      <c r="U174" s="5">
        <v>2540</v>
      </c>
      <c r="V174">
        <v>23.3</v>
      </c>
      <c r="W174">
        <v>174</v>
      </c>
      <c r="X174">
        <v>0.90201005025125625</v>
      </c>
      <c r="Y174">
        <v>174</v>
      </c>
      <c r="Z174">
        <v>0.90201005025125625</v>
      </c>
    </row>
    <row r="175" spans="8:26" x14ac:dyDescent="0.2">
      <c r="H175" t="s">
        <v>292</v>
      </c>
      <c r="I175">
        <v>0.12330000000000001</v>
      </c>
      <c r="K175" t="s">
        <v>303</v>
      </c>
      <c r="L175">
        <v>0.22982</v>
      </c>
      <c r="N175" t="s">
        <v>246</v>
      </c>
      <c r="O175">
        <v>0.33804000000000001</v>
      </c>
      <c r="Q175" t="s">
        <v>339</v>
      </c>
      <c r="R175">
        <v>0.24736</v>
      </c>
      <c r="T175" t="s">
        <v>356</v>
      </c>
      <c r="U175" s="5">
        <v>4900</v>
      </c>
      <c r="V175">
        <v>1.1000000000000001</v>
      </c>
      <c r="W175">
        <v>175</v>
      </c>
      <c r="X175">
        <v>0.90577889447236182</v>
      </c>
      <c r="Y175">
        <v>175</v>
      </c>
      <c r="Z175">
        <v>0.90577889447236182</v>
      </c>
    </row>
    <row r="176" spans="8:26" x14ac:dyDescent="0.2">
      <c r="H176" t="s">
        <v>198</v>
      </c>
      <c r="I176">
        <v>0.12330000000000001</v>
      </c>
      <c r="K176" t="s">
        <v>327</v>
      </c>
      <c r="L176">
        <v>0.21557000000000001</v>
      </c>
      <c r="N176" t="s">
        <v>358</v>
      </c>
      <c r="O176">
        <v>0.33237</v>
      </c>
      <c r="Q176" t="s">
        <v>319</v>
      </c>
      <c r="R176">
        <v>0.22989999999999999</v>
      </c>
      <c r="T176" t="s">
        <v>357</v>
      </c>
      <c r="U176" s="5">
        <v>2420</v>
      </c>
      <c r="V176">
        <v>23.3</v>
      </c>
      <c r="W176">
        <v>176</v>
      </c>
      <c r="X176">
        <v>0.90954773869346739</v>
      </c>
      <c r="Y176">
        <v>176</v>
      </c>
      <c r="Z176">
        <v>0.90954773869346739</v>
      </c>
    </row>
    <row r="177" spans="8:26" x14ac:dyDescent="0.2">
      <c r="H177" t="s">
        <v>99</v>
      </c>
      <c r="I177">
        <v>0.12330000000000001</v>
      </c>
      <c r="K177" t="s">
        <v>356</v>
      </c>
      <c r="L177">
        <v>0.20915</v>
      </c>
      <c r="N177" t="s">
        <v>320</v>
      </c>
      <c r="O177">
        <v>0.32536999999999999</v>
      </c>
      <c r="Q177" t="s">
        <v>360</v>
      </c>
      <c r="R177">
        <v>0.21672</v>
      </c>
      <c r="T177" t="s">
        <v>359</v>
      </c>
      <c r="U177" s="5">
        <v>17330</v>
      </c>
      <c r="V177">
        <v>1.7</v>
      </c>
      <c r="W177">
        <v>177</v>
      </c>
      <c r="X177">
        <v>0.91331658291457285</v>
      </c>
      <c r="Y177">
        <v>177</v>
      </c>
      <c r="Z177">
        <v>0.91331658291457285</v>
      </c>
    </row>
    <row r="178" spans="8:26" x14ac:dyDescent="0.2">
      <c r="H178" t="s">
        <v>360</v>
      </c>
      <c r="I178">
        <v>0.1096</v>
      </c>
      <c r="K178" t="s">
        <v>365</v>
      </c>
      <c r="L178">
        <v>0.20671</v>
      </c>
      <c r="N178" t="s">
        <v>310</v>
      </c>
      <c r="O178">
        <v>0.30774000000000001</v>
      </c>
      <c r="Q178" t="s">
        <v>373</v>
      </c>
      <c r="R178">
        <v>0.20874000000000001</v>
      </c>
      <c r="T178" t="s">
        <v>361</v>
      </c>
      <c r="U178" s="5">
        <v>1520</v>
      </c>
      <c r="V178">
        <v>33.9</v>
      </c>
      <c r="W178">
        <v>178</v>
      </c>
      <c r="X178">
        <v>0.91708542713567831</v>
      </c>
      <c r="Y178">
        <v>178</v>
      </c>
      <c r="Z178">
        <v>0.91708542713567831</v>
      </c>
    </row>
    <row r="179" spans="8:26" x14ac:dyDescent="0.2">
      <c r="H179" t="s">
        <v>364</v>
      </c>
      <c r="I179">
        <v>0.1096</v>
      </c>
      <c r="K179" t="s">
        <v>334</v>
      </c>
      <c r="L179">
        <v>0.19438</v>
      </c>
      <c r="N179" t="s">
        <v>292</v>
      </c>
      <c r="O179">
        <v>0.29615000000000002</v>
      </c>
      <c r="Q179" t="s">
        <v>341</v>
      </c>
      <c r="R179">
        <v>0.18862000000000001</v>
      </c>
      <c r="T179" t="s">
        <v>363</v>
      </c>
      <c r="U179" s="5">
        <v>3870</v>
      </c>
      <c r="V179">
        <v>48.1</v>
      </c>
      <c r="W179">
        <v>179</v>
      </c>
      <c r="X179">
        <v>0.92085427135678388</v>
      </c>
      <c r="Y179">
        <v>179</v>
      </c>
      <c r="Z179">
        <v>0.92085427135678388</v>
      </c>
    </row>
    <row r="180" spans="8:26" x14ac:dyDescent="0.2">
      <c r="H180" t="s">
        <v>262</v>
      </c>
      <c r="I180">
        <v>9.5899999999999999E-2</v>
      </c>
      <c r="K180" t="s">
        <v>359</v>
      </c>
      <c r="L180">
        <v>0.19319</v>
      </c>
      <c r="N180" t="s">
        <v>202</v>
      </c>
      <c r="O180">
        <v>0.28867999999999999</v>
      </c>
      <c r="Q180" t="s">
        <v>353</v>
      </c>
      <c r="R180">
        <v>0.18512999999999999</v>
      </c>
      <c r="T180" t="s">
        <v>365</v>
      </c>
      <c r="U180" s="5">
        <v>1270</v>
      </c>
      <c r="V180">
        <v>102.3</v>
      </c>
      <c r="W180">
        <v>180</v>
      </c>
      <c r="X180">
        <v>0.92462311557788945</v>
      </c>
      <c r="Y180">
        <v>180</v>
      </c>
      <c r="Z180">
        <v>0.92462311557788945</v>
      </c>
    </row>
    <row r="181" spans="8:26" x14ac:dyDescent="0.2">
      <c r="H181" t="s">
        <v>337</v>
      </c>
      <c r="I181">
        <v>9.5899999999999999E-2</v>
      </c>
      <c r="K181" t="s">
        <v>316</v>
      </c>
      <c r="L181">
        <v>0.18754999999999999</v>
      </c>
      <c r="N181" t="s">
        <v>362</v>
      </c>
      <c r="O181">
        <v>0.28833999999999999</v>
      </c>
      <c r="Q181" t="s">
        <v>343</v>
      </c>
      <c r="R181">
        <v>0.18109</v>
      </c>
      <c r="T181" t="s">
        <v>366</v>
      </c>
      <c r="U181" s="5">
        <v>3620</v>
      </c>
      <c r="V181">
        <v>0.9</v>
      </c>
      <c r="W181">
        <v>181</v>
      </c>
      <c r="X181">
        <v>0.92839195979899503</v>
      </c>
      <c r="Y181">
        <v>181</v>
      </c>
      <c r="Z181">
        <v>0.92839195979899503</v>
      </c>
    </row>
    <row r="182" spans="8:26" x14ac:dyDescent="0.2">
      <c r="H182" t="s">
        <v>362</v>
      </c>
      <c r="I182">
        <v>9.5899999999999999E-2</v>
      </c>
      <c r="K182" t="s">
        <v>344</v>
      </c>
      <c r="L182">
        <v>0.16879</v>
      </c>
      <c r="N182" t="s">
        <v>336</v>
      </c>
      <c r="O182">
        <v>0.28231000000000001</v>
      </c>
      <c r="Q182" t="s">
        <v>368</v>
      </c>
      <c r="R182">
        <v>0.17452000000000001</v>
      </c>
      <c r="T182" t="s">
        <v>367</v>
      </c>
      <c r="U182" s="5">
        <v>2280</v>
      </c>
      <c r="V182">
        <v>2.8</v>
      </c>
      <c r="W182">
        <v>182</v>
      </c>
      <c r="X182">
        <v>0.9321608040201006</v>
      </c>
      <c r="Y182">
        <v>182</v>
      </c>
      <c r="Z182">
        <v>0.9321608040201006</v>
      </c>
    </row>
    <row r="183" spans="8:26" x14ac:dyDescent="0.2">
      <c r="H183" t="s">
        <v>370</v>
      </c>
      <c r="I183">
        <v>8.2199999999999995E-2</v>
      </c>
      <c r="K183" t="s">
        <v>364</v>
      </c>
      <c r="L183">
        <v>0.15040999999999999</v>
      </c>
      <c r="N183" t="s">
        <v>337</v>
      </c>
      <c r="O183">
        <v>0.27995999999999999</v>
      </c>
      <c r="Q183" t="s">
        <v>365</v>
      </c>
      <c r="R183">
        <v>0.15906000000000001</v>
      </c>
      <c r="T183" t="s">
        <v>369</v>
      </c>
      <c r="U183" s="5">
        <v>1620</v>
      </c>
      <c r="V183">
        <v>5.4</v>
      </c>
      <c r="W183">
        <v>183</v>
      </c>
      <c r="X183">
        <v>0.93592964824120606</v>
      </c>
      <c r="Y183">
        <v>183</v>
      </c>
      <c r="Z183">
        <v>0.93592964824120606</v>
      </c>
    </row>
    <row r="184" spans="8:26" x14ac:dyDescent="0.2">
      <c r="H184" t="s">
        <v>335</v>
      </c>
      <c r="I184">
        <v>8.2199999999999995E-2</v>
      </c>
      <c r="K184" t="s">
        <v>360</v>
      </c>
      <c r="L184">
        <v>0.14379</v>
      </c>
      <c r="N184" t="s">
        <v>275</v>
      </c>
      <c r="O184">
        <v>0.27184999999999998</v>
      </c>
      <c r="Q184" t="s">
        <v>374</v>
      </c>
      <c r="R184">
        <v>0.15783</v>
      </c>
      <c r="T184" t="s">
        <v>371</v>
      </c>
      <c r="U184" s="5">
        <v>840</v>
      </c>
      <c r="V184">
        <v>12.9</v>
      </c>
      <c r="W184">
        <v>184</v>
      </c>
      <c r="X184">
        <v>0.93969849246231152</v>
      </c>
      <c r="Y184">
        <v>184</v>
      </c>
      <c r="Z184">
        <v>0.93969849246231152</v>
      </c>
    </row>
    <row r="185" spans="8:26" x14ac:dyDescent="0.2">
      <c r="H185" t="s">
        <v>331</v>
      </c>
      <c r="I185">
        <v>6.8500000000000005E-2</v>
      </c>
      <c r="K185" t="s">
        <v>373</v>
      </c>
      <c r="L185">
        <v>0.13785</v>
      </c>
      <c r="N185" t="s">
        <v>351</v>
      </c>
      <c r="O185">
        <v>0.26704</v>
      </c>
      <c r="Q185" t="s">
        <v>349</v>
      </c>
      <c r="R185">
        <v>0.15178</v>
      </c>
      <c r="T185" t="s">
        <v>368</v>
      </c>
      <c r="U185" s="5">
        <v>840</v>
      </c>
      <c r="V185">
        <v>26.1</v>
      </c>
      <c r="W185">
        <v>185</v>
      </c>
      <c r="X185">
        <v>0.94346733668341709</v>
      </c>
      <c r="Y185">
        <v>185</v>
      </c>
      <c r="Z185">
        <v>0.94346733668341709</v>
      </c>
    </row>
    <row r="186" spans="8:26" x14ac:dyDescent="0.2">
      <c r="H186" t="s">
        <v>342</v>
      </c>
      <c r="I186">
        <v>6.8500000000000005E-2</v>
      </c>
      <c r="K186" t="s">
        <v>372</v>
      </c>
      <c r="L186">
        <v>0.13774</v>
      </c>
      <c r="N186" t="s">
        <v>360</v>
      </c>
      <c r="O186">
        <v>0.26429999999999998</v>
      </c>
      <c r="Q186" t="s">
        <v>377</v>
      </c>
      <c r="R186">
        <v>0.14324000000000001</v>
      </c>
      <c r="T186" t="s">
        <v>372</v>
      </c>
      <c r="U186" s="8">
        <v>1840</v>
      </c>
      <c r="V186">
        <v>34.4</v>
      </c>
      <c r="W186">
        <v>186</v>
      </c>
      <c r="X186">
        <v>0.94723618090452266</v>
      </c>
      <c r="Y186">
        <v>186</v>
      </c>
      <c r="Z186">
        <v>0.94723618090452266</v>
      </c>
    </row>
    <row r="187" spans="8:26" x14ac:dyDescent="0.2">
      <c r="H187" t="s">
        <v>296</v>
      </c>
      <c r="I187">
        <v>6.8500000000000005E-2</v>
      </c>
      <c r="K187" t="s">
        <v>363</v>
      </c>
      <c r="L187">
        <v>0.1293</v>
      </c>
      <c r="N187" t="s">
        <v>331</v>
      </c>
      <c r="O187">
        <v>0.25931999999999999</v>
      </c>
      <c r="Q187" t="s">
        <v>376</v>
      </c>
      <c r="R187">
        <v>0.14054</v>
      </c>
      <c r="T187" t="s">
        <v>373</v>
      </c>
      <c r="U187" s="5">
        <v>2110</v>
      </c>
      <c r="V187">
        <v>11.7</v>
      </c>
      <c r="W187">
        <v>187</v>
      </c>
      <c r="X187">
        <v>0.95100502512562812</v>
      </c>
      <c r="Y187">
        <v>187</v>
      </c>
      <c r="Z187">
        <v>0.95100502512562812</v>
      </c>
    </row>
    <row r="188" spans="8:26" x14ac:dyDescent="0.2">
      <c r="H188" t="s">
        <v>208</v>
      </c>
      <c r="I188">
        <v>5.4800000000000001E-2</v>
      </c>
      <c r="K188" t="s">
        <v>352</v>
      </c>
      <c r="L188">
        <v>0.12703</v>
      </c>
      <c r="N188" t="s">
        <v>370</v>
      </c>
      <c r="O188">
        <v>0.17130000000000001</v>
      </c>
      <c r="Q188" t="s">
        <v>347</v>
      </c>
      <c r="R188">
        <v>0.13502</v>
      </c>
      <c r="T188" t="s">
        <v>374</v>
      </c>
      <c r="U188" s="5">
        <v>1830</v>
      </c>
      <c r="V188">
        <v>27.2</v>
      </c>
      <c r="W188">
        <v>188</v>
      </c>
      <c r="X188">
        <v>0.95477386934673358</v>
      </c>
      <c r="Y188">
        <v>188</v>
      </c>
      <c r="Z188">
        <v>0.95477386934673358</v>
      </c>
    </row>
    <row r="189" spans="8:26" x14ac:dyDescent="0.2">
      <c r="H189" t="s">
        <v>207</v>
      </c>
      <c r="I189">
        <v>5.4800000000000001E-2</v>
      </c>
      <c r="K189" t="s">
        <v>378</v>
      </c>
      <c r="L189">
        <v>0.1128</v>
      </c>
      <c r="N189" t="s">
        <v>340</v>
      </c>
      <c r="O189">
        <v>0.16850999999999999</v>
      </c>
      <c r="Q189" t="s">
        <v>369</v>
      </c>
      <c r="R189">
        <v>0.12379</v>
      </c>
      <c r="T189" t="s">
        <v>360</v>
      </c>
      <c r="U189" s="8">
        <v>1500</v>
      </c>
      <c r="V189">
        <v>41.1</v>
      </c>
      <c r="W189">
        <v>189</v>
      </c>
      <c r="X189">
        <v>0.95854271356783916</v>
      </c>
      <c r="Y189">
        <v>189</v>
      </c>
      <c r="Z189">
        <v>0.95854271356783916</v>
      </c>
    </row>
    <row r="190" spans="8:26" x14ac:dyDescent="0.2">
      <c r="H190" t="s">
        <v>236</v>
      </c>
      <c r="I190">
        <v>4.1099999999999998E-2</v>
      </c>
      <c r="K190" t="s">
        <v>367</v>
      </c>
      <c r="L190">
        <v>9.5509999999999998E-2</v>
      </c>
      <c r="N190" t="s">
        <v>326</v>
      </c>
      <c r="O190">
        <v>0.16677</v>
      </c>
      <c r="Q190" t="s">
        <v>375</v>
      </c>
      <c r="R190">
        <v>0.11945</v>
      </c>
      <c r="T190" t="s">
        <v>375</v>
      </c>
      <c r="U190" s="5">
        <v>920</v>
      </c>
      <c r="V190">
        <v>17.8</v>
      </c>
      <c r="W190">
        <v>190</v>
      </c>
      <c r="X190">
        <v>0.96231155778894473</v>
      </c>
      <c r="Y190">
        <v>190</v>
      </c>
      <c r="Z190">
        <v>0.96231155778894473</v>
      </c>
    </row>
    <row r="191" spans="8:26" x14ac:dyDescent="0.2">
      <c r="H191" t="s">
        <v>80</v>
      </c>
      <c r="I191">
        <v>1.37E-2</v>
      </c>
      <c r="K191" t="s">
        <v>80</v>
      </c>
      <c r="L191">
        <v>8.0759999999999998E-2</v>
      </c>
      <c r="N191" t="s">
        <v>364</v>
      </c>
      <c r="O191">
        <v>0.15212000000000001</v>
      </c>
      <c r="Q191" t="s">
        <v>361</v>
      </c>
      <c r="R191">
        <v>6.3210000000000002E-2</v>
      </c>
      <c r="T191" t="s">
        <v>376</v>
      </c>
      <c r="U191" s="5">
        <v>980</v>
      </c>
      <c r="V191">
        <v>3.7</v>
      </c>
      <c r="W191">
        <v>191</v>
      </c>
      <c r="X191">
        <v>0.9660804020100503</v>
      </c>
      <c r="Y191">
        <v>191</v>
      </c>
      <c r="Z191">
        <v>0.9660804020100503</v>
      </c>
    </row>
    <row r="192" spans="8:26" x14ac:dyDescent="0.2">
      <c r="H192" t="s">
        <v>358</v>
      </c>
      <c r="I192">
        <v>1.37E-2</v>
      </c>
      <c r="K192" t="s">
        <v>368</v>
      </c>
      <c r="L192">
        <v>2.9080000000000002E-2</v>
      </c>
      <c r="N192" t="s">
        <v>283</v>
      </c>
      <c r="O192">
        <v>0.14879000000000001</v>
      </c>
      <c r="Q192" t="s">
        <v>364</v>
      </c>
      <c r="R192">
        <v>5.4730000000000001E-2</v>
      </c>
      <c r="T192" t="s">
        <v>377</v>
      </c>
      <c r="V192">
        <v>17.600000000000001</v>
      </c>
      <c r="W192">
        <v>192</v>
      </c>
      <c r="X192">
        <v>0.96984924623115587</v>
      </c>
      <c r="Y192">
        <v>192</v>
      </c>
      <c r="Z192">
        <v>0.96984924623115587</v>
      </c>
    </row>
    <row r="193" spans="8:26" x14ac:dyDescent="0.2">
      <c r="H193" t="s">
        <v>348</v>
      </c>
      <c r="I193">
        <v>0</v>
      </c>
      <c r="K193" t="s">
        <v>366</v>
      </c>
      <c r="L193">
        <v>2.299E-2</v>
      </c>
      <c r="N193" t="s">
        <v>307</v>
      </c>
      <c r="O193">
        <v>0.12497999999999999</v>
      </c>
      <c r="Q193" t="s">
        <v>371</v>
      </c>
      <c r="R193">
        <v>3.3050000000000003E-2</v>
      </c>
      <c r="T193" t="s">
        <v>364</v>
      </c>
      <c r="U193" s="8">
        <v>1200</v>
      </c>
      <c r="V193">
        <v>10.9</v>
      </c>
      <c r="W193">
        <v>193</v>
      </c>
      <c r="X193">
        <v>0.97361809045226133</v>
      </c>
      <c r="Y193">
        <v>193</v>
      </c>
      <c r="Z193">
        <v>0.97361809045226133</v>
      </c>
    </row>
    <row r="194" spans="8:26" x14ac:dyDescent="0.2">
      <c r="H194" t="s">
        <v>322</v>
      </c>
      <c r="I194">
        <v>0</v>
      </c>
      <c r="K194" t="s">
        <v>376</v>
      </c>
      <c r="L194">
        <v>0</v>
      </c>
      <c r="N194" t="s">
        <v>301</v>
      </c>
      <c r="O194">
        <v>0</v>
      </c>
      <c r="Q194" t="s">
        <v>378</v>
      </c>
      <c r="R194">
        <v>0</v>
      </c>
      <c r="T194" t="s">
        <v>378</v>
      </c>
      <c r="U194" s="8">
        <v>980</v>
      </c>
      <c r="V194">
        <v>5.5</v>
      </c>
      <c r="W194">
        <v>194</v>
      </c>
      <c r="X194">
        <v>0.97738693467336679</v>
      </c>
      <c r="Y194">
        <v>194</v>
      </c>
      <c r="Z194">
        <v>0.97738693467336679</v>
      </c>
    </row>
    <row r="195" spans="8:26" x14ac:dyDescent="0.2">
      <c r="W195">
        <v>195</v>
      </c>
      <c r="X195">
        <v>0.98115577889447236</v>
      </c>
      <c r="Y195">
        <v>195</v>
      </c>
      <c r="Z195">
        <v>0.98115577889447236</v>
      </c>
    </row>
    <row r="196" spans="8:26" x14ac:dyDescent="0.2">
      <c r="W196">
        <v>196</v>
      </c>
      <c r="X196">
        <v>0.98492462311557794</v>
      </c>
      <c r="Y196">
        <v>196</v>
      </c>
      <c r="Z196">
        <v>0.98492462311557794</v>
      </c>
    </row>
    <row r="197" spans="8:26" x14ac:dyDescent="0.2">
      <c r="W197">
        <v>197</v>
      </c>
      <c r="X197">
        <v>0.9886934673366834</v>
      </c>
      <c r="Y197">
        <v>197</v>
      </c>
      <c r="Z197">
        <v>0.9886934673366834</v>
      </c>
    </row>
    <row r="198" spans="8:26" x14ac:dyDescent="0.2">
      <c r="W198">
        <v>198</v>
      </c>
      <c r="X198">
        <v>0.99246231155778886</v>
      </c>
      <c r="Y198">
        <v>198</v>
      </c>
      <c r="Z198">
        <v>0.99246231155778886</v>
      </c>
    </row>
    <row r="199" spans="8:26" x14ac:dyDescent="0.2">
      <c r="W199">
        <v>199</v>
      </c>
      <c r="X199">
        <v>0.99623115577889443</v>
      </c>
      <c r="Y199">
        <v>199</v>
      </c>
      <c r="Z199">
        <v>0.99623115577889443</v>
      </c>
    </row>
    <row r="200" spans="8:26" x14ac:dyDescent="0.2">
      <c r="W200">
        <v>200</v>
      </c>
      <c r="X200">
        <v>1</v>
      </c>
      <c r="Y200">
        <v>200</v>
      </c>
      <c r="Z200">
        <v>1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3D518-0FDB-9C4D-A62C-B8172FD256DA}">
  <sheetPr codeName="Sheet1">
    <tabColor rgb="FF002060"/>
  </sheetPr>
  <dimension ref="A1:Z200"/>
  <sheetViews>
    <sheetView topLeftCell="D1" zoomScale="70" zoomScaleNormal="70" workbookViewId="0">
      <selection activeCell="A27" sqref="A27"/>
    </sheetView>
  </sheetViews>
  <sheetFormatPr baseColWidth="10" defaultRowHeight="16" x14ac:dyDescent="0.2"/>
  <cols>
    <col min="1" max="2" width="30.6640625" customWidth="1"/>
    <col min="3" max="7" width="20.6640625" customWidth="1"/>
    <col min="8" max="8" width="23" customWidth="1"/>
    <col min="11" max="11" width="23.33203125" customWidth="1"/>
    <col min="13" max="13" width="38.1640625" customWidth="1"/>
    <col min="14" max="14" width="24" customWidth="1"/>
    <col min="17" max="17" width="19.83203125" customWidth="1"/>
    <col min="18" max="18" width="17" customWidth="1"/>
    <col min="20" max="20" width="18.83203125" customWidth="1"/>
    <col min="21" max="21" width="25.6640625" style="5" customWidth="1"/>
  </cols>
  <sheetData>
    <row r="1" spans="1:26" x14ac:dyDescent="0.2">
      <c r="A1" s="1" t="s">
        <v>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/>
      <c r="H1" s="2" t="s">
        <v>0</v>
      </c>
      <c r="I1" s="2" t="s">
        <v>5</v>
      </c>
      <c r="J1" s="2"/>
      <c r="K1" s="2" t="s">
        <v>0</v>
      </c>
      <c r="L1" s="2" t="s">
        <v>6</v>
      </c>
      <c r="M1" s="2"/>
      <c r="N1" s="2" t="s">
        <v>0</v>
      </c>
      <c r="O1" s="2" t="s">
        <v>7</v>
      </c>
      <c r="P1" s="2"/>
      <c r="Q1" s="2" t="s">
        <v>0</v>
      </c>
      <c r="R1" s="2" t="s">
        <v>8</v>
      </c>
      <c r="T1" s="3" t="s">
        <v>9</v>
      </c>
      <c r="U1" s="4" t="s">
        <v>10</v>
      </c>
      <c r="V1" s="3" t="s">
        <v>11</v>
      </c>
      <c r="W1">
        <v>1</v>
      </c>
      <c r="X1">
        <v>0.25</v>
      </c>
      <c r="Y1">
        <v>1</v>
      </c>
      <c r="Z1">
        <v>0.25</v>
      </c>
    </row>
    <row r="2" spans="1:26" x14ac:dyDescent="0.2">
      <c r="A2" t="str">
        <f>IF(E2&gt;1, B2, "")</f>
        <v>Denmark</v>
      </c>
      <c r="B2" t="s">
        <v>12</v>
      </c>
      <c r="C2">
        <v>0.98473999999999995</v>
      </c>
      <c r="D2">
        <f>INDEX($U$2:$U$194, MATCH(B2,$T$2:$T$194,0))</f>
        <v>68300</v>
      </c>
      <c r="E2">
        <f>INDEX($V$2:$V$194, MATCH(B2,$T$2:$T$194,0))</f>
        <v>5.9</v>
      </c>
      <c r="F2">
        <f>INDEX($R$2:$R$194, MATCH(B2,$Q$2:$Q$194,0))</f>
        <v>0.99661999999999995</v>
      </c>
      <c r="H2" t="s">
        <v>13</v>
      </c>
      <c r="I2">
        <v>1</v>
      </c>
      <c r="K2" t="s">
        <v>25</v>
      </c>
      <c r="L2">
        <v>1</v>
      </c>
      <c r="N2" t="s">
        <v>15</v>
      </c>
      <c r="O2">
        <v>1</v>
      </c>
      <c r="Q2" t="s">
        <v>16</v>
      </c>
      <c r="R2">
        <v>1</v>
      </c>
      <c r="T2" t="s">
        <v>12</v>
      </c>
      <c r="U2" s="5">
        <v>68300</v>
      </c>
      <c r="V2">
        <v>5.9</v>
      </c>
      <c r="W2">
        <v>2</v>
      </c>
      <c r="X2">
        <v>0.25376884422110552</v>
      </c>
      <c r="Y2">
        <v>2</v>
      </c>
      <c r="Z2">
        <v>0.25376884422110552</v>
      </c>
    </row>
    <row r="3" spans="1:26" x14ac:dyDescent="0.2">
      <c r="A3" t="str">
        <f t="shared" ref="A3:A66" si="0">IF(E3&gt;1, B3, "")</f>
        <v>Estonia</v>
      </c>
      <c r="B3" t="s">
        <v>17</v>
      </c>
      <c r="C3">
        <v>0.97274000000000005</v>
      </c>
      <c r="D3">
        <f t="shared" ref="D3:D66" si="1">INDEX($U$2:$U$194, MATCH(B3,$T$2:$T$194,0))</f>
        <v>38110</v>
      </c>
      <c r="E3">
        <f t="shared" ref="E3:E66" si="2">INDEX($V$2:$V$194, MATCH(B3,$T$2:$T$194,0))</f>
        <v>1.3</v>
      </c>
      <c r="F3">
        <f t="shared" ref="F3:F66" si="3">INDEX($R$2:$R$194, MATCH(B3,$Q$2:$Q$194,0))</f>
        <v>0.97309000000000001</v>
      </c>
      <c r="H3" t="s">
        <v>18</v>
      </c>
      <c r="I3">
        <v>0.98629999999999995</v>
      </c>
      <c r="K3" t="s">
        <v>12</v>
      </c>
      <c r="L3">
        <v>0.99924000000000002</v>
      </c>
      <c r="N3" t="s">
        <v>20</v>
      </c>
      <c r="O3">
        <v>0.99531000000000003</v>
      </c>
      <c r="Q3" t="s">
        <v>160</v>
      </c>
      <c r="R3">
        <v>0.99883</v>
      </c>
      <c r="T3" t="s">
        <v>17</v>
      </c>
      <c r="U3" s="5">
        <v>38110</v>
      </c>
      <c r="V3">
        <v>1.3</v>
      </c>
      <c r="W3">
        <v>3</v>
      </c>
      <c r="X3">
        <v>0.25753768844221103</v>
      </c>
      <c r="Y3">
        <v>3</v>
      </c>
      <c r="Z3">
        <v>0.25753768844221103</v>
      </c>
    </row>
    <row r="4" spans="1:26" x14ac:dyDescent="0.2">
      <c r="A4" t="str">
        <f t="shared" si="0"/>
        <v>Singapore</v>
      </c>
      <c r="B4" t="s">
        <v>22</v>
      </c>
      <c r="C4">
        <v>0.96911999999999998</v>
      </c>
      <c r="D4">
        <f t="shared" si="1"/>
        <v>116500</v>
      </c>
      <c r="E4">
        <f t="shared" si="2"/>
        <v>5.6</v>
      </c>
      <c r="F4">
        <f t="shared" si="3"/>
        <v>0.98806000000000005</v>
      </c>
      <c r="H4" t="s">
        <v>19</v>
      </c>
      <c r="I4">
        <v>0.98629999999999995</v>
      </c>
      <c r="K4" t="s">
        <v>17</v>
      </c>
      <c r="L4">
        <v>0.99534999999999996</v>
      </c>
      <c r="N4" t="s">
        <v>24</v>
      </c>
      <c r="O4">
        <v>0.98358999999999996</v>
      </c>
      <c r="Q4" t="s">
        <v>28</v>
      </c>
      <c r="R4">
        <v>0.99829000000000001</v>
      </c>
      <c r="T4" t="s">
        <v>22</v>
      </c>
      <c r="U4" s="5">
        <v>116500</v>
      </c>
      <c r="V4">
        <v>5.6</v>
      </c>
      <c r="W4">
        <v>4</v>
      </c>
      <c r="X4">
        <v>0.2613065326633166</v>
      </c>
      <c r="Y4">
        <v>4</v>
      </c>
      <c r="Z4">
        <v>0.2613065326633166</v>
      </c>
    </row>
    <row r="5" spans="1:26" x14ac:dyDescent="0.2">
      <c r="A5" t="str">
        <f t="shared" si="0"/>
        <v>South Korea</v>
      </c>
      <c r="B5" t="s">
        <v>25</v>
      </c>
      <c r="C5">
        <v>0.96789000000000003</v>
      </c>
      <c r="D5">
        <f t="shared" si="1"/>
        <v>44740</v>
      </c>
      <c r="E5">
        <f t="shared" si="2"/>
        <v>51.8</v>
      </c>
      <c r="F5">
        <f t="shared" si="3"/>
        <v>0.99170000000000003</v>
      </c>
      <c r="H5" t="s">
        <v>14</v>
      </c>
      <c r="I5">
        <v>0.97260000000000002</v>
      </c>
      <c r="K5" t="s">
        <v>31</v>
      </c>
      <c r="L5">
        <v>0.98995</v>
      </c>
      <c r="N5" t="s">
        <v>27</v>
      </c>
      <c r="O5">
        <v>0.96880999999999995</v>
      </c>
      <c r="Q5" t="s">
        <v>12</v>
      </c>
      <c r="R5">
        <v>0.99661999999999995</v>
      </c>
      <c r="T5" t="s">
        <v>25</v>
      </c>
      <c r="U5" s="5">
        <v>44740</v>
      </c>
      <c r="V5">
        <v>51.8</v>
      </c>
      <c r="W5">
        <v>5</v>
      </c>
      <c r="X5">
        <v>0.26507537688442212</v>
      </c>
      <c r="Y5">
        <v>5</v>
      </c>
      <c r="Z5">
        <v>0.26507537688442212</v>
      </c>
    </row>
    <row r="6" spans="1:26" x14ac:dyDescent="0.2">
      <c r="A6" t="str">
        <f t="shared" si="0"/>
        <v/>
      </c>
      <c r="B6" t="s">
        <v>28</v>
      </c>
      <c r="C6">
        <v>0.96706999999999999</v>
      </c>
      <c r="D6">
        <f t="shared" si="1"/>
        <v>55220</v>
      </c>
      <c r="E6">
        <f t="shared" si="2"/>
        <v>0.4</v>
      </c>
      <c r="F6">
        <f t="shared" si="3"/>
        <v>0.99829000000000001</v>
      </c>
      <c r="H6" t="s">
        <v>29</v>
      </c>
      <c r="I6">
        <v>0.97260000000000002</v>
      </c>
      <c r="K6" t="s">
        <v>13</v>
      </c>
      <c r="L6">
        <v>0.98536000000000001</v>
      </c>
      <c r="N6" t="s">
        <v>29</v>
      </c>
      <c r="O6">
        <v>0.96723999999999999</v>
      </c>
      <c r="Q6" t="s">
        <v>137</v>
      </c>
      <c r="R6">
        <v>0.99634</v>
      </c>
      <c r="T6" t="s">
        <v>28</v>
      </c>
      <c r="U6" s="5">
        <v>55220</v>
      </c>
      <c r="V6">
        <v>0.4</v>
      </c>
      <c r="W6">
        <v>6</v>
      </c>
      <c r="X6">
        <v>0.26884422110552764</v>
      </c>
      <c r="Y6">
        <v>6</v>
      </c>
      <c r="Z6">
        <v>0.26884422110552764</v>
      </c>
    </row>
    <row r="7" spans="1:26" x14ac:dyDescent="0.2">
      <c r="A7" t="str">
        <f t="shared" si="0"/>
        <v>Saudi Arabia</v>
      </c>
      <c r="B7" t="s">
        <v>31</v>
      </c>
      <c r="C7">
        <v>0.96021999999999996</v>
      </c>
      <c r="D7">
        <f t="shared" si="1"/>
        <v>46120</v>
      </c>
      <c r="E7">
        <f t="shared" si="2"/>
        <v>35.799999999999997</v>
      </c>
      <c r="F7">
        <f t="shared" si="3"/>
        <v>0.98411000000000004</v>
      </c>
      <c r="H7" t="s">
        <v>32</v>
      </c>
      <c r="I7">
        <v>0.97260000000000002</v>
      </c>
      <c r="K7" t="s">
        <v>22</v>
      </c>
      <c r="L7">
        <v>0.98306000000000004</v>
      </c>
      <c r="N7" t="s">
        <v>34</v>
      </c>
      <c r="O7">
        <v>0.96152000000000004</v>
      </c>
      <c r="Q7" t="s">
        <v>25</v>
      </c>
      <c r="R7">
        <v>0.99170000000000003</v>
      </c>
      <c r="T7" t="s">
        <v>31</v>
      </c>
      <c r="U7" s="5">
        <v>46120</v>
      </c>
      <c r="V7">
        <v>35.799999999999997</v>
      </c>
      <c r="W7">
        <v>7</v>
      </c>
      <c r="X7">
        <v>0.27261306532663315</v>
      </c>
      <c r="Y7">
        <v>7</v>
      </c>
      <c r="Z7">
        <v>0.27261306532663315</v>
      </c>
    </row>
    <row r="8" spans="1:26" x14ac:dyDescent="0.2">
      <c r="A8" t="str">
        <f t="shared" si="0"/>
        <v>U.K.</v>
      </c>
      <c r="B8" t="s">
        <v>32</v>
      </c>
      <c r="C8">
        <v>0.95772999999999997</v>
      </c>
      <c r="D8">
        <f t="shared" si="1"/>
        <v>53070</v>
      </c>
      <c r="E8">
        <f t="shared" si="2"/>
        <v>67.3</v>
      </c>
      <c r="F8">
        <f t="shared" si="3"/>
        <v>0.97467000000000004</v>
      </c>
      <c r="H8" t="s">
        <v>23</v>
      </c>
      <c r="I8">
        <v>0.95889999999999997</v>
      </c>
      <c r="K8" t="s">
        <v>32</v>
      </c>
      <c r="L8">
        <v>0.95348999999999995</v>
      </c>
      <c r="N8" t="s">
        <v>19</v>
      </c>
      <c r="O8">
        <v>0.95840999999999998</v>
      </c>
      <c r="Q8" t="s">
        <v>35</v>
      </c>
      <c r="R8">
        <v>0.99063999999999997</v>
      </c>
      <c r="T8" t="s">
        <v>32</v>
      </c>
      <c r="U8" s="5">
        <v>53070</v>
      </c>
      <c r="V8">
        <v>67.3</v>
      </c>
      <c r="W8">
        <v>8</v>
      </c>
      <c r="X8">
        <v>0.27638190954773867</v>
      </c>
      <c r="Y8">
        <v>8</v>
      </c>
      <c r="Z8">
        <v>0.27638190954773867</v>
      </c>
    </row>
    <row r="9" spans="1:26" x14ac:dyDescent="0.2">
      <c r="A9" t="str">
        <f t="shared" si="0"/>
        <v>Australia</v>
      </c>
      <c r="B9" t="s">
        <v>36</v>
      </c>
      <c r="C9">
        <v>0.9577</v>
      </c>
      <c r="D9">
        <f t="shared" si="1"/>
        <v>55100</v>
      </c>
      <c r="E9">
        <f t="shared" si="2"/>
        <v>25.7</v>
      </c>
      <c r="F9">
        <f t="shared" si="3"/>
        <v>0.95091999999999999</v>
      </c>
      <c r="H9" t="s">
        <v>20</v>
      </c>
      <c r="I9">
        <v>0.95889999999999997</v>
      </c>
      <c r="K9" t="s">
        <v>57</v>
      </c>
      <c r="L9">
        <v>0.94530000000000003</v>
      </c>
      <c r="N9" t="s">
        <v>23</v>
      </c>
      <c r="O9">
        <v>0.94972000000000001</v>
      </c>
      <c r="Q9" t="s">
        <v>37</v>
      </c>
      <c r="R9">
        <v>0.98875999999999997</v>
      </c>
      <c r="T9" t="s">
        <v>36</v>
      </c>
      <c r="U9" s="5">
        <v>55100</v>
      </c>
      <c r="V9">
        <v>25.7</v>
      </c>
      <c r="W9">
        <v>9</v>
      </c>
      <c r="X9">
        <v>0.28015075376884424</v>
      </c>
      <c r="Y9">
        <v>9</v>
      </c>
      <c r="Z9">
        <v>0.28015075376884424</v>
      </c>
    </row>
    <row r="10" spans="1:26" x14ac:dyDescent="0.2">
      <c r="A10" t="str">
        <f t="shared" si="0"/>
        <v>Finland</v>
      </c>
      <c r="B10" t="s">
        <v>38</v>
      </c>
      <c r="C10">
        <v>0.95745999999999998</v>
      </c>
      <c r="D10">
        <f t="shared" si="1"/>
        <v>53040</v>
      </c>
      <c r="E10">
        <f t="shared" si="2"/>
        <v>5.5</v>
      </c>
      <c r="F10">
        <f t="shared" si="3"/>
        <v>0.97909000000000002</v>
      </c>
      <c r="H10" t="s">
        <v>26</v>
      </c>
      <c r="I10">
        <v>0.95889999999999997</v>
      </c>
      <c r="K10" t="s">
        <v>49</v>
      </c>
      <c r="L10">
        <v>0.94274000000000002</v>
      </c>
      <c r="N10" t="s">
        <v>32</v>
      </c>
      <c r="O10">
        <v>0.94498000000000004</v>
      </c>
      <c r="Q10" t="s">
        <v>22</v>
      </c>
      <c r="R10">
        <v>0.98806000000000005</v>
      </c>
      <c r="T10" t="s">
        <v>38</v>
      </c>
      <c r="U10" s="5">
        <v>53040</v>
      </c>
      <c r="V10">
        <v>5.5</v>
      </c>
      <c r="W10">
        <v>10</v>
      </c>
      <c r="X10">
        <v>0.28391959798994976</v>
      </c>
      <c r="Y10">
        <v>10</v>
      </c>
      <c r="Z10">
        <v>0.28391959798994976</v>
      </c>
    </row>
    <row r="11" spans="1:26" x14ac:dyDescent="0.2">
      <c r="A11" t="str">
        <f t="shared" si="0"/>
        <v>Netherlands</v>
      </c>
      <c r="B11" t="s">
        <v>39</v>
      </c>
      <c r="C11">
        <v>0.95384000000000002</v>
      </c>
      <c r="D11">
        <f t="shared" si="1"/>
        <v>61000</v>
      </c>
      <c r="E11">
        <f t="shared" si="2"/>
        <v>17.5</v>
      </c>
      <c r="F11">
        <f t="shared" si="3"/>
        <v>0.97150999999999998</v>
      </c>
      <c r="H11" t="s">
        <v>33</v>
      </c>
      <c r="I11">
        <v>0.95889999999999997</v>
      </c>
      <c r="K11" t="s">
        <v>76</v>
      </c>
      <c r="L11">
        <v>0.93903000000000003</v>
      </c>
      <c r="N11" t="s">
        <v>41</v>
      </c>
      <c r="O11">
        <v>0.94355</v>
      </c>
      <c r="Q11" t="s">
        <v>63</v>
      </c>
      <c r="R11">
        <v>0.98773</v>
      </c>
      <c r="T11" t="s">
        <v>39</v>
      </c>
      <c r="U11" s="5">
        <v>61000</v>
      </c>
      <c r="V11">
        <v>17.5</v>
      </c>
      <c r="W11">
        <v>11</v>
      </c>
      <c r="X11">
        <v>0.28768844221105527</v>
      </c>
      <c r="Y11">
        <v>11</v>
      </c>
      <c r="Z11">
        <v>0.28768844221105527</v>
      </c>
    </row>
    <row r="12" spans="1:26" x14ac:dyDescent="0.2">
      <c r="A12" t="str">
        <f t="shared" si="0"/>
        <v>U.A.E.</v>
      </c>
      <c r="B12" t="s">
        <v>16</v>
      </c>
      <c r="C12">
        <v>0.95328000000000002</v>
      </c>
      <c r="D12">
        <f t="shared" si="1"/>
        <v>74410</v>
      </c>
      <c r="E12">
        <f t="shared" si="2"/>
        <v>9.3000000000000007</v>
      </c>
      <c r="F12">
        <f t="shared" si="3"/>
        <v>1</v>
      </c>
      <c r="H12" t="s">
        <v>43</v>
      </c>
      <c r="I12">
        <v>0.94520000000000004</v>
      </c>
      <c r="K12" t="s">
        <v>97</v>
      </c>
      <c r="L12">
        <v>0.92576000000000003</v>
      </c>
      <c r="N12" t="s">
        <v>33</v>
      </c>
      <c r="O12">
        <v>0.93615000000000004</v>
      </c>
      <c r="Q12" t="s">
        <v>179</v>
      </c>
      <c r="R12">
        <v>0.98680000000000001</v>
      </c>
      <c r="T12" t="s">
        <v>16</v>
      </c>
      <c r="U12" s="5">
        <v>74410</v>
      </c>
      <c r="V12">
        <v>9.3000000000000007</v>
      </c>
      <c r="W12">
        <v>12</v>
      </c>
      <c r="X12">
        <v>0.29145728643216079</v>
      </c>
      <c r="Y12">
        <v>12</v>
      </c>
      <c r="Z12">
        <v>0.29145728643216079</v>
      </c>
    </row>
    <row r="13" spans="1:26" x14ac:dyDescent="0.2">
      <c r="A13" t="str">
        <f t="shared" si="0"/>
        <v>Germany</v>
      </c>
      <c r="B13" t="s">
        <v>46</v>
      </c>
      <c r="C13">
        <v>0.93820999999999999</v>
      </c>
      <c r="D13">
        <f t="shared" si="1"/>
        <v>58370</v>
      </c>
      <c r="E13">
        <f t="shared" si="2"/>
        <v>83.2</v>
      </c>
      <c r="F13">
        <f t="shared" si="3"/>
        <v>0.92359000000000002</v>
      </c>
      <c r="H13" t="s">
        <v>27</v>
      </c>
      <c r="I13">
        <v>0.93149999999999999</v>
      </c>
      <c r="K13" t="s">
        <v>46</v>
      </c>
      <c r="L13">
        <v>0.92383999999999999</v>
      </c>
      <c r="N13" t="s">
        <v>47</v>
      </c>
      <c r="O13">
        <v>0.93298000000000003</v>
      </c>
      <c r="Q13" t="s">
        <v>52</v>
      </c>
      <c r="R13">
        <v>0.98678999999999994</v>
      </c>
      <c r="T13" t="s">
        <v>46</v>
      </c>
      <c r="U13" s="5">
        <v>58370</v>
      </c>
      <c r="V13">
        <v>83.2</v>
      </c>
      <c r="W13">
        <v>13</v>
      </c>
      <c r="X13">
        <v>0.29522613065326631</v>
      </c>
      <c r="Y13">
        <v>13</v>
      </c>
      <c r="Z13">
        <v>0.29522613065326631</v>
      </c>
    </row>
    <row r="14" spans="1:26" x14ac:dyDescent="0.2">
      <c r="A14" t="str">
        <f t="shared" si="0"/>
        <v>Japan</v>
      </c>
      <c r="B14" t="s">
        <v>49</v>
      </c>
      <c r="C14">
        <v>0.93510000000000004</v>
      </c>
      <c r="D14">
        <f t="shared" si="1"/>
        <v>44600</v>
      </c>
      <c r="E14">
        <f t="shared" si="2"/>
        <v>125.1</v>
      </c>
      <c r="F14">
        <f t="shared" si="3"/>
        <v>0.95091000000000003</v>
      </c>
      <c r="H14" t="s">
        <v>34</v>
      </c>
      <c r="I14">
        <v>0.93149999999999999</v>
      </c>
      <c r="K14" t="s">
        <v>50</v>
      </c>
      <c r="L14">
        <v>0.92252999999999996</v>
      </c>
      <c r="N14" t="s">
        <v>48</v>
      </c>
      <c r="O14">
        <v>0.92745</v>
      </c>
      <c r="Q14" t="s">
        <v>51</v>
      </c>
      <c r="R14">
        <v>0.98617999999999995</v>
      </c>
      <c r="T14" t="s">
        <v>49</v>
      </c>
      <c r="U14" s="5">
        <v>44600</v>
      </c>
      <c r="V14">
        <v>125.1</v>
      </c>
      <c r="W14">
        <v>14</v>
      </c>
      <c r="X14">
        <v>0.29899497487437188</v>
      </c>
      <c r="Y14">
        <v>14</v>
      </c>
      <c r="Z14">
        <v>0.29899497487437188</v>
      </c>
    </row>
    <row r="15" spans="1:26" x14ac:dyDescent="0.2">
      <c r="A15" t="str">
        <f t="shared" si="0"/>
        <v>Sweden</v>
      </c>
      <c r="B15" t="s">
        <v>52</v>
      </c>
      <c r="C15">
        <v>0.93262</v>
      </c>
      <c r="D15">
        <f t="shared" si="1"/>
        <v>58780</v>
      </c>
      <c r="E15">
        <f t="shared" si="2"/>
        <v>10.4</v>
      </c>
      <c r="F15">
        <f t="shared" si="3"/>
        <v>0.98678999999999994</v>
      </c>
      <c r="H15" t="s">
        <v>44</v>
      </c>
      <c r="I15">
        <v>0.93149999999999999</v>
      </c>
      <c r="K15" t="s">
        <v>36</v>
      </c>
      <c r="L15">
        <v>0.92218999999999995</v>
      </c>
      <c r="N15" t="s">
        <v>53</v>
      </c>
      <c r="O15">
        <v>0.92190000000000005</v>
      </c>
      <c r="Q15" t="s">
        <v>31</v>
      </c>
      <c r="R15">
        <v>0.98411000000000004</v>
      </c>
      <c r="T15" t="s">
        <v>52</v>
      </c>
      <c r="U15" s="5">
        <v>58780</v>
      </c>
      <c r="V15">
        <v>10.4</v>
      </c>
      <c r="W15">
        <v>15</v>
      </c>
      <c r="X15">
        <v>0.30276381909547739</v>
      </c>
      <c r="Y15">
        <v>15</v>
      </c>
      <c r="Z15">
        <v>0.30276381909547739</v>
      </c>
    </row>
    <row r="16" spans="1:26" x14ac:dyDescent="0.2">
      <c r="A16" t="str">
        <f t="shared" si="0"/>
        <v>Norway</v>
      </c>
      <c r="B16" t="s">
        <v>54</v>
      </c>
      <c r="C16">
        <v>0.93152999999999997</v>
      </c>
      <c r="D16">
        <f t="shared" si="1"/>
        <v>74940</v>
      </c>
      <c r="E16">
        <f t="shared" si="2"/>
        <v>5.4</v>
      </c>
      <c r="F16">
        <f t="shared" si="3"/>
        <v>0.96538999999999997</v>
      </c>
      <c r="H16" t="s">
        <v>55</v>
      </c>
      <c r="I16">
        <v>0.91779999999999995</v>
      </c>
      <c r="K16" t="s">
        <v>39</v>
      </c>
      <c r="L16">
        <v>0.92118</v>
      </c>
      <c r="N16" t="s">
        <v>50</v>
      </c>
      <c r="O16">
        <v>0.91922999999999999</v>
      </c>
      <c r="Q16" t="s">
        <v>56</v>
      </c>
      <c r="R16">
        <v>0.98096000000000005</v>
      </c>
      <c r="T16" t="s">
        <v>54</v>
      </c>
      <c r="U16" s="5">
        <v>74940</v>
      </c>
      <c r="V16">
        <v>5.4</v>
      </c>
      <c r="W16">
        <v>16</v>
      </c>
      <c r="X16">
        <v>0.30653266331658291</v>
      </c>
      <c r="Y16">
        <v>16</v>
      </c>
      <c r="Z16">
        <v>0.30653266331658291</v>
      </c>
    </row>
    <row r="17" spans="1:26" x14ac:dyDescent="0.2">
      <c r="A17" t="str">
        <f t="shared" si="0"/>
        <v>New Zealand</v>
      </c>
      <c r="B17" t="s">
        <v>57</v>
      </c>
      <c r="C17">
        <v>0.92654000000000003</v>
      </c>
      <c r="D17">
        <f t="shared" si="1"/>
        <v>48830</v>
      </c>
      <c r="E17">
        <f t="shared" si="2"/>
        <v>5.0999999999999996</v>
      </c>
      <c r="F17">
        <f t="shared" si="3"/>
        <v>0.87280999999999997</v>
      </c>
      <c r="H17" t="s">
        <v>58</v>
      </c>
      <c r="I17">
        <v>0.91779999999999995</v>
      </c>
      <c r="K17" t="s">
        <v>16</v>
      </c>
      <c r="L17">
        <v>0.91627000000000003</v>
      </c>
      <c r="N17" t="s">
        <v>59</v>
      </c>
      <c r="O17">
        <v>0.91747999999999996</v>
      </c>
      <c r="Q17" t="s">
        <v>38</v>
      </c>
      <c r="R17">
        <v>0.97909000000000002</v>
      </c>
      <c r="T17" t="s">
        <v>57</v>
      </c>
      <c r="U17" s="5">
        <v>48830</v>
      </c>
      <c r="V17">
        <v>5.0999999999999996</v>
      </c>
      <c r="W17">
        <v>17</v>
      </c>
      <c r="X17">
        <v>0.31030150753768843</v>
      </c>
      <c r="Y17">
        <v>17</v>
      </c>
      <c r="Z17">
        <v>0.31030150753768843</v>
      </c>
    </row>
    <row r="18" spans="1:26" x14ac:dyDescent="0.2">
      <c r="A18" t="str">
        <f t="shared" si="0"/>
        <v>Spain</v>
      </c>
      <c r="B18" t="s">
        <v>60</v>
      </c>
      <c r="C18">
        <v>0.92059999999999997</v>
      </c>
      <c r="D18">
        <f t="shared" si="1"/>
        <v>42520</v>
      </c>
      <c r="E18">
        <f t="shared" si="2"/>
        <v>47.4</v>
      </c>
      <c r="F18">
        <f t="shared" si="3"/>
        <v>0.96031</v>
      </c>
      <c r="H18" t="s">
        <v>61</v>
      </c>
      <c r="I18">
        <v>0.91779999999999995</v>
      </c>
      <c r="K18" t="s">
        <v>64</v>
      </c>
      <c r="L18">
        <v>0.91357999999999995</v>
      </c>
      <c r="N18" t="s">
        <v>14</v>
      </c>
      <c r="O18">
        <v>0.91198000000000001</v>
      </c>
      <c r="Q18" t="s">
        <v>74</v>
      </c>
      <c r="R18">
        <v>0.97633000000000003</v>
      </c>
      <c r="T18" t="s">
        <v>60</v>
      </c>
      <c r="U18" s="5">
        <v>42520</v>
      </c>
      <c r="V18">
        <v>47.4</v>
      </c>
      <c r="W18">
        <v>18</v>
      </c>
      <c r="X18">
        <v>0.31407035175879394</v>
      </c>
      <c r="Y18">
        <v>18</v>
      </c>
      <c r="Z18">
        <v>0.31407035175879394</v>
      </c>
    </row>
    <row r="19" spans="1:26" x14ac:dyDescent="0.2">
      <c r="A19" t="str">
        <f t="shared" si="0"/>
        <v>Bahrain</v>
      </c>
      <c r="B19" t="s">
        <v>63</v>
      </c>
      <c r="C19">
        <v>0.91957999999999995</v>
      </c>
      <c r="D19">
        <f t="shared" si="1"/>
        <v>47850</v>
      </c>
      <c r="E19">
        <f t="shared" si="2"/>
        <v>1.5</v>
      </c>
      <c r="F19">
        <f t="shared" si="3"/>
        <v>0.98773</v>
      </c>
      <c r="H19" t="s">
        <v>42</v>
      </c>
      <c r="I19">
        <v>0.90410000000000001</v>
      </c>
      <c r="K19" t="s">
        <v>54</v>
      </c>
      <c r="L19">
        <v>0.91171999999999997</v>
      </c>
      <c r="N19" t="s">
        <v>18</v>
      </c>
      <c r="O19">
        <v>0.91169999999999995</v>
      </c>
      <c r="Q19" t="s">
        <v>32</v>
      </c>
      <c r="R19">
        <v>0.97467000000000004</v>
      </c>
      <c r="T19" t="s">
        <v>63</v>
      </c>
      <c r="U19" s="5">
        <v>47850</v>
      </c>
      <c r="V19">
        <v>1.5</v>
      </c>
      <c r="W19">
        <v>19</v>
      </c>
      <c r="X19">
        <v>0.31783919597989951</v>
      </c>
      <c r="Y19">
        <v>19</v>
      </c>
      <c r="Z19">
        <v>0.31783919597989951</v>
      </c>
    </row>
    <row r="20" spans="1:26" x14ac:dyDescent="0.2">
      <c r="A20" t="str">
        <f t="shared" si="0"/>
        <v>U.S.A.</v>
      </c>
      <c r="B20" t="s">
        <v>64</v>
      </c>
      <c r="C20">
        <v>0.91944999999999999</v>
      </c>
      <c r="D20">
        <f t="shared" si="1"/>
        <v>70480</v>
      </c>
      <c r="E20">
        <f t="shared" si="2"/>
        <v>333.3</v>
      </c>
      <c r="F20">
        <f t="shared" si="3"/>
        <v>0.96052000000000004</v>
      </c>
      <c r="H20" t="s">
        <v>24</v>
      </c>
      <c r="I20">
        <v>0.89039999999999997</v>
      </c>
      <c r="K20" t="s">
        <v>38</v>
      </c>
      <c r="L20">
        <v>0.90973000000000004</v>
      </c>
      <c r="N20" t="s">
        <v>26</v>
      </c>
      <c r="O20">
        <v>0.90666000000000002</v>
      </c>
      <c r="Q20" t="s">
        <v>83</v>
      </c>
      <c r="R20">
        <v>0.97465999999999997</v>
      </c>
      <c r="T20" t="s">
        <v>64</v>
      </c>
      <c r="U20" s="5">
        <v>70480</v>
      </c>
      <c r="V20">
        <v>333.3</v>
      </c>
      <c r="W20">
        <v>20</v>
      </c>
      <c r="X20">
        <v>0.32160804020100503</v>
      </c>
      <c r="Y20">
        <v>20</v>
      </c>
      <c r="Z20">
        <v>0.32160804020100503</v>
      </c>
    </row>
    <row r="21" spans="1:26" x14ac:dyDescent="0.2">
      <c r="A21" t="str">
        <f t="shared" si="0"/>
        <v>Ireland</v>
      </c>
      <c r="B21" t="s">
        <v>66</v>
      </c>
      <c r="C21">
        <v>0.91376999999999997</v>
      </c>
      <c r="D21">
        <f t="shared" si="1"/>
        <v>99240</v>
      </c>
      <c r="E21">
        <f t="shared" si="2"/>
        <v>5</v>
      </c>
      <c r="F21">
        <f t="shared" si="3"/>
        <v>0.95987</v>
      </c>
      <c r="H21" t="s">
        <v>67</v>
      </c>
      <c r="I21">
        <v>0.89039999999999997</v>
      </c>
      <c r="K21" t="s">
        <v>28</v>
      </c>
      <c r="L21">
        <v>0.90754999999999997</v>
      </c>
      <c r="N21" t="s">
        <v>55</v>
      </c>
      <c r="O21">
        <v>0.90459999999999996</v>
      </c>
      <c r="Q21" t="s">
        <v>17</v>
      </c>
      <c r="R21">
        <v>0.97309000000000001</v>
      </c>
      <c r="T21" t="s">
        <v>66</v>
      </c>
      <c r="U21" s="5">
        <v>99240</v>
      </c>
      <c r="V21">
        <v>5</v>
      </c>
      <c r="W21">
        <v>21</v>
      </c>
      <c r="X21">
        <v>0.32537688442211055</v>
      </c>
      <c r="Y21">
        <v>21</v>
      </c>
      <c r="Z21">
        <v>0.32537688442211055</v>
      </c>
    </row>
    <row r="22" spans="1:26" x14ac:dyDescent="0.2">
      <c r="A22" t="str">
        <f t="shared" si="0"/>
        <v>Lithuania</v>
      </c>
      <c r="B22" t="s">
        <v>68</v>
      </c>
      <c r="C22">
        <v>0.91103999999999996</v>
      </c>
      <c r="D22">
        <f t="shared" si="1"/>
        <v>42510</v>
      </c>
      <c r="E22">
        <f t="shared" si="2"/>
        <v>2.8</v>
      </c>
      <c r="F22">
        <f t="shared" si="3"/>
        <v>0.96309</v>
      </c>
      <c r="H22" t="s">
        <v>69</v>
      </c>
      <c r="I22">
        <v>0.87670000000000003</v>
      </c>
      <c r="K22" t="s">
        <v>130</v>
      </c>
      <c r="L22">
        <v>0.90630999999999995</v>
      </c>
      <c r="N22" t="s">
        <v>71</v>
      </c>
      <c r="O22">
        <v>0.90264</v>
      </c>
      <c r="Q22" t="s">
        <v>39</v>
      </c>
      <c r="R22">
        <v>0.97150999999999998</v>
      </c>
      <c r="T22" t="s">
        <v>68</v>
      </c>
      <c r="U22" s="5">
        <v>42510</v>
      </c>
      <c r="V22">
        <v>2.8</v>
      </c>
      <c r="W22">
        <v>22</v>
      </c>
      <c r="X22">
        <v>0.32914572864321606</v>
      </c>
      <c r="Y22">
        <v>22</v>
      </c>
      <c r="Z22">
        <v>0.32914572864321606</v>
      </c>
    </row>
    <row r="23" spans="1:26" x14ac:dyDescent="0.2">
      <c r="A23" t="str">
        <f t="shared" si="0"/>
        <v>Austria</v>
      </c>
      <c r="B23" t="s">
        <v>56</v>
      </c>
      <c r="C23">
        <v>0.90652999999999995</v>
      </c>
      <c r="D23">
        <f t="shared" si="1"/>
        <v>60840</v>
      </c>
      <c r="E23">
        <f t="shared" si="2"/>
        <v>9</v>
      </c>
      <c r="F23">
        <f t="shared" si="3"/>
        <v>0.98096000000000005</v>
      </c>
      <c r="H23" t="s">
        <v>59</v>
      </c>
      <c r="I23">
        <v>0.86299999999999999</v>
      </c>
      <c r="K23" t="s">
        <v>60</v>
      </c>
      <c r="L23">
        <v>0.90542</v>
      </c>
      <c r="N23" t="s">
        <v>56</v>
      </c>
      <c r="O23">
        <v>0.90027999999999997</v>
      </c>
      <c r="Q23" t="s">
        <v>110</v>
      </c>
      <c r="R23">
        <v>0.96738999999999997</v>
      </c>
      <c r="T23" t="s">
        <v>56</v>
      </c>
      <c r="U23" s="5">
        <v>60840</v>
      </c>
      <c r="V23">
        <v>9</v>
      </c>
      <c r="W23">
        <v>23</v>
      </c>
      <c r="X23">
        <v>0.33291457286432158</v>
      </c>
      <c r="Y23">
        <v>23</v>
      </c>
      <c r="Z23">
        <v>0.33291457286432158</v>
      </c>
    </row>
    <row r="24" spans="1:26" x14ac:dyDescent="0.2">
      <c r="A24" t="str">
        <f t="shared" si="0"/>
        <v>Israel</v>
      </c>
      <c r="B24" t="s">
        <v>74</v>
      </c>
      <c r="C24">
        <v>0.90142999999999995</v>
      </c>
      <c r="D24">
        <f t="shared" si="1"/>
        <v>44740</v>
      </c>
      <c r="E24">
        <f t="shared" si="2"/>
        <v>9.3000000000000007</v>
      </c>
      <c r="F24">
        <f t="shared" si="3"/>
        <v>0.97633000000000003</v>
      </c>
      <c r="H24" t="s">
        <v>15</v>
      </c>
      <c r="I24">
        <v>0.86299999999999999</v>
      </c>
      <c r="K24" t="s">
        <v>63</v>
      </c>
      <c r="L24">
        <v>0.90305000000000002</v>
      </c>
      <c r="N24" t="s">
        <v>72</v>
      </c>
      <c r="O24">
        <v>0.89610000000000001</v>
      </c>
      <c r="Q24" t="s">
        <v>86</v>
      </c>
      <c r="R24">
        <v>0.96597</v>
      </c>
      <c r="T24" t="s">
        <v>74</v>
      </c>
      <c r="U24" s="5">
        <v>44740</v>
      </c>
      <c r="V24">
        <v>9.3000000000000007</v>
      </c>
      <c r="W24">
        <v>24</v>
      </c>
      <c r="X24">
        <v>0.33668341708542715</v>
      </c>
      <c r="Y24">
        <v>24</v>
      </c>
      <c r="Z24">
        <v>0.33668341708542715</v>
      </c>
    </row>
    <row r="25" spans="1:26" x14ac:dyDescent="0.2">
      <c r="A25" t="str">
        <f t="shared" si="0"/>
        <v>Kazakhstan</v>
      </c>
      <c r="B25" t="s">
        <v>76</v>
      </c>
      <c r="C25">
        <v>0.90093000000000001</v>
      </c>
      <c r="D25">
        <f t="shared" si="1"/>
        <v>26940</v>
      </c>
      <c r="E25">
        <f t="shared" si="2"/>
        <v>19.399999999999999</v>
      </c>
      <c r="F25">
        <f t="shared" si="3"/>
        <v>0.92352999999999996</v>
      </c>
      <c r="H25" t="s">
        <v>70</v>
      </c>
      <c r="I25">
        <v>0.86299999999999999</v>
      </c>
      <c r="K25" t="s">
        <v>107</v>
      </c>
      <c r="L25">
        <v>0.88721000000000005</v>
      </c>
      <c r="N25" t="s">
        <v>78</v>
      </c>
      <c r="O25">
        <v>0.88612999999999997</v>
      </c>
      <c r="Q25" t="s">
        <v>54</v>
      </c>
      <c r="R25">
        <v>0.96538999999999997</v>
      </c>
      <c r="T25" t="s">
        <v>76</v>
      </c>
      <c r="U25" s="5">
        <v>26940</v>
      </c>
      <c r="V25">
        <v>19.399999999999999</v>
      </c>
      <c r="W25">
        <v>25</v>
      </c>
      <c r="X25">
        <v>0.34045226130653267</v>
      </c>
      <c r="Y25">
        <v>25</v>
      </c>
      <c r="Z25">
        <v>0.34045226130653267</v>
      </c>
    </row>
    <row r="26" spans="1:26" x14ac:dyDescent="0.2">
      <c r="A26" t="str">
        <f t="shared" si="0"/>
        <v>Uruguay</v>
      </c>
      <c r="B26" t="s">
        <v>79</v>
      </c>
      <c r="C26">
        <v>0.90059</v>
      </c>
      <c r="D26">
        <f t="shared" si="1"/>
        <v>25660</v>
      </c>
      <c r="E26">
        <f t="shared" si="2"/>
        <v>3.5</v>
      </c>
      <c r="F26">
        <f t="shared" si="3"/>
        <v>0.94374000000000002</v>
      </c>
      <c r="H26" t="s">
        <v>50</v>
      </c>
      <c r="I26">
        <v>0.86299999999999999</v>
      </c>
      <c r="K26" t="s">
        <v>161</v>
      </c>
      <c r="L26">
        <v>0.88507000000000002</v>
      </c>
      <c r="N26" t="s">
        <v>43</v>
      </c>
      <c r="O26">
        <v>0.88424000000000003</v>
      </c>
      <c r="Q26" t="s">
        <v>80</v>
      </c>
      <c r="R26">
        <v>0.96389999999999998</v>
      </c>
      <c r="T26" t="s">
        <v>79</v>
      </c>
      <c r="U26" s="5">
        <v>25660</v>
      </c>
      <c r="V26">
        <v>3.5</v>
      </c>
      <c r="W26">
        <v>26</v>
      </c>
      <c r="X26">
        <v>0.34422110552763818</v>
      </c>
      <c r="Y26">
        <v>26</v>
      </c>
      <c r="Z26">
        <v>0.34422110552763818</v>
      </c>
    </row>
    <row r="27" spans="1:26" x14ac:dyDescent="0.2">
      <c r="A27" t="str">
        <f t="shared" si="0"/>
        <v>Switzerland</v>
      </c>
      <c r="B27" t="s">
        <v>81</v>
      </c>
      <c r="C27">
        <v>0.90034999999999998</v>
      </c>
      <c r="D27">
        <f t="shared" si="1"/>
        <v>74250</v>
      </c>
      <c r="E27">
        <f t="shared" si="2"/>
        <v>8.6999999999999993</v>
      </c>
      <c r="F27">
        <f t="shared" si="3"/>
        <v>0.95757000000000003</v>
      </c>
      <c r="H27" t="s">
        <v>82</v>
      </c>
      <c r="I27">
        <v>0.86299999999999999</v>
      </c>
      <c r="K27" t="s">
        <v>68</v>
      </c>
      <c r="L27">
        <v>0.88390000000000002</v>
      </c>
      <c r="N27" t="s">
        <v>75</v>
      </c>
      <c r="O27">
        <v>0.88046999999999997</v>
      </c>
      <c r="Q27" t="s">
        <v>68</v>
      </c>
      <c r="R27">
        <v>0.96309</v>
      </c>
      <c r="T27" t="s">
        <v>81</v>
      </c>
      <c r="U27" s="5">
        <v>74250</v>
      </c>
      <c r="V27">
        <v>8.6999999999999993</v>
      </c>
      <c r="W27">
        <v>27</v>
      </c>
      <c r="X27">
        <v>0.34798994974874375</v>
      </c>
      <c r="Y27">
        <v>27</v>
      </c>
      <c r="Z27">
        <v>0.34798994974874375</v>
      </c>
    </row>
    <row r="28" spans="1:26" x14ac:dyDescent="0.2">
      <c r="A28" t="str">
        <f t="shared" si="0"/>
        <v>Turkiye</v>
      </c>
      <c r="B28" t="s">
        <v>50</v>
      </c>
      <c r="C28">
        <v>0.89131000000000005</v>
      </c>
      <c r="D28">
        <f t="shared" si="1"/>
        <v>32730</v>
      </c>
      <c r="E28">
        <f t="shared" si="2"/>
        <v>85.3</v>
      </c>
      <c r="F28">
        <f t="shared" si="3"/>
        <v>0.83221000000000001</v>
      </c>
      <c r="H28" t="s">
        <v>40</v>
      </c>
      <c r="I28">
        <v>0.84930000000000005</v>
      </c>
      <c r="K28" t="s">
        <v>52</v>
      </c>
      <c r="L28">
        <v>0.88361000000000001</v>
      </c>
      <c r="N28" t="s">
        <v>82</v>
      </c>
      <c r="O28">
        <v>0.87487999999999999</v>
      </c>
      <c r="Q28" t="s">
        <v>64</v>
      </c>
      <c r="R28">
        <v>0.96052000000000004</v>
      </c>
      <c r="T28" t="s">
        <v>50</v>
      </c>
      <c r="U28" s="5">
        <v>32730</v>
      </c>
      <c r="V28">
        <v>85.3</v>
      </c>
      <c r="W28">
        <v>28</v>
      </c>
      <c r="X28">
        <v>0.35175879396984921</v>
      </c>
      <c r="Y28">
        <v>28</v>
      </c>
      <c r="Z28">
        <v>0.35175879396984921</v>
      </c>
    </row>
    <row r="29" spans="1:26" x14ac:dyDescent="0.2">
      <c r="A29" t="str">
        <f t="shared" si="0"/>
        <v/>
      </c>
      <c r="B29" t="s">
        <v>83</v>
      </c>
      <c r="C29">
        <v>0.88859999999999995</v>
      </c>
      <c r="D29">
        <f t="shared" si="1"/>
        <v>54910</v>
      </c>
      <c r="E29">
        <f t="shared" si="2"/>
        <v>0.5</v>
      </c>
      <c r="F29">
        <f t="shared" si="3"/>
        <v>0.97465999999999997</v>
      </c>
      <c r="H29" t="s">
        <v>84</v>
      </c>
      <c r="I29">
        <v>0.84930000000000005</v>
      </c>
      <c r="K29" t="s">
        <v>79</v>
      </c>
      <c r="L29">
        <v>0.88321000000000005</v>
      </c>
      <c r="N29" t="s">
        <v>62</v>
      </c>
      <c r="O29">
        <v>0.87390000000000001</v>
      </c>
      <c r="Q29" t="s">
        <v>101</v>
      </c>
      <c r="R29">
        <v>0.96033999999999997</v>
      </c>
      <c r="T29" t="s">
        <v>83</v>
      </c>
      <c r="U29" s="5">
        <v>54910</v>
      </c>
      <c r="V29">
        <v>0.5</v>
      </c>
      <c r="W29">
        <v>29</v>
      </c>
      <c r="X29">
        <v>0.35552763819095479</v>
      </c>
      <c r="Y29">
        <v>29</v>
      </c>
      <c r="Z29">
        <v>0.35552763819095479</v>
      </c>
    </row>
    <row r="30" spans="1:26" x14ac:dyDescent="0.2">
      <c r="A30" t="str">
        <f t="shared" si="0"/>
        <v>Latvia</v>
      </c>
      <c r="B30" t="s">
        <v>86</v>
      </c>
      <c r="C30">
        <v>0.88522000000000001</v>
      </c>
      <c r="D30">
        <f t="shared" si="1"/>
        <v>35230</v>
      </c>
      <c r="E30">
        <f t="shared" si="2"/>
        <v>1.8</v>
      </c>
      <c r="F30">
        <f t="shared" si="3"/>
        <v>0.96597</v>
      </c>
      <c r="H30" t="s">
        <v>78</v>
      </c>
      <c r="I30">
        <v>0.83560000000000001</v>
      </c>
      <c r="K30" t="s">
        <v>66</v>
      </c>
      <c r="L30">
        <v>0.87678</v>
      </c>
      <c r="N30" t="s">
        <v>58</v>
      </c>
      <c r="O30">
        <v>0.87248999999999999</v>
      </c>
      <c r="Q30" t="s">
        <v>60</v>
      </c>
      <c r="R30">
        <v>0.96031</v>
      </c>
      <c r="T30" t="s">
        <v>86</v>
      </c>
      <c r="U30" s="5">
        <v>35230</v>
      </c>
      <c r="V30">
        <v>1.8</v>
      </c>
      <c r="W30">
        <v>30</v>
      </c>
      <c r="X30">
        <v>0.3592964824120603</v>
      </c>
      <c r="Y30">
        <v>30</v>
      </c>
      <c r="Z30">
        <v>0.3592964824120603</v>
      </c>
    </row>
    <row r="31" spans="1:26" x14ac:dyDescent="0.2">
      <c r="A31" t="str">
        <f t="shared" si="0"/>
        <v>Ukraine</v>
      </c>
      <c r="B31" t="s">
        <v>13</v>
      </c>
      <c r="C31">
        <v>0.88407000000000002</v>
      </c>
      <c r="D31">
        <f t="shared" si="1"/>
        <v>14480</v>
      </c>
      <c r="E31">
        <f t="shared" si="2"/>
        <v>41.2</v>
      </c>
      <c r="F31">
        <f t="shared" si="3"/>
        <v>0.84277999999999997</v>
      </c>
      <c r="H31" t="s">
        <v>87</v>
      </c>
      <c r="I31">
        <v>0.83560000000000001</v>
      </c>
      <c r="K31" t="s">
        <v>83</v>
      </c>
      <c r="L31">
        <v>0.87492000000000003</v>
      </c>
      <c r="N31" t="s">
        <v>88</v>
      </c>
      <c r="O31">
        <v>0.87029999999999996</v>
      </c>
      <c r="Q31" t="s">
        <v>66</v>
      </c>
      <c r="R31">
        <v>0.95987</v>
      </c>
      <c r="T31" t="s">
        <v>13</v>
      </c>
      <c r="U31" s="5">
        <v>14480</v>
      </c>
      <c r="V31">
        <v>41.2</v>
      </c>
      <c r="W31">
        <v>31</v>
      </c>
      <c r="X31">
        <v>0.36306532663316582</v>
      </c>
      <c r="Y31">
        <v>31</v>
      </c>
      <c r="Z31">
        <v>0.36306532663316582</v>
      </c>
    </row>
    <row r="32" spans="1:26" x14ac:dyDescent="0.2">
      <c r="A32" t="str">
        <f t="shared" si="0"/>
        <v>Chile</v>
      </c>
      <c r="B32" t="s">
        <v>89</v>
      </c>
      <c r="C32">
        <v>0.88266</v>
      </c>
      <c r="D32">
        <f t="shared" si="1"/>
        <v>25670</v>
      </c>
      <c r="E32">
        <f t="shared" si="2"/>
        <v>19.5</v>
      </c>
      <c r="F32">
        <f t="shared" si="3"/>
        <v>0.94552999999999998</v>
      </c>
      <c r="H32" t="s">
        <v>77</v>
      </c>
      <c r="I32">
        <v>0.83560000000000001</v>
      </c>
      <c r="K32" t="s">
        <v>91</v>
      </c>
      <c r="L32">
        <v>0.87346999999999997</v>
      </c>
      <c r="N32" t="s">
        <v>90</v>
      </c>
      <c r="O32">
        <v>0.86980000000000002</v>
      </c>
      <c r="Q32" t="s">
        <v>81</v>
      </c>
      <c r="R32">
        <v>0.95757000000000003</v>
      </c>
      <c r="T32" t="s">
        <v>89</v>
      </c>
      <c r="U32" s="5">
        <v>25670</v>
      </c>
      <c r="V32">
        <v>19.5</v>
      </c>
      <c r="W32">
        <v>32</v>
      </c>
      <c r="X32">
        <v>0.36683417085427139</v>
      </c>
      <c r="Y32">
        <v>32</v>
      </c>
      <c r="Z32">
        <v>0.36683417085427139</v>
      </c>
    </row>
    <row r="33" spans="1:26" x14ac:dyDescent="0.2">
      <c r="A33" t="str">
        <f t="shared" si="0"/>
        <v>Croatia</v>
      </c>
      <c r="B33" t="s">
        <v>91</v>
      </c>
      <c r="C33">
        <v>0.88175000000000003</v>
      </c>
      <c r="D33">
        <f t="shared" si="1"/>
        <v>34740</v>
      </c>
      <c r="E33">
        <f t="shared" si="2"/>
        <v>3.9</v>
      </c>
      <c r="F33">
        <f t="shared" si="3"/>
        <v>0.91798999999999997</v>
      </c>
      <c r="H33" t="s">
        <v>71</v>
      </c>
      <c r="I33">
        <v>0.82189999999999996</v>
      </c>
      <c r="K33" t="s">
        <v>94</v>
      </c>
      <c r="L33">
        <v>0.86395999999999995</v>
      </c>
      <c r="N33" t="s">
        <v>42</v>
      </c>
      <c r="O33">
        <v>0.86804000000000003</v>
      </c>
      <c r="Q33" t="s">
        <v>93</v>
      </c>
      <c r="R33">
        <v>0.95118000000000003</v>
      </c>
      <c r="T33" t="s">
        <v>91</v>
      </c>
      <c r="U33" s="5">
        <v>34740</v>
      </c>
      <c r="V33">
        <v>3.9</v>
      </c>
      <c r="W33">
        <v>33</v>
      </c>
      <c r="X33">
        <v>0.37060301507537685</v>
      </c>
      <c r="Y33">
        <v>33</v>
      </c>
      <c r="Z33">
        <v>0.37060301507537685</v>
      </c>
    </row>
    <row r="34" spans="1:26" x14ac:dyDescent="0.2">
      <c r="A34" t="str">
        <f t="shared" si="0"/>
        <v>Slovenia</v>
      </c>
      <c r="B34" t="s">
        <v>94</v>
      </c>
      <c r="C34">
        <v>0.87588999999999995</v>
      </c>
      <c r="D34">
        <f t="shared" si="1"/>
        <v>43770</v>
      </c>
      <c r="E34">
        <f t="shared" si="2"/>
        <v>2.1</v>
      </c>
      <c r="F34">
        <f t="shared" si="3"/>
        <v>0.91071999999999997</v>
      </c>
      <c r="H34" t="s">
        <v>72</v>
      </c>
      <c r="I34">
        <v>0.80820000000000003</v>
      </c>
      <c r="K34" t="s">
        <v>89</v>
      </c>
      <c r="L34">
        <v>0.86119000000000001</v>
      </c>
      <c r="N34" t="s">
        <v>95</v>
      </c>
      <c r="O34">
        <v>0.86538999999999999</v>
      </c>
      <c r="Q34" s="6" t="s">
        <v>36</v>
      </c>
      <c r="R34" s="6">
        <v>0.95091999999999999</v>
      </c>
      <c r="T34" t="s">
        <v>94</v>
      </c>
      <c r="U34" s="5">
        <v>43770</v>
      </c>
      <c r="V34">
        <v>2.1</v>
      </c>
      <c r="W34">
        <v>34</v>
      </c>
      <c r="X34">
        <v>0.37437185929648242</v>
      </c>
      <c r="Y34">
        <v>34</v>
      </c>
      <c r="Z34">
        <v>0.37437185929648242</v>
      </c>
    </row>
    <row r="35" spans="1:26" x14ac:dyDescent="0.2">
      <c r="A35" t="str">
        <f t="shared" si="0"/>
        <v>France</v>
      </c>
      <c r="B35" t="s">
        <v>96</v>
      </c>
      <c r="C35">
        <v>0.87441999999999998</v>
      </c>
      <c r="D35">
        <f t="shared" si="1"/>
        <v>50660</v>
      </c>
      <c r="E35">
        <f t="shared" si="2"/>
        <v>67.8</v>
      </c>
      <c r="F35">
        <f t="shared" si="3"/>
        <v>0.92281000000000002</v>
      </c>
      <c r="H35" t="s">
        <v>96</v>
      </c>
      <c r="I35">
        <v>0.80820000000000003</v>
      </c>
      <c r="K35" t="s">
        <v>122</v>
      </c>
      <c r="L35">
        <v>0.85516000000000003</v>
      </c>
      <c r="N35" t="s">
        <v>96</v>
      </c>
      <c r="O35">
        <v>0.85645000000000004</v>
      </c>
      <c r="Q35" t="s">
        <v>49</v>
      </c>
      <c r="R35">
        <v>0.95091000000000003</v>
      </c>
      <c r="T35" t="s">
        <v>96</v>
      </c>
      <c r="U35" s="5">
        <v>50660</v>
      </c>
      <c r="V35">
        <v>67.8</v>
      </c>
      <c r="W35">
        <v>35</v>
      </c>
      <c r="X35">
        <v>0.37814070351758794</v>
      </c>
      <c r="Y35">
        <v>35</v>
      </c>
      <c r="Z35">
        <v>0.37814070351758794</v>
      </c>
    </row>
    <row r="36" spans="1:26" x14ac:dyDescent="0.2">
      <c r="A36" t="str">
        <f t="shared" si="0"/>
        <v>China</v>
      </c>
      <c r="B36" t="s">
        <v>97</v>
      </c>
      <c r="C36">
        <v>0.87183999999999995</v>
      </c>
      <c r="D36">
        <f t="shared" si="1"/>
        <v>18140</v>
      </c>
      <c r="E36">
        <f t="shared" si="2"/>
        <v>1412.2</v>
      </c>
      <c r="F36">
        <f t="shared" si="3"/>
        <v>0.89954000000000001</v>
      </c>
      <c r="H36" t="s">
        <v>98</v>
      </c>
      <c r="I36">
        <v>0.79449999999999998</v>
      </c>
      <c r="K36" t="s">
        <v>74</v>
      </c>
      <c r="L36">
        <v>0.85411999999999999</v>
      </c>
      <c r="N36" t="s">
        <v>84</v>
      </c>
      <c r="O36">
        <v>0.85609999999999997</v>
      </c>
      <c r="Q36" t="s">
        <v>233</v>
      </c>
      <c r="R36">
        <v>0.94911999999999996</v>
      </c>
      <c r="T36" t="s">
        <v>97</v>
      </c>
      <c r="U36" s="5">
        <v>18140</v>
      </c>
      <c r="V36" s="7">
        <v>1412.2</v>
      </c>
      <c r="W36">
        <v>36</v>
      </c>
      <c r="X36">
        <v>0.38190954773869346</v>
      </c>
      <c r="Y36">
        <v>36</v>
      </c>
      <c r="Z36">
        <v>0.38190954773869346</v>
      </c>
    </row>
    <row r="37" spans="1:26" x14ac:dyDescent="0.2">
      <c r="A37" t="str">
        <f t="shared" si="0"/>
        <v>Greece</v>
      </c>
      <c r="B37" t="s">
        <v>100</v>
      </c>
      <c r="C37">
        <v>0.86736999999999997</v>
      </c>
      <c r="D37">
        <f t="shared" si="1"/>
        <v>32160</v>
      </c>
      <c r="E37">
        <f t="shared" si="2"/>
        <v>10.4</v>
      </c>
      <c r="F37">
        <f t="shared" si="3"/>
        <v>0.86568000000000001</v>
      </c>
      <c r="H37" t="s">
        <v>48</v>
      </c>
      <c r="I37">
        <v>0.79449999999999998</v>
      </c>
      <c r="K37" t="s">
        <v>67</v>
      </c>
      <c r="L37">
        <v>0.85397000000000001</v>
      </c>
      <c r="N37" t="s">
        <v>61</v>
      </c>
      <c r="O37">
        <v>0.85375999999999996</v>
      </c>
      <c r="Q37" t="s">
        <v>89</v>
      </c>
      <c r="R37">
        <v>0.94552999999999998</v>
      </c>
      <c r="T37" t="s">
        <v>100</v>
      </c>
      <c r="U37" s="5">
        <v>32160</v>
      </c>
      <c r="V37">
        <v>10.4</v>
      </c>
      <c r="W37">
        <v>37</v>
      </c>
      <c r="X37">
        <v>0.38567839195979903</v>
      </c>
      <c r="Y37">
        <v>37</v>
      </c>
      <c r="Z37">
        <v>0.38567839195979903</v>
      </c>
    </row>
    <row r="38" spans="1:26" x14ac:dyDescent="0.2">
      <c r="A38" t="str">
        <f t="shared" si="0"/>
        <v>Poland</v>
      </c>
      <c r="B38" t="s">
        <v>101</v>
      </c>
      <c r="C38">
        <v>0.86480000000000001</v>
      </c>
      <c r="D38">
        <f t="shared" si="1"/>
        <v>37710</v>
      </c>
      <c r="E38">
        <f t="shared" si="2"/>
        <v>37.799999999999997</v>
      </c>
      <c r="F38">
        <f t="shared" si="3"/>
        <v>0.96033999999999997</v>
      </c>
      <c r="H38" t="s">
        <v>75</v>
      </c>
      <c r="I38">
        <v>0.78080000000000005</v>
      </c>
      <c r="K38" t="s">
        <v>96</v>
      </c>
      <c r="L38">
        <v>0.84399999999999997</v>
      </c>
      <c r="N38" t="s">
        <v>92</v>
      </c>
      <c r="O38">
        <v>0.85297999999999996</v>
      </c>
      <c r="Q38" t="s">
        <v>79</v>
      </c>
      <c r="R38">
        <v>0.94374000000000002</v>
      </c>
      <c r="T38" t="s">
        <v>101</v>
      </c>
      <c r="U38" s="5">
        <v>37710</v>
      </c>
      <c r="V38">
        <v>37.799999999999997</v>
      </c>
      <c r="W38">
        <v>38</v>
      </c>
      <c r="X38">
        <v>0.38944723618090449</v>
      </c>
      <c r="Y38">
        <v>38</v>
      </c>
      <c r="Z38">
        <v>0.38944723618090449</v>
      </c>
    </row>
    <row r="39" spans="1:26" x14ac:dyDescent="0.2">
      <c r="A39" t="str">
        <f t="shared" si="0"/>
        <v>Cyprus</v>
      </c>
      <c r="B39" t="s">
        <v>102</v>
      </c>
      <c r="C39">
        <v>0.86187000000000002</v>
      </c>
      <c r="D39">
        <f t="shared" si="1"/>
        <v>42230</v>
      </c>
      <c r="E39">
        <f t="shared" si="2"/>
        <v>1.2</v>
      </c>
      <c r="F39">
        <f t="shared" si="3"/>
        <v>0.89405999999999997</v>
      </c>
      <c r="H39" t="s">
        <v>103</v>
      </c>
      <c r="I39">
        <v>0.78080000000000005</v>
      </c>
      <c r="K39" t="s">
        <v>81</v>
      </c>
      <c r="L39">
        <v>0.84079999999999999</v>
      </c>
      <c r="N39" t="s">
        <v>104</v>
      </c>
      <c r="O39">
        <v>0.85082000000000002</v>
      </c>
      <c r="Q39" t="s">
        <v>135</v>
      </c>
      <c r="R39">
        <v>0.94101000000000001</v>
      </c>
      <c r="T39" t="s">
        <v>102</v>
      </c>
      <c r="U39" s="5">
        <v>42230</v>
      </c>
      <c r="V39">
        <v>1.2</v>
      </c>
      <c r="W39">
        <v>39</v>
      </c>
      <c r="X39">
        <v>0.39321608040201006</v>
      </c>
      <c r="Y39">
        <v>39</v>
      </c>
      <c r="Z39">
        <v>0.39321608040201006</v>
      </c>
    </row>
    <row r="40" spans="1:26" x14ac:dyDescent="0.2">
      <c r="A40" t="str">
        <f t="shared" si="0"/>
        <v>Serbia</v>
      </c>
      <c r="B40" t="s">
        <v>67</v>
      </c>
      <c r="C40">
        <v>0.86184000000000005</v>
      </c>
      <c r="D40">
        <f t="shared" si="1"/>
        <v>23170</v>
      </c>
      <c r="E40">
        <f t="shared" si="2"/>
        <v>6.7</v>
      </c>
      <c r="F40">
        <f t="shared" si="3"/>
        <v>0.92205999999999999</v>
      </c>
      <c r="H40" t="s">
        <v>56</v>
      </c>
      <c r="I40">
        <v>0.78080000000000005</v>
      </c>
      <c r="K40" t="s">
        <v>56</v>
      </c>
      <c r="L40">
        <v>0.83828999999999998</v>
      </c>
      <c r="N40" t="s">
        <v>106</v>
      </c>
      <c r="O40">
        <v>0.84416000000000002</v>
      </c>
      <c r="Q40" t="s">
        <v>119</v>
      </c>
      <c r="R40">
        <v>0.93740999999999997</v>
      </c>
      <c r="T40" t="s">
        <v>67</v>
      </c>
      <c r="U40" s="5">
        <v>23170</v>
      </c>
      <c r="V40">
        <v>6.7</v>
      </c>
      <c r="W40">
        <v>40</v>
      </c>
      <c r="X40">
        <v>0.39698492462311558</v>
      </c>
      <c r="Y40">
        <v>40</v>
      </c>
      <c r="Z40">
        <v>0.39698492462311558</v>
      </c>
    </row>
    <row r="41" spans="1:26" x14ac:dyDescent="0.2">
      <c r="A41" t="str">
        <f t="shared" si="0"/>
        <v>South Africa</v>
      </c>
      <c r="B41" t="s">
        <v>107</v>
      </c>
      <c r="C41">
        <v>0.86162000000000005</v>
      </c>
      <c r="D41">
        <f t="shared" si="1"/>
        <v>13360</v>
      </c>
      <c r="E41">
        <f t="shared" si="2"/>
        <v>60</v>
      </c>
      <c r="F41">
        <f t="shared" si="3"/>
        <v>0.89512000000000003</v>
      </c>
      <c r="H41" t="s">
        <v>92</v>
      </c>
      <c r="I41">
        <v>0.78080000000000005</v>
      </c>
      <c r="K41" t="s">
        <v>144</v>
      </c>
      <c r="L41">
        <v>0.8377</v>
      </c>
      <c r="N41" t="s">
        <v>109</v>
      </c>
      <c r="O41">
        <v>0.84262000000000004</v>
      </c>
      <c r="Q41" t="s">
        <v>46</v>
      </c>
      <c r="R41">
        <v>0.92359000000000002</v>
      </c>
      <c r="T41" t="s">
        <v>107</v>
      </c>
      <c r="U41" s="5">
        <v>13360</v>
      </c>
      <c r="V41">
        <v>60</v>
      </c>
      <c r="W41">
        <v>41</v>
      </c>
      <c r="X41">
        <v>0.40075376884422109</v>
      </c>
      <c r="Y41">
        <v>41</v>
      </c>
      <c r="Z41">
        <v>0.40075376884422109</v>
      </c>
    </row>
    <row r="42" spans="1:26" x14ac:dyDescent="0.2">
      <c r="A42" t="str">
        <f t="shared" si="0"/>
        <v>Oman</v>
      </c>
      <c r="B42" t="s">
        <v>110</v>
      </c>
      <c r="C42">
        <v>0.85758999999999996</v>
      </c>
      <c r="D42">
        <f t="shared" si="1"/>
        <v>39840</v>
      </c>
      <c r="E42">
        <f t="shared" si="2"/>
        <v>4.5</v>
      </c>
      <c r="F42">
        <f t="shared" si="3"/>
        <v>0.96738999999999997</v>
      </c>
      <c r="H42" t="s">
        <v>41</v>
      </c>
      <c r="I42">
        <v>0.78080000000000005</v>
      </c>
      <c r="K42" t="s">
        <v>119</v>
      </c>
      <c r="L42">
        <v>0.82218999999999998</v>
      </c>
      <c r="N42" t="s">
        <v>87</v>
      </c>
      <c r="O42">
        <v>0.84128999999999998</v>
      </c>
      <c r="Q42" t="s">
        <v>76</v>
      </c>
      <c r="R42">
        <v>0.92352999999999996</v>
      </c>
      <c r="T42" t="s">
        <v>110</v>
      </c>
      <c r="U42" s="5">
        <v>39840</v>
      </c>
      <c r="V42">
        <v>4.5</v>
      </c>
      <c r="W42">
        <v>42</v>
      </c>
      <c r="X42">
        <v>0.40452261306532666</v>
      </c>
      <c r="Y42">
        <v>42</v>
      </c>
      <c r="Z42">
        <v>0.40452261306532666</v>
      </c>
    </row>
    <row r="43" spans="1:26" x14ac:dyDescent="0.2">
      <c r="A43" t="str">
        <f t="shared" si="0"/>
        <v>Argentina</v>
      </c>
      <c r="B43" t="s">
        <v>111</v>
      </c>
      <c r="C43">
        <v>0.85733000000000004</v>
      </c>
      <c r="D43">
        <f t="shared" si="1"/>
        <v>22270</v>
      </c>
      <c r="E43">
        <f t="shared" si="2"/>
        <v>45.8</v>
      </c>
      <c r="F43">
        <f t="shared" si="3"/>
        <v>0.84253999999999996</v>
      </c>
      <c r="H43" t="s">
        <v>108</v>
      </c>
      <c r="I43">
        <v>0.75339999999999996</v>
      </c>
      <c r="K43" t="s">
        <v>102</v>
      </c>
      <c r="L43">
        <v>0.82164999999999999</v>
      </c>
      <c r="N43" t="s">
        <v>40</v>
      </c>
      <c r="O43">
        <v>0.84028999999999998</v>
      </c>
      <c r="Q43" t="s">
        <v>206</v>
      </c>
      <c r="R43">
        <v>0.92306999999999995</v>
      </c>
      <c r="T43" t="s">
        <v>111</v>
      </c>
      <c r="U43" s="5">
        <v>22270</v>
      </c>
      <c r="V43">
        <v>45.8</v>
      </c>
      <c r="W43">
        <v>43</v>
      </c>
      <c r="X43">
        <v>0.40829145728643212</v>
      </c>
      <c r="Y43">
        <v>43</v>
      </c>
      <c r="Z43">
        <v>0.40829145728643212</v>
      </c>
    </row>
    <row r="44" spans="1:26" x14ac:dyDescent="0.2">
      <c r="A44" t="str">
        <f t="shared" si="0"/>
        <v>Russia</v>
      </c>
      <c r="B44" t="s">
        <v>93</v>
      </c>
      <c r="C44">
        <v>0.85324999999999995</v>
      </c>
      <c r="D44">
        <f t="shared" si="1"/>
        <v>28710</v>
      </c>
      <c r="E44">
        <f t="shared" si="2"/>
        <v>143.6</v>
      </c>
      <c r="F44">
        <f t="shared" si="3"/>
        <v>0.95118000000000003</v>
      </c>
      <c r="H44" t="s">
        <v>85</v>
      </c>
      <c r="I44">
        <v>0.75339999999999996</v>
      </c>
      <c r="K44" t="s">
        <v>264</v>
      </c>
      <c r="L44">
        <v>0.82064999999999999</v>
      </c>
      <c r="N44" t="s">
        <v>114</v>
      </c>
      <c r="O44">
        <v>0.83887999999999996</v>
      </c>
      <c r="Q44" t="s">
        <v>115</v>
      </c>
      <c r="R44">
        <v>0.92291000000000001</v>
      </c>
      <c r="T44" t="s">
        <v>93</v>
      </c>
      <c r="U44" s="5">
        <v>28710</v>
      </c>
      <c r="V44">
        <v>143.6</v>
      </c>
      <c r="W44">
        <v>44</v>
      </c>
      <c r="X44">
        <v>0.4120603015075377</v>
      </c>
      <c r="Y44">
        <v>44</v>
      </c>
      <c r="Z44">
        <v>0.4120603015075377</v>
      </c>
    </row>
    <row r="45" spans="1:26" x14ac:dyDescent="0.2">
      <c r="A45" t="str">
        <f t="shared" si="0"/>
        <v/>
      </c>
      <c r="B45" t="s">
        <v>35</v>
      </c>
      <c r="C45">
        <v>0.85284000000000004</v>
      </c>
      <c r="E45">
        <f t="shared" si="2"/>
        <v>0.04</v>
      </c>
      <c r="F45">
        <f t="shared" si="3"/>
        <v>0.99063999999999997</v>
      </c>
      <c r="H45" t="s">
        <v>105</v>
      </c>
      <c r="I45">
        <v>0.75339999999999996</v>
      </c>
      <c r="K45" t="s">
        <v>222</v>
      </c>
      <c r="L45">
        <v>0.81842000000000004</v>
      </c>
      <c r="N45" t="s">
        <v>117</v>
      </c>
      <c r="O45">
        <v>0.83194000000000001</v>
      </c>
      <c r="Q45" t="s">
        <v>96</v>
      </c>
      <c r="R45">
        <v>0.92281000000000002</v>
      </c>
      <c r="T45" t="s">
        <v>35</v>
      </c>
      <c r="U45" s="8" t="s">
        <v>118</v>
      </c>
      <c r="V45">
        <v>0.04</v>
      </c>
      <c r="W45">
        <v>45</v>
      </c>
      <c r="X45">
        <v>0.41582914572864321</v>
      </c>
      <c r="Y45">
        <v>45</v>
      </c>
      <c r="Z45">
        <v>0.41582914572864321</v>
      </c>
    </row>
    <row r="46" spans="1:26" x14ac:dyDescent="0.2">
      <c r="A46" t="str">
        <f t="shared" si="0"/>
        <v/>
      </c>
      <c r="B46" t="s">
        <v>37</v>
      </c>
      <c r="C46">
        <v>0.84658</v>
      </c>
      <c r="D46">
        <f t="shared" si="1"/>
        <v>82230</v>
      </c>
      <c r="E46">
        <f t="shared" si="2"/>
        <v>0.6</v>
      </c>
      <c r="F46">
        <f t="shared" si="3"/>
        <v>0.98875999999999997</v>
      </c>
      <c r="H46" t="s">
        <v>113</v>
      </c>
      <c r="I46">
        <v>0.75339999999999996</v>
      </c>
      <c r="K46" t="s">
        <v>100</v>
      </c>
      <c r="L46">
        <v>0.81452999999999998</v>
      </c>
      <c r="N46" t="s">
        <v>85</v>
      </c>
      <c r="O46">
        <v>0.83038999999999996</v>
      </c>
      <c r="Q46" t="s">
        <v>67</v>
      </c>
      <c r="R46">
        <v>0.92205999999999999</v>
      </c>
      <c r="T46" t="s">
        <v>37</v>
      </c>
      <c r="U46" s="5">
        <v>82230</v>
      </c>
      <c r="V46">
        <v>0.6</v>
      </c>
      <c r="W46">
        <v>46</v>
      </c>
      <c r="X46">
        <v>0.41959798994974873</v>
      </c>
      <c r="Y46">
        <v>46</v>
      </c>
      <c r="Z46">
        <v>0.41959798994974873</v>
      </c>
    </row>
    <row r="47" spans="1:26" x14ac:dyDescent="0.2">
      <c r="A47" t="str">
        <f t="shared" si="0"/>
        <v>Mongolia</v>
      </c>
      <c r="B47" t="s">
        <v>119</v>
      </c>
      <c r="C47">
        <v>0.84569000000000005</v>
      </c>
      <c r="D47">
        <f t="shared" si="1"/>
        <v>13350</v>
      </c>
      <c r="E47">
        <f t="shared" si="2"/>
        <v>3.4</v>
      </c>
      <c r="F47">
        <f t="shared" si="3"/>
        <v>0.93740999999999997</v>
      </c>
      <c r="H47" t="s">
        <v>65</v>
      </c>
      <c r="I47">
        <v>0.73970000000000002</v>
      </c>
      <c r="K47" t="s">
        <v>151</v>
      </c>
      <c r="L47">
        <v>0.81440999999999997</v>
      </c>
      <c r="N47" t="s">
        <v>35</v>
      </c>
      <c r="O47">
        <v>0.82630999999999999</v>
      </c>
      <c r="Q47" t="s">
        <v>121</v>
      </c>
      <c r="R47">
        <v>0.92042999999999997</v>
      </c>
      <c r="T47" t="s">
        <v>119</v>
      </c>
      <c r="U47" s="5">
        <v>13350</v>
      </c>
      <c r="V47">
        <v>3.4</v>
      </c>
      <c r="W47">
        <v>47</v>
      </c>
      <c r="X47">
        <v>0.4233668341708543</v>
      </c>
      <c r="Y47">
        <v>47</v>
      </c>
      <c r="Z47">
        <v>0.4233668341708543</v>
      </c>
    </row>
    <row r="48" spans="1:26" x14ac:dyDescent="0.2">
      <c r="A48" t="str">
        <f t="shared" si="0"/>
        <v>Canada</v>
      </c>
      <c r="B48" t="s">
        <v>122</v>
      </c>
      <c r="C48">
        <v>0.84516000000000002</v>
      </c>
      <c r="D48">
        <f t="shared" si="1"/>
        <v>55970</v>
      </c>
      <c r="E48">
        <f t="shared" si="2"/>
        <v>38.200000000000003</v>
      </c>
      <c r="F48">
        <f t="shared" si="3"/>
        <v>0.80781999999999998</v>
      </c>
      <c r="H48" t="s">
        <v>123</v>
      </c>
      <c r="I48">
        <v>0.73970000000000002</v>
      </c>
      <c r="K48" t="s">
        <v>86</v>
      </c>
      <c r="L48">
        <v>0.80915000000000004</v>
      </c>
      <c r="N48" t="s">
        <v>13</v>
      </c>
      <c r="O48">
        <v>0.82401999999999997</v>
      </c>
      <c r="Q48" t="s">
        <v>91</v>
      </c>
      <c r="R48">
        <v>0.91798999999999997</v>
      </c>
      <c r="T48" t="s">
        <v>122</v>
      </c>
      <c r="U48" s="5">
        <v>55970</v>
      </c>
      <c r="V48">
        <v>38.200000000000003</v>
      </c>
      <c r="W48">
        <v>48</v>
      </c>
      <c r="X48">
        <v>0.42713567839195976</v>
      </c>
      <c r="Y48">
        <v>48</v>
      </c>
      <c r="Z48">
        <v>0.42713567839195976</v>
      </c>
    </row>
    <row r="49" spans="1:26" x14ac:dyDescent="0.2">
      <c r="A49" t="str">
        <f t="shared" si="0"/>
        <v>Armenia</v>
      </c>
      <c r="B49" t="s">
        <v>124</v>
      </c>
      <c r="C49">
        <v>0.84216999999999997</v>
      </c>
      <c r="D49">
        <f t="shared" si="1"/>
        <v>16950</v>
      </c>
      <c r="E49">
        <f t="shared" si="2"/>
        <v>2.8</v>
      </c>
      <c r="F49">
        <f t="shared" si="3"/>
        <v>0.87824000000000002</v>
      </c>
      <c r="H49" t="s">
        <v>125</v>
      </c>
      <c r="I49">
        <v>0.73970000000000002</v>
      </c>
      <c r="K49" t="s">
        <v>110</v>
      </c>
      <c r="L49">
        <v>0.80774000000000001</v>
      </c>
      <c r="N49" t="s">
        <v>65</v>
      </c>
      <c r="O49">
        <v>0.81620000000000004</v>
      </c>
      <c r="Q49" t="s">
        <v>193</v>
      </c>
      <c r="R49">
        <v>0.91710999999999998</v>
      </c>
      <c r="T49" t="s">
        <v>124</v>
      </c>
      <c r="U49" s="5">
        <v>16950</v>
      </c>
      <c r="V49">
        <v>2.8</v>
      </c>
      <c r="W49">
        <v>49</v>
      </c>
      <c r="X49">
        <v>0.43090452261306533</v>
      </c>
      <c r="Y49">
        <v>49</v>
      </c>
      <c r="Z49">
        <v>0.43090452261306533</v>
      </c>
    </row>
    <row r="50" spans="1:26" x14ac:dyDescent="0.2">
      <c r="A50" t="str">
        <f t="shared" si="0"/>
        <v>Portugal</v>
      </c>
      <c r="B50" t="s">
        <v>127</v>
      </c>
      <c r="C50">
        <v>0.84153</v>
      </c>
      <c r="D50">
        <f t="shared" si="1"/>
        <v>38730</v>
      </c>
      <c r="E50">
        <f t="shared" si="2"/>
        <v>10.3</v>
      </c>
      <c r="F50">
        <f t="shared" si="3"/>
        <v>0.89790999999999999</v>
      </c>
      <c r="H50" t="s">
        <v>120</v>
      </c>
      <c r="I50">
        <v>0.72599999999999998</v>
      </c>
      <c r="K50" t="s">
        <v>175</v>
      </c>
      <c r="L50">
        <v>0.80542999999999998</v>
      </c>
      <c r="N50" t="s">
        <v>120</v>
      </c>
      <c r="O50">
        <v>0.81059000000000003</v>
      </c>
      <c r="Q50" t="s">
        <v>139</v>
      </c>
      <c r="R50">
        <v>0.91707000000000005</v>
      </c>
      <c r="T50" t="s">
        <v>127</v>
      </c>
      <c r="U50" s="5">
        <v>38730</v>
      </c>
      <c r="V50">
        <v>10.3</v>
      </c>
      <c r="W50">
        <v>50</v>
      </c>
      <c r="X50">
        <v>0.43467336683417085</v>
      </c>
      <c r="Y50">
        <v>50</v>
      </c>
      <c r="Z50">
        <v>0.43467336683417085</v>
      </c>
    </row>
    <row r="51" spans="1:26" x14ac:dyDescent="0.2">
      <c r="A51" t="str">
        <f t="shared" si="0"/>
        <v>Brazil</v>
      </c>
      <c r="B51" t="s">
        <v>130</v>
      </c>
      <c r="C51">
        <v>0.84026000000000001</v>
      </c>
      <c r="D51">
        <f t="shared" si="1"/>
        <v>15600</v>
      </c>
      <c r="E51">
        <f t="shared" si="2"/>
        <v>215.3</v>
      </c>
      <c r="F51">
        <f t="shared" si="3"/>
        <v>0.80684999999999996</v>
      </c>
      <c r="H51" t="s">
        <v>128</v>
      </c>
      <c r="I51">
        <v>0.72599999999999998</v>
      </c>
      <c r="K51" t="s">
        <v>101</v>
      </c>
      <c r="L51">
        <v>0.80371000000000004</v>
      </c>
      <c r="N51" t="s">
        <v>67</v>
      </c>
      <c r="O51">
        <v>0.80940999999999996</v>
      </c>
      <c r="Q51" t="s">
        <v>181</v>
      </c>
      <c r="R51">
        <v>0.91586000000000001</v>
      </c>
      <c r="T51" t="s">
        <v>130</v>
      </c>
      <c r="U51" s="5">
        <v>15600</v>
      </c>
      <c r="V51">
        <v>215.3</v>
      </c>
      <c r="W51">
        <v>51</v>
      </c>
      <c r="X51">
        <v>0.43844221105527637</v>
      </c>
      <c r="Y51">
        <v>51</v>
      </c>
      <c r="Z51">
        <v>0.43844221105527637</v>
      </c>
    </row>
    <row r="52" spans="1:26" x14ac:dyDescent="0.2">
      <c r="A52" t="str">
        <f t="shared" si="0"/>
        <v>Italy</v>
      </c>
      <c r="B52" t="s">
        <v>132</v>
      </c>
      <c r="C52">
        <v>0.83557000000000003</v>
      </c>
      <c r="D52">
        <f t="shared" si="1"/>
        <v>47190</v>
      </c>
      <c r="E52">
        <f t="shared" si="2"/>
        <v>59</v>
      </c>
      <c r="F52">
        <f t="shared" si="3"/>
        <v>0.90166999999999997</v>
      </c>
      <c r="H52" t="s">
        <v>133</v>
      </c>
      <c r="I52">
        <v>0.72599999999999998</v>
      </c>
      <c r="K52" t="s">
        <v>156</v>
      </c>
      <c r="L52">
        <v>0.80345999999999995</v>
      </c>
      <c r="N52" t="s">
        <v>70</v>
      </c>
      <c r="O52">
        <v>0.80767999999999995</v>
      </c>
      <c r="Q52" t="s">
        <v>185</v>
      </c>
      <c r="R52">
        <v>0.91561000000000003</v>
      </c>
      <c r="T52" t="s">
        <v>132</v>
      </c>
      <c r="U52" s="5">
        <v>47190</v>
      </c>
      <c r="V52">
        <v>59</v>
      </c>
      <c r="W52">
        <v>52</v>
      </c>
      <c r="X52">
        <v>0.44221105527638194</v>
      </c>
      <c r="Y52">
        <v>52</v>
      </c>
      <c r="Z52">
        <v>0.44221105527638194</v>
      </c>
    </row>
    <row r="53" spans="1:26" x14ac:dyDescent="0.2">
      <c r="A53" t="str">
        <f t="shared" si="0"/>
        <v>Thailand</v>
      </c>
      <c r="B53" t="s">
        <v>135</v>
      </c>
      <c r="C53">
        <v>0.83509999999999995</v>
      </c>
      <c r="D53">
        <f t="shared" si="1"/>
        <v>19110</v>
      </c>
      <c r="E53">
        <f t="shared" si="2"/>
        <v>71.7</v>
      </c>
      <c r="F53">
        <f t="shared" si="3"/>
        <v>0.94101000000000001</v>
      </c>
      <c r="H53" t="s">
        <v>136</v>
      </c>
      <c r="I53">
        <v>0.72599999999999998</v>
      </c>
      <c r="K53" t="s">
        <v>111</v>
      </c>
      <c r="L53">
        <v>0.79649000000000003</v>
      </c>
      <c r="N53" t="s">
        <v>105</v>
      </c>
      <c r="O53">
        <v>0.80320000000000003</v>
      </c>
      <c r="Q53" t="s">
        <v>94</v>
      </c>
      <c r="R53">
        <v>0.91071999999999997</v>
      </c>
      <c r="T53" t="s">
        <v>135</v>
      </c>
      <c r="U53" s="5">
        <v>19110</v>
      </c>
      <c r="V53">
        <v>71.7</v>
      </c>
      <c r="W53">
        <v>53</v>
      </c>
      <c r="X53">
        <v>0.44597989949748745</v>
      </c>
      <c r="Y53">
        <v>53</v>
      </c>
      <c r="Z53">
        <v>0.44597989949748745</v>
      </c>
    </row>
    <row r="54" spans="1:26" x14ac:dyDescent="0.2">
      <c r="A54" t="str">
        <f t="shared" si="0"/>
        <v>Qatar</v>
      </c>
      <c r="B54" t="s">
        <v>137</v>
      </c>
      <c r="C54">
        <v>0.82438</v>
      </c>
      <c r="D54">
        <f t="shared" si="1"/>
        <v>88070</v>
      </c>
      <c r="E54">
        <f t="shared" si="2"/>
        <v>2.9</v>
      </c>
      <c r="F54">
        <f t="shared" si="3"/>
        <v>0.99634</v>
      </c>
      <c r="H54" t="s">
        <v>62</v>
      </c>
      <c r="I54">
        <v>0.6986</v>
      </c>
      <c r="K54" t="s">
        <v>124</v>
      </c>
      <c r="L54">
        <v>0.79220000000000002</v>
      </c>
      <c r="N54" t="s">
        <v>77</v>
      </c>
      <c r="O54">
        <v>0.80257000000000001</v>
      </c>
      <c r="Q54" t="s">
        <v>95</v>
      </c>
      <c r="R54">
        <v>0.90712999999999999</v>
      </c>
      <c r="T54" t="s">
        <v>137</v>
      </c>
      <c r="U54" s="5">
        <v>88070</v>
      </c>
      <c r="V54">
        <v>2.9</v>
      </c>
      <c r="W54">
        <v>54</v>
      </c>
      <c r="X54">
        <v>0.44974874371859297</v>
      </c>
      <c r="Y54">
        <v>54</v>
      </c>
      <c r="Z54">
        <v>0.44974874371859297</v>
      </c>
    </row>
    <row r="55" spans="1:26" x14ac:dyDescent="0.2">
      <c r="A55" t="str">
        <f t="shared" si="0"/>
        <v>Czechia</v>
      </c>
      <c r="B55" t="s">
        <v>121</v>
      </c>
      <c r="C55">
        <v>0.82394000000000001</v>
      </c>
      <c r="D55">
        <f t="shared" si="1"/>
        <v>45130</v>
      </c>
      <c r="E55">
        <f t="shared" si="2"/>
        <v>10.7</v>
      </c>
      <c r="F55">
        <f t="shared" si="3"/>
        <v>0.92042999999999997</v>
      </c>
      <c r="H55" t="s">
        <v>51</v>
      </c>
      <c r="I55">
        <v>0.6986</v>
      </c>
      <c r="K55" t="s">
        <v>127</v>
      </c>
      <c r="L55">
        <v>0.78774999999999995</v>
      </c>
      <c r="N55" t="s">
        <v>138</v>
      </c>
      <c r="O55">
        <v>0.79823</v>
      </c>
      <c r="Q55" t="s">
        <v>132</v>
      </c>
      <c r="R55">
        <v>0.90166999999999997</v>
      </c>
      <c r="T55" t="s">
        <v>121</v>
      </c>
      <c r="U55" s="5">
        <v>45130</v>
      </c>
      <c r="V55">
        <v>10.7</v>
      </c>
      <c r="W55">
        <v>55</v>
      </c>
      <c r="X55">
        <v>0.45351758793969849</v>
      </c>
      <c r="Y55">
        <v>55</v>
      </c>
      <c r="Z55">
        <v>0.45351758793969849</v>
      </c>
    </row>
    <row r="56" spans="1:26" x14ac:dyDescent="0.2">
      <c r="A56" t="str">
        <f t="shared" si="0"/>
        <v>Bulgaria</v>
      </c>
      <c r="B56" t="s">
        <v>139</v>
      </c>
      <c r="C56">
        <v>0.81452999999999998</v>
      </c>
      <c r="D56">
        <f t="shared" si="1"/>
        <v>27800</v>
      </c>
      <c r="E56">
        <f t="shared" si="2"/>
        <v>6.5</v>
      </c>
      <c r="F56">
        <f t="shared" si="3"/>
        <v>0.91707000000000005</v>
      </c>
      <c r="H56" t="s">
        <v>90</v>
      </c>
      <c r="I56">
        <v>0.6986</v>
      </c>
      <c r="K56" t="s">
        <v>249</v>
      </c>
      <c r="L56">
        <v>0.77703999999999995</v>
      </c>
      <c r="N56" t="s">
        <v>73</v>
      </c>
      <c r="O56">
        <v>0.79766999999999999</v>
      </c>
      <c r="Q56" t="s">
        <v>97</v>
      </c>
      <c r="R56">
        <v>0.89954000000000001</v>
      </c>
      <c r="T56" t="s">
        <v>139</v>
      </c>
      <c r="U56" s="5">
        <v>27800</v>
      </c>
      <c r="V56">
        <v>6.5</v>
      </c>
      <c r="W56">
        <v>56</v>
      </c>
      <c r="X56">
        <v>0.457286432160804</v>
      </c>
      <c r="Y56">
        <v>56</v>
      </c>
      <c r="Z56">
        <v>0.457286432160804</v>
      </c>
    </row>
    <row r="57" spans="1:26" x14ac:dyDescent="0.2">
      <c r="A57" t="str">
        <f t="shared" si="0"/>
        <v>Belgium</v>
      </c>
      <c r="B57" t="s">
        <v>141</v>
      </c>
      <c r="C57">
        <v>0.81211999999999995</v>
      </c>
      <c r="D57">
        <f t="shared" si="1"/>
        <v>54640</v>
      </c>
      <c r="E57">
        <f t="shared" si="2"/>
        <v>11.7</v>
      </c>
      <c r="F57">
        <f t="shared" si="3"/>
        <v>0.86983999999999995</v>
      </c>
      <c r="H57" t="s">
        <v>142</v>
      </c>
      <c r="I57">
        <v>0.6986</v>
      </c>
      <c r="K57" t="s">
        <v>93</v>
      </c>
      <c r="L57">
        <v>0.77659999999999996</v>
      </c>
      <c r="N57" t="s">
        <v>37</v>
      </c>
      <c r="O57">
        <v>0.79547999999999996</v>
      </c>
      <c r="Q57" t="s">
        <v>143</v>
      </c>
      <c r="R57">
        <v>0.89868999999999999</v>
      </c>
      <c r="T57" t="s">
        <v>141</v>
      </c>
      <c r="U57" s="5">
        <v>54640</v>
      </c>
      <c r="V57">
        <v>11.7</v>
      </c>
      <c r="W57">
        <v>57</v>
      </c>
      <c r="X57">
        <v>0.46105527638190957</v>
      </c>
      <c r="Y57">
        <v>57</v>
      </c>
      <c r="Z57">
        <v>0.46105527638190957</v>
      </c>
    </row>
    <row r="58" spans="1:26" x14ac:dyDescent="0.2">
      <c r="A58" t="str">
        <f t="shared" si="0"/>
        <v>Malaysia</v>
      </c>
      <c r="B58" t="s">
        <v>51</v>
      </c>
      <c r="C58">
        <v>0.81113999999999997</v>
      </c>
      <c r="D58">
        <f t="shared" si="1"/>
        <v>28650</v>
      </c>
      <c r="E58">
        <f t="shared" si="2"/>
        <v>33.6</v>
      </c>
      <c r="F58">
        <f t="shared" si="3"/>
        <v>0.98617999999999995</v>
      </c>
      <c r="H58" t="s">
        <v>138</v>
      </c>
      <c r="I58">
        <v>0.6986</v>
      </c>
      <c r="K58" t="s">
        <v>139</v>
      </c>
      <c r="L58">
        <v>0.77271000000000001</v>
      </c>
      <c r="N58" t="s">
        <v>44</v>
      </c>
      <c r="O58">
        <v>0.79022999999999999</v>
      </c>
      <c r="Q58" t="s">
        <v>148</v>
      </c>
      <c r="R58">
        <v>0.89851000000000003</v>
      </c>
      <c r="T58" t="s">
        <v>51</v>
      </c>
      <c r="U58" s="5">
        <v>28650</v>
      </c>
      <c r="V58">
        <v>33.6</v>
      </c>
      <c r="W58">
        <v>58</v>
      </c>
      <c r="X58">
        <v>0.46482412060301509</v>
      </c>
      <c r="Y58">
        <v>58</v>
      </c>
      <c r="Z58">
        <v>0.46482412060301509</v>
      </c>
    </row>
    <row r="59" spans="1:26" x14ac:dyDescent="0.2">
      <c r="A59" t="str">
        <f t="shared" si="0"/>
        <v>Peru</v>
      </c>
      <c r="B59" t="s">
        <v>144</v>
      </c>
      <c r="C59">
        <v>0.80700000000000005</v>
      </c>
      <c r="D59">
        <f t="shared" si="1"/>
        <v>12480</v>
      </c>
      <c r="E59">
        <f t="shared" si="2"/>
        <v>33.700000000000003</v>
      </c>
      <c r="F59">
        <f t="shared" si="3"/>
        <v>0.83638000000000001</v>
      </c>
      <c r="H59" t="s">
        <v>145</v>
      </c>
      <c r="I59">
        <v>0.68489999999999995</v>
      </c>
      <c r="K59" t="s">
        <v>137</v>
      </c>
      <c r="L59">
        <v>0.76549</v>
      </c>
      <c r="N59" t="s">
        <v>136</v>
      </c>
      <c r="O59">
        <v>0.78766000000000003</v>
      </c>
      <c r="Q59" t="s">
        <v>127</v>
      </c>
      <c r="R59">
        <v>0.89790999999999999</v>
      </c>
      <c r="T59" t="s">
        <v>144</v>
      </c>
      <c r="U59" s="5">
        <v>12480</v>
      </c>
      <c r="V59">
        <v>33.700000000000003</v>
      </c>
      <c r="W59">
        <v>59</v>
      </c>
      <c r="X59">
        <v>0.46859296482412061</v>
      </c>
      <c r="Y59">
        <v>59</v>
      </c>
      <c r="Z59">
        <v>0.46859296482412061</v>
      </c>
    </row>
    <row r="60" spans="1:26" x14ac:dyDescent="0.2">
      <c r="A60" t="str">
        <f t="shared" si="0"/>
        <v>Hungary</v>
      </c>
      <c r="B60" t="s">
        <v>146</v>
      </c>
      <c r="C60">
        <v>0.80430000000000001</v>
      </c>
      <c r="D60">
        <f t="shared" si="1"/>
        <v>35540</v>
      </c>
      <c r="E60">
        <f t="shared" si="2"/>
        <v>9.6</v>
      </c>
      <c r="F60">
        <f t="shared" si="3"/>
        <v>0.82821</v>
      </c>
      <c r="H60" t="s">
        <v>129</v>
      </c>
      <c r="I60">
        <v>0.67120000000000002</v>
      </c>
      <c r="K60" t="s">
        <v>152</v>
      </c>
      <c r="L60">
        <v>0.76483999999999996</v>
      </c>
      <c r="N60" t="s">
        <v>147</v>
      </c>
      <c r="O60">
        <v>0.78449999999999998</v>
      </c>
      <c r="Q60" t="s">
        <v>107</v>
      </c>
      <c r="R60">
        <v>0.89512000000000003</v>
      </c>
      <c r="T60" t="s">
        <v>146</v>
      </c>
      <c r="U60" s="5">
        <v>35540</v>
      </c>
      <c r="V60">
        <v>9.6</v>
      </c>
      <c r="W60">
        <v>60</v>
      </c>
      <c r="X60">
        <v>0.47236180904522612</v>
      </c>
      <c r="Y60">
        <v>60</v>
      </c>
      <c r="Z60">
        <v>0.47236180904522612</v>
      </c>
    </row>
    <row r="61" spans="1:26" x14ac:dyDescent="0.2">
      <c r="A61" t="str">
        <f t="shared" si="0"/>
        <v>Slovakia</v>
      </c>
      <c r="B61" t="s">
        <v>148</v>
      </c>
      <c r="C61">
        <v>0.80213999999999996</v>
      </c>
      <c r="D61">
        <f t="shared" si="1"/>
        <v>38540</v>
      </c>
      <c r="E61">
        <f t="shared" si="2"/>
        <v>5.4</v>
      </c>
      <c r="F61">
        <f t="shared" si="3"/>
        <v>0.89851000000000003</v>
      </c>
      <c r="H61" t="s">
        <v>53</v>
      </c>
      <c r="I61">
        <v>0.67120000000000002</v>
      </c>
      <c r="K61" t="s">
        <v>158</v>
      </c>
      <c r="L61">
        <v>0.76366000000000001</v>
      </c>
      <c r="N61" t="s">
        <v>149</v>
      </c>
      <c r="O61">
        <v>0.78356000000000003</v>
      </c>
      <c r="Q61" t="s">
        <v>102</v>
      </c>
      <c r="R61">
        <v>0.89405999999999997</v>
      </c>
      <c r="T61" t="s">
        <v>148</v>
      </c>
      <c r="U61" s="5">
        <v>38540</v>
      </c>
      <c r="V61">
        <v>5.4</v>
      </c>
      <c r="W61">
        <v>61</v>
      </c>
      <c r="X61">
        <v>0.47613065326633164</v>
      </c>
      <c r="Y61">
        <v>61</v>
      </c>
      <c r="Z61">
        <v>0.47613065326633164</v>
      </c>
    </row>
    <row r="62" spans="1:26" x14ac:dyDescent="0.2">
      <c r="A62" t="str">
        <f t="shared" si="0"/>
        <v>Costa Rica</v>
      </c>
      <c r="B62" t="s">
        <v>150</v>
      </c>
      <c r="C62">
        <v>0.80088999999999999</v>
      </c>
      <c r="D62">
        <f t="shared" si="1"/>
        <v>23340</v>
      </c>
      <c r="E62">
        <f t="shared" si="2"/>
        <v>5.2</v>
      </c>
      <c r="F62">
        <f t="shared" si="3"/>
        <v>0.89327000000000001</v>
      </c>
      <c r="H62" t="s">
        <v>109</v>
      </c>
      <c r="I62">
        <v>0.65749999999999997</v>
      </c>
      <c r="K62" t="s">
        <v>132</v>
      </c>
      <c r="L62">
        <v>0.76239000000000001</v>
      </c>
      <c r="N62" t="s">
        <v>125</v>
      </c>
      <c r="O62">
        <v>0.77930999999999995</v>
      </c>
      <c r="Q62" t="s">
        <v>150</v>
      </c>
      <c r="R62">
        <v>0.89327000000000001</v>
      </c>
      <c r="T62" t="s">
        <v>150</v>
      </c>
      <c r="U62" s="5">
        <v>23340</v>
      </c>
      <c r="V62">
        <v>5.2</v>
      </c>
      <c r="W62">
        <v>62</v>
      </c>
      <c r="X62">
        <v>0.47989949748743721</v>
      </c>
      <c r="Y62">
        <v>62</v>
      </c>
      <c r="Z62">
        <v>0.47989949748743721</v>
      </c>
    </row>
    <row r="63" spans="1:26" x14ac:dyDescent="0.2">
      <c r="A63" t="str">
        <f t="shared" si="0"/>
        <v>Albania</v>
      </c>
      <c r="B63" t="s">
        <v>151</v>
      </c>
      <c r="C63">
        <v>0.8</v>
      </c>
      <c r="D63">
        <f t="shared" si="1"/>
        <v>16000</v>
      </c>
      <c r="E63">
        <f t="shared" si="2"/>
        <v>2.8</v>
      </c>
      <c r="F63">
        <f t="shared" si="3"/>
        <v>0.77497000000000005</v>
      </c>
      <c r="H63" t="s">
        <v>35</v>
      </c>
      <c r="I63">
        <v>0.65749999999999997</v>
      </c>
      <c r="K63" t="s">
        <v>135</v>
      </c>
      <c r="L63">
        <v>0.76105</v>
      </c>
      <c r="N63" t="s">
        <v>133</v>
      </c>
      <c r="O63">
        <v>0.77764</v>
      </c>
      <c r="Q63" t="s">
        <v>172</v>
      </c>
      <c r="R63">
        <v>0.89224000000000003</v>
      </c>
      <c r="T63" t="s">
        <v>151</v>
      </c>
      <c r="U63" s="5">
        <v>16000</v>
      </c>
      <c r="V63">
        <v>2.8</v>
      </c>
      <c r="W63">
        <v>63</v>
      </c>
      <c r="X63">
        <v>0.48366834170854273</v>
      </c>
      <c r="Y63">
        <v>63</v>
      </c>
      <c r="Z63">
        <v>0.48366834170854273</v>
      </c>
    </row>
    <row r="64" spans="1:26" x14ac:dyDescent="0.2">
      <c r="A64" t="str">
        <f t="shared" si="0"/>
        <v>Uzbekistan</v>
      </c>
      <c r="B64" t="s">
        <v>152</v>
      </c>
      <c r="C64">
        <v>0.79990000000000006</v>
      </c>
      <c r="D64">
        <f t="shared" si="1"/>
        <v>9470</v>
      </c>
      <c r="E64">
        <f t="shared" si="2"/>
        <v>35.299999999999997</v>
      </c>
      <c r="F64">
        <f t="shared" si="3"/>
        <v>0.87687000000000004</v>
      </c>
      <c r="H64" t="s">
        <v>153</v>
      </c>
      <c r="I64">
        <v>0.65749999999999997</v>
      </c>
      <c r="K64" t="s">
        <v>209</v>
      </c>
      <c r="L64">
        <v>0.75905</v>
      </c>
      <c r="N64" t="s">
        <v>103</v>
      </c>
      <c r="O64">
        <v>0.77747999999999995</v>
      </c>
      <c r="Q64" t="s">
        <v>214</v>
      </c>
      <c r="R64">
        <v>0.89126000000000005</v>
      </c>
      <c r="T64" t="s">
        <v>152</v>
      </c>
      <c r="U64" s="5">
        <v>9470</v>
      </c>
      <c r="V64">
        <v>35.299999999999997</v>
      </c>
      <c r="W64">
        <v>64</v>
      </c>
      <c r="X64">
        <v>0.48743718592964824</v>
      </c>
      <c r="Y64">
        <v>64</v>
      </c>
      <c r="Z64">
        <v>0.48743718592964824</v>
      </c>
    </row>
    <row r="65" spans="1:26" x14ac:dyDescent="0.2">
      <c r="A65" t="str">
        <f t="shared" si="0"/>
        <v>Indonesia</v>
      </c>
      <c r="B65" t="s">
        <v>156</v>
      </c>
      <c r="C65">
        <v>0.79910999999999999</v>
      </c>
      <c r="D65">
        <f t="shared" si="1"/>
        <v>12310</v>
      </c>
      <c r="E65">
        <f t="shared" si="2"/>
        <v>275.5</v>
      </c>
      <c r="F65">
        <f t="shared" si="3"/>
        <v>0.86448000000000003</v>
      </c>
      <c r="H65" t="s">
        <v>73</v>
      </c>
      <c r="I65">
        <v>0.65749999999999997</v>
      </c>
      <c r="K65" t="s">
        <v>37</v>
      </c>
      <c r="L65">
        <v>0.75553999999999999</v>
      </c>
      <c r="N65" t="s">
        <v>69</v>
      </c>
      <c r="O65">
        <v>0.77149999999999996</v>
      </c>
      <c r="Q65" t="s">
        <v>211</v>
      </c>
      <c r="R65">
        <v>0.88273000000000001</v>
      </c>
      <c r="T65" t="s">
        <v>156</v>
      </c>
      <c r="U65" s="5">
        <v>12310</v>
      </c>
      <c r="V65">
        <v>275.5</v>
      </c>
      <c r="W65">
        <v>65</v>
      </c>
      <c r="X65">
        <v>0.49120603015075376</v>
      </c>
      <c r="Y65">
        <v>65</v>
      </c>
      <c r="Z65">
        <v>0.49120603015075376</v>
      </c>
    </row>
    <row r="66" spans="1:26" x14ac:dyDescent="0.2">
      <c r="A66" t="str">
        <f t="shared" si="0"/>
        <v>Mexico</v>
      </c>
      <c r="B66" t="s">
        <v>158</v>
      </c>
      <c r="C66">
        <v>0.78498999999999997</v>
      </c>
      <c r="D66">
        <f t="shared" si="1"/>
        <v>20960</v>
      </c>
      <c r="E66">
        <f t="shared" si="2"/>
        <v>127.5</v>
      </c>
      <c r="F66">
        <f t="shared" si="3"/>
        <v>0.83101000000000003</v>
      </c>
      <c r="H66" t="s">
        <v>116</v>
      </c>
      <c r="I66">
        <v>0.65749999999999997</v>
      </c>
      <c r="K66" t="s">
        <v>165</v>
      </c>
      <c r="L66">
        <v>0.75209999999999999</v>
      </c>
      <c r="N66" t="s">
        <v>123</v>
      </c>
      <c r="O66">
        <v>0.76027</v>
      </c>
      <c r="Q66" t="s">
        <v>187</v>
      </c>
      <c r="R66">
        <v>0.88153999999999999</v>
      </c>
      <c r="T66" t="s">
        <v>158</v>
      </c>
      <c r="U66" s="5">
        <v>20960</v>
      </c>
      <c r="V66">
        <v>127.5</v>
      </c>
      <c r="W66">
        <v>66</v>
      </c>
      <c r="X66">
        <v>0.49497487437185933</v>
      </c>
      <c r="Y66">
        <v>66</v>
      </c>
      <c r="Z66">
        <v>0.49497487437185933</v>
      </c>
    </row>
    <row r="67" spans="1:26" x14ac:dyDescent="0.2">
      <c r="A67" t="str">
        <f t="shared" ref="A67:A130" si="4">IF(E67&gt;1, B67, "")</f>
        <v>Kuwait</v>
      </c>
      <c r="B67" t="s">
        <v>160</v>
      </c>
      <c r="C67">
        <v>0.78120000000000001</v>
      </c>
      <c r="D67">
        <f t="shared" ref="D67:D130" si="5">INDEX($U$2:$U$194, MATCH(B67,$T$2:$T$194,0))</f>
        <v>74630</v>
      </c>
      <c r="E67">
        <f t="shared" ref="E67:E130" si="6">INDEX($V$2:$V$194, MATCH(B67,$T$2:$T$194,0))</f>
        <v>4.3</v>
      </c>
      <c r="F67">
        <f t="shared" ref="F67:F130" si="7">INDEX($R$2:$R$194, MATCH(B67,$Q$2:$Q$194,0))</f>
        <v>0.99883</v>
      </c>
      <c r="H67" t="s">
        <v>114</v>
      </c>
      <c r="I67">
        <v>0.64380000000000004</v>
      </c>
      <c r="K67" t="s">
        <v>35</v>
      </c>
      <c r="L67">
        <v>0.74156999999999995</v>
      </c>
      <c r="N67" t="s">
        <v>142</v>
      </c>
      <c r="O67">
        <v>0.75800999999999996</v>
      </c>
      <c r="Q67" t="s">
        <v>124</v>
      </c>
      <c r="R67">
        <v>0.87824000000000002</v>
      </c>
      <c r="T67" t="s">
        <v>160</v>
      </c>
      <c r="U67" s="5">
        <v>74630</v>
      </c>
      <c r="V67">
        <v>4.3</v>
      </c>
      <c r="W67">
        <v>67</v>
      </c>
      <c r="X67">
        <v>0.49874371859296485</v>
      </c>
      <c r="Y67">
        <v>67</v>
      </c>
      <c r="Z67">
        <v>0.49874371859296485</v>
      </c>
    </row>
    <row r="68" spans="1:26" x14ac:dyDescent="0.2">
      <c r="A68" t="str">
        <f t="shared" si="4"/>
        <v>Ecuador</v>
      </c>
      <c r="B68" t="s">
        <v>161</v>
      </c>
      <c r="C68">
        <v>0.77997000000000005</v>
      </c>
      <c r="D68">
        <f t="shared" si="5"/>
        <v>11500</v>
      </c>
      <c r="E68">
        <f t="shared" si="6"/>
        <v>18.100000000000001</v>
      </c>
      <c r="F68">
        <f t="shared" si="7"/>
        <v>0.68335000000000001</v>
      </c>
      <c r="H68" t="s">
        <v>117</v>
      </c>
      <c r="I68">
        <v>0.64380000000000004</v>
      </c>
      <c r="K68" t="s">
        <v>176</v>
      </c>
      <c r="L68">
        <v>0.73863000000000001</v>
      </c>
      <c r="N68" t="s">
        <v>163</v>
      </c>
      <c r="O68">
        <v>0.75500999999999996</v>
      </c>
      <c r="Q68" t="s">
        <v>170</v>
      </c>
      <c r="R68">
        <v>0.87797000000000003</v>
      </c>
      <c r="T68" t="s">
        <v>161</v>
      </c>
      <c r="U68" s="5">
        <v>11500</v>
      </c>
      <c r="V68">
        <v>18.100000000000001</v>
      </c>
      <c r="W68">
        <v>68</v>
      </c>
      <c r="X68">
        <v>0.50251256281407031</v>
      </c>
      <c r="Y68">
        <v>68</v>
      </c>
      <c r="Z68">
        <v>0.50251256281407031</v>
      </c>
    </row>
    <row r="69" spans="1:26" x14ac:dyDescent="0.2">
      <c r="A69" t="str">
        <f t="shared" si="4"/>
        <v>Colombia</v>
      </c>
      <c r="B69" t="s">
        <v>165</v>
      </c>
      <c r="C69">
        <v>0.77929999999999999</v>
      </c>
      <c r="D69">
        <f t="shared" si="5"/>
        <v>16580</v>
      </c>
      <c r="E69">
        <f t="shared" si="6"/>
        <v>51.5</v>
      </c>
      <c r="F69">
        <f t="shared" si="7"/>
        <v>0.80654000000000003</v>
      </c>
      <c r="H69" t="s">
        <v>37</v>
      </c>
      <c r="I69">
        <v>0.63009999999999999</v>
      </c>
      <c r="K69" t="s">
        <v>230</v>
      </c>
      <c r="L69">
        <v>0.73743999999999998</v>
      </c>
      <c r="N69" t="s">
        <v>129</v>
      </c>
      <c r="O69">
        <v>0.75378000000000001</v>
      </c>
      <c r="Q69" t="s">
        <v>152</v>
      </c>
      <c r="R69">
        <v>0.87687000000000004</v>
      </c>
      <c r="T69" t="s">
        <v>165</v>
      </c>
      <c r="U69" s="5">
        <v>16580</v>
      </c>
      <c r="V69">
        <v>51.5</v>
      </c>
      <c r="W69">
        <v>69</v>
      </c>
      <c r="X69">
        <v>0.50628140703517588</v>
      </c>
      <c r="Y69">
        <v>69</v>
      </c>
      <c r="Z69">
        <v>0.50628140703517588</v>
      </c>
    </row>
    <row r="70" spans="1:26" x14ac:dyDescent="0.2">
      <c r="A70" t="str">
        <f t="shared" si="4"/>
        <v>Georgia</v>
      </c>
      <c r="B70" t="s">
        <v>95</v>
      </c>
      <c r="C70">
        <v>0.77922999999999998</v>
      </c>
      <c r="D70">
        <f t="shared" si="5"/>
        <v>18170</v>
      </c>
      <c r="E70">
        <f t="shared" si="6"/>
        <v>3.7</v>
      </c>
      <c r="F70">
        <f t="shared" si="7"/>
        <v>0.90712999999999999</v>
      </c>
      <c r="H70" t="s">
        <v>47</v>
      </c>
      <c r="I70">
        <v>0.63009999999999999</v>
      </c>
      <c r="K70" t="s">
        <v>51</v>
      </c>
      <c r="L70">
        <v>0.72796000000000005</v>
      </c>
      <c r="N70" t="s">
        <v>167</v>
      </c>
      <c r="O70">
        <v>0.75202999999999998</v>
      </c>
      <c r="Q70" t="s">
        <v>57</v>
      </c>
      <c r="R70">
        <v>0.87280999999999997</v>
      </c>
      <c r="T70" t="s">
        <v>95</v>
      </c>
      <c r="U70" s="5">
        <v>18170</v>
      </c>
      <c r="V70">
        <v>3.7</v>
      </c>
      <c r="W70">
        <v>70</v>
      </c>
      <c r="X70">
        <v>0.51005025125628145</v>
      </c>
      <c r="Y70">
        <v>70</v>
      </c>
      <c r="Z70">
        <v>0.51005025125628145</v>
      </c>
    </row>
    <row r="71" spans="1:26" x14ac:dyDescent="0.2">
      <c r="A71" t="str">
        <f t="shared" si="4"/>
        <v>Moldova</v>
      </c>
      <c r="B71" t="s">
        <v>168</v>
      </c>
      <c r="C71">
        <v>0.77195000000000003</v>
      </c>
      <c r="D71">
        <f t="shared" si="5"/>
        <v>14260</v>
      </c>
      <c r="E71">
        <f t="shared" si="6"/>
        <v>2.6</v>
      </c>
      <c r="F71">
        <f t="shared" si="7"/>
        <v>0.81179999999999997</v>
      </c>
      <c r="H71" t="s">
        <v>154</v>
      </c>
      <c r="I71">
        <v>0.61639999999999995</v>
      </c>
      <c r="K71" t="s">
        <v>168</v>
      </c>
      <c r="L71">
        <v>0.72636000000000001</v>
      </c>
      <c r="N71" t="s">
        <v>126</v>
      </c>
      <c r="O71">
        <v>0.75149999999999995</v>
      </c>
      <c r="Q71" t="s">
        <v>241</v>
      </c>
      <c r="R71">
        <v>0.87141000000000002</v>
      </c>
      <c r="T71" t="s">
        <v>168</v>
      </c>
      <c r="U71" s="5">
        <v>14260</v>
      </c>
      <c r="V71">
        <v>2.6</v>
      </c>
      <c r="W71">
        <v>71</v>
      </c>
      <c r="X71">
        <v>0.51381909547738691</v>
      </c>
      <c r="Y71">
        <v>71</v>
      </c>
      <c r="Z71">
        <v>0.51381909547738691</v>
      </c>
    </row>
    <row r="72" spans="1:26" x14ac:dyDescent="0.2">
      <c r="A72" t="str">
        <f t="shared" si="4"/>
        <v>Vietnam</v>
      </c>
      <c r="B72" t="s">
        <v>170</v>
      </c>
      <c r="C72">
        <v>0.77092000000000005</v>
      </c>
      <c r="D72">
        <f t="shared" si="5"/>
        <v>11260</v>
      </c>
      <c r="E72">
        <f t="shared" si="6"/>
        <v>98.2</v>
      </c>
      <c r="F72">
        <f t="shared" si="7"/>
        <v>0.87797000000000003</v>
      </c>
      <c r="H72" t="s">
        <v>166</v>
      </c>
      <c r="I72">
        <v>0.61639999999999995</v>
      </c>
      <c r="K72" t="s">
        <v>141</v>
      </c>
      <c r="L72">
        <v>0.72243999999999997</v>
      </c>
      <c r="N72" t="s">
        <v>171</v>
      </c>
      <c r="O72">
        <v>0.74877000000000005</v>
      </c>
      <c r="Q72" t="s">
        <v>141</v>
      </c>
      <c r="R72">
        <v>0.86983999999999995</v>
      </c>
      <c r="T72" t="s">
        <v>170</v>
      </c>
      <c r="U72" s="5">
        <v>11260</v>
      </c>
      <c r="V72">
        <v>98.2</v>
      </c>
      <c r="W72">
        <v>72</v>
      </c>
      <c r="X72">
        <v>0.51758793969849248</v>
      </c>
      <c r="Y72">
        <v>72</v>
      </c>
      <c r="Z72">
        <v>0.51758793969849248</v>
      </c>
    </row>
    <row r="73" spans="1:26" x14ac:dyDescent="0.2">
      <c r="A73" t="str">
        <f t="shared" si="4"/>
        <v>Romania</v>
      </c>
      <c r="B73" t="s">
        <v>172</v>
      </c>
      <c r="C73">
        <v>0.76363999999999999</v>
      </c>
      <c r="D73">
        <f t="shared" si="5"/>
        <v>34520</v>
      </c>
      <c r="E73">
        <f t="shared" si="6"/>
        <v>19</v>
      </c>
      <c r="F73">
        <f t="shared" si="7"/>
        <v>0.89224000000000003</v>
      </c>
      <c r="H73" t="s">
        <v>173</v>
      </c>
      <c r="I73">
        <v>0.60270000000000001</v>
      </c>
      <c r="K73" t="s">
        <v>150</v>
      </c>
      <c r="L73">
        <v>0.72169000000000005</v>
      </c>
      <c r="N73" t="s">
        <v>108</v>
      </c>
      <c r="O73">
        <v>0.74690000000000001</v>
      </c>
      <c r="Q73" t="s">
        <v>251</v>
      </c>
      <c r="R73">
        <v>0.86745000000000005</v>
      </c>
      <c r="T73" t="s">
        <v>172</v>
      </c>
      <c r="U73" s="5">
        <v>34520</v>
      </c>
      <c r="V73">
        <v>19</v>
      </c>
      <c r="W73">
        <v>73</v>
      </c>
      <c r="X73">
        <v>0.52135678391959805</v>
      </c>
      <c r="Y73">
        <v>73</v>
      </c>
      <c r="Z73">
        <v>0.52135678391959805</v>
      </c>
    </row>
    <row r="74" spans="1:26" x14ac:dyDescent="0.2">
      <c r="A74" t="str">
        <f t="shared" si="4"/>
        <v>Philippines</v>
      </c>
      <c r="B74" t="s">
        <v>175</v>
      </c>
      <c r="C74">
        <v>0.76212000000000002</v>
      </c>
      <c r="D74">
        <f t="shared" si="5"/>
        <v>9820</v>
      </c>
      <c r="E74">
        <f t="shared" si="6"/>
        <v>115.6</v>
      </c>
      <c r="F74">
        <f t="shared" si="7"/>
        <v>0.75544</v>
      </c>
      <c r="H74" t="s">
        <v>170</v>
      </c>
      <c r="I74">
        <v>0.60270000000000001</v>
      </c>
      <c r="K74" t="s">
        <v>146</v>
      </c>
      <c r="L74">
        <v>0.71436999999999995</v>
      </c>
      <c r="N74" t="s">
        <v>131</v>
      </c>
      <c r="O74">
        <v>0.74563999999999997</v>
      </c>
      <c r="Q74" t="s">
        <v>100</v>
      </c>
      <c r="R74">
        <v>0.86568000000000001</v>
      </c>
      <c r="T74" t="s">
        <v>175</v>
      </c>
      <c r="U74" s="5">
        <v>9820</v>
      </c>
      <c r="V74">
        <v>115.6</v>
      </c>
      <c r="W74">
        <v>74</v>
      </c>
      <c r="X74">
        <v>0.52512562814070352</v>
      </c>
      <c r="Y74">
        <v>74</v>
      </c>
      <c r="Z74">
        <v>0.52512562814070352</v>
      </c>
    </row>
    <row r="75" spans="1:26" x14ac:dyDescent="0.2">
      <c r="A75" t="str">
        <f t="shared" si="4"/>
        <v>Azerbaijan</v>
      </c>
      <c r="B75" t="s">
        <v>176</v>
      </c>
      <c r="C75">
        <v>0.76073000000000002</v>
      </c>
      <c r="D75">
        <f t="shared" si="5"/>
        <v>14540</v>
      </c>
      <c r="E75">
        <f t="shared" si="6"/>
        <v>10.199999999999999</v>
      </c>
      <c r="F75">
        <f t="shared" si="7"/>
        <v>0.82033999999999996</v>
      </c>
      <c r="H75" t="s">
        <v>177</v>
      </c>
      <c r="I75">
        <v>0.58899999999999997</v>
      </c>
      <c r="K75" t="s">
        <v>148</v>
      </c>
      <c r="L75">
        <v>0.70969000000000004</v>
      </c>
      <c r="N75" t="s">
        <v>145</v>
      </c>
      <c r="O75">
        <v>0.74392000000000003</v>
      </c>
      <c r="Q75" t="s">
        <v>195</v>
      </c>
      <c r="R75">
        <v>0.86521999999999999</v>
      </c>
      <c r="T75" t="s">
        <v>176</v>
      </c>
      <c r="U75" s="5">
        <v>14540</v>
      </c>
      <c r="V75">
        <v>10.199999999999999</v>
      </c>
      <c r="W75">
        <v>75</v>
      </c>
      <c r="X75">
        <v>0.52889447236180898</v>
      </c>
      <c r="Y75">
        <v>75</v>
      </c>
      <c r="Z75">
        <v>0.52889447236180898</v>
      </c>
    </row>
    <row r="76" spans="1:26" x14ac:dyDescent="0.2">
      <c r="A76" t="str">
        <f t="shared" si="4"/>
        <v/>
      </c>
      <c r="B76" t="s">
        <v>179</v>
      </c>
      <c r="C76">
        <v>0.75536000000000003</v>
      </c>
      <c r="D76">
        <f t="shared" si="5"/>
        <v>83530</v>
      </c>
      <c r="E76">
        <f t="shared" si="6"/>
        <v>0.4</v>
      </c>
      <c r="F76">
        <f t="shared" si="7"/>
        <v>0.98680000000000001</v>
      </c>
      <c r="H76" t="s">
        <v>104</v>
      </c>
      <c r="I76">
        <v>0.58899999999999997</v>
      </c>
      <c r="K76" t="s">
        <v>170</v>
      </c>
      <c r="L76">
        <v>0.70811000000000002</v>
      </c>
      <c r="N76" t="s">
        <v>134</v>
      </c>
      <c r="O76">
        <v>0.74187999999999998</v>
      </c>
      <c r="Q76" t="s">
        <v>256</v>
      </c>
      <c r="R76">
        <v>0.86495</v>
      </c>
      <c r="T76" t="s">
        <v>179</v>
      </c>
      <c r="U76" s="5">
        <v>83530</v>
      </c>
      <c r="V76">
        <v>0.4</v>
      </c>
      <c r="W76">
        <v>76</v>
      </c>
      <c r="X76">
        <v>0.53266331658291466</v>
      </c>
      <c r="Y76">
        <v>76</v>
      </c>
      <c r="Z76">
        <v>0.53266331658291466</v>
      </c>
    </row>
    <row r="77" spans="1:26" x14ac:dyDescent="0.2">
      <c r="A77" t="str">
        <f t="shared" si="4"/>
        <v>Mauritius</v>
      </c>
      <c r="B77" t="s">
        <v>181</v>
      </c>
      <c r="C77">
        <v>0.75061</v>
      </c>
      <c r="D77">
        <f t="shared" si="5"/>
        <v>24310</v>
      </c>
      <c r="E77">
        <f t="shared" si="6"/>
        <v>1.3</v>
      </c>
      <c r="F77">
        <f t="shared" si="7"/>
        <v>0.91586000000000001</v>
      </c>
      <c r="H77" t="s">
        <v>182</v>
      </c>
      <c r="I77">
        <v>0.57530000000000003</v>
      </c>
      <c r="K77" t="s">
        <v>297</v>
      </c>
      <c r="L77">
        <v>0.70416999999999996</v>
      </c>
      <c r="N77" t="s">
        <v>184</v>
      </c>
      <c r="O77">
        <v>0.74131000000000002</v>
      </c>
      <c r="Q77" t="s">
        <v>156</v>
      </c>
      <c r="R77">
        <v>0.86448000000000003</v>
      </c>
      <c r="T77" t="s">
        <v>181</v>
      </c>
      <c r="U77" s="5">
        <v>24310</v>
      </c>
      <c r="V77">
        <v>1.3</v>
      </c>
      <c r="W77">
        <v>77</v>
      </c>
      <c r="X77">
        <v>0.53643216080402012</v>
      </c>
      <c r="Y77">
        <v>77</v>
      </c>
      <c r="Z77">
        <v>0.53643216080402012</v>
      </c>
    </row>
    <row r="78" spans="1:26" x14ac:dyDescent="0.2">
      <c r="A78" t="str">
        <f t="shared" si="4"/>
        <v>Belarus</v>
      </c>
      <c r="B78" t="s">
        <v>185</v>
      </c>
      <c r="C78">
        <v>0.74448999999999999</v>
      </c>
      <c r="D78">
        <f t="shared" si="5"/>
        <v>20080</v>
      </c>
      <c r="E78">
        <f t="shared" si="6"/>
        <v>9.3000000000000007</v>
      </c>
      <c r="F78">
        <f t="shared" si="7"/>
        <v>0.91561000000000003</v>
      </c>
      <c r="H78" t="s">
        <v>95</v>
      </c>
      <c r="I78">
        <v>0.56159999999999999</v>
      </c>
      <c r="K78" t="s">
        <v>121</v>
      </c>
      <c r="L78">
        <v>0.70062999999999998</v>
      </c>
      <c r="N78" t="s">
        <v>178</v>
      </c>
      <c r="O78">
        <v>0.73762000000000005</v>
      </c>
      <c r="Q78" t="s">
        <v>188</v>
      </c>
      <c r="R78">
        <v>0.85229999999999995</v>
      </c>
      <c r="T78" t="s">
        <v>185</v>
      </c>
      <c r="U78" s="5">
        <v>20080</v>
      </c>
      <c r="V78">
        <v>9.3000000000000007</v>
      </c>
      <c r="W78">
        <v>78</v>
      </c>
      <c r="X78">
        <v>0.54020100502512558</v>
      </c>
      <c r="Y78">
        <v>78</v>
      </c>
      <c r="Z78">
        <v>0.54020100502512558</v>
      </c>
    </row>
    <row r="79" spans="1:26" x14ac:dyDescent="0.2">
      <c r="A79" t="str">
        <f t="shared" si="4"/>
        <v>Kyrgyzstan</v>
      </c>
      <c r="B79" t="s">
        <v>187</v>
      </c>
      <c r="C79">
        <v>0.73160000000000003</v>
      </c>
      <c r="D79">
        <f t="shared" si="5"/>
        <v>5300</v>
      </c>
      <c r="E79">
        <f t="shared" si="6"/>
        <v>6.7</v>
      </c>
      <c r="F79">
        <f t="shared" si="7"/>
        <v>0.88153999999999999</v>
      </c>
      <c r="H79" t="s">
        <v>112</v>
      </c>
      <c r="I79">
        <v>0.54790000000000005</v>
      </c>
      <c r="K79" t="s">
        <v>218</v>
      </c>
      <c r="L79">
        <v>0.70016</v>
      </c>
      <c r="N79" t="s">
        <v>98</v>
      </c>
      <c r="O79">
        <v>0.72933999999999999</v>
      </c>
      <c r="Q79" t="s">
        <v>13</v>
      </c>
      <c r="R79">
        <v>0.84277999999999997</v>
      </c>
      <c r="T79" t="s">
        <v>187</v>
      </c>
      <c r="U79" s="5">
        <v>5300</v>
      </c>
      <c r="V79">
        <v>6.7</v>
      </c>
      <c r="W79">
        <v>79</v>
      </c>
      <c r="X79">
        <v>0.54396984924623115</v>
      </c>
      <c r="Y79">
        <v>79</v>
      </c>
      <c r="Z79">
        <v>0.54396984924623115</v>
      </c>
    </row>
    <row r="80" spans="1:26" x14ac:dyDescent="0.2">
      <c r="A80" t="str">
        <f t="shared" si="4"/>
        <v>Panama</v>
      </c>
      <c r="B80" t="s">
        <v>188</v>
      </c>
      <c r="C80">
        <v>0.72980999999999996</v>
      </c>
      <c r="D80">
        <f t="shared" si="5"/>
        <v>30990</v>
      </c>
      <c r="E80">
        <f t="shared" si="6"/>
        <v>4.4000000000000004</v>
      </c>
      <c r="F80">
        <f t="shared" si="7"/>
        <v>0.85229999999999995</v>
      </c>
      <c r="H80" t="s">
        <v>189</v>
      </c>
      <c r="I80">
        <v>0.54790000000000005</v>
      </c>
      <c r="K80" t="s">
        <v>252</v>
      </c>
      <c r="L80">
        <v>0.68916999999999995</v>
      </c>
      <c r="N80" t="s">
        <v>164</v>
      </c>
      <c r="O80">
        <v>0.72665000000000002</v>
      </c>
      <c r="Q80" t="s">
        <v>111</v>
      </c>
      <c r="R80">
        <v>0.84253999999999996</v>
      </c>
      <c r="T80" t="s">
        <v>188</v>
      </c>
      <c r="U80" s="5">
        <v>30990</v>
      </c>
      <c r="V80">
        <v>4.4000000000000004</v>
      </c>
      <c r="W80">
        <v>80</v>
      </c>
      <c r="X80">
        <v>0.54773869346733672</v>
      </c>
      <c r="Y80">
        <v>80</v>
      </c>
      <c r="Z80">
        <v>0.54773869346733672</v>
      </c>
    </row>
    <row r="81" spans="1:26" x14ac:dyDescent="0.2">
      <c r="A81" t="str">
        <f t="shared" si="4"/>
        <v>Paraguay</v>
      </c>
      <c r="B81" t="s">
        <v>191</v>
      </c>
      <c r="C81">
        <v>0.72506999999999999</v>
      </c>
      <c r="D81">
        <f t="shared" si="5"/>
        <v>13990</v>
      </c>
      <c r="E81">
        <f t="shared" si="6"/>
        <v>7.3</v>
      </c>
      <c r="F81">
        <f t="shared" si="7"/>
        <v>0.79468000000000005</v>
      </c>
      <c r="H81" t="s">
        <v>190</v>
      </c>
      <c r="I81">
        <v>0.54790000000000005</v>
      </c>
      <c r="K81" t="s">
        <v>191</v>
      </c>
      <c r="L81">
        <v>0.67115000000000002</v>
      </c>
      <c r="N81" t="s">
        <v>128</v>
      </c>
      <c r="O81">
        <v>0.72555999999999998</v>
      </c>
      <c r="Q81" t="s">
        <v>144</v>
      </c>
      <c r="R81">
        <v>0.83638000000000001</v>
      </c>
      <c r="T81" t="s">
        <v>191</v>
      </c>
      <c r="U81" s="5">
        <v>13990</v>
      </c>
      <c r="V81">
        <v>7.3</v>
      </c>
      <c r="W81">
        <v>81</v>
      </c>
      <c r="X81">
        <v>0.55150753768844218</v>
      </c>
      <c r="Y81">
        <v>81</v>
      </c>
      <c r="Z81">
        <v>0.55150753768844218</v>
      </c>
    </row>
    <row r="82" spans="1:26" x14ac:dyDescent="0.2">
      <c r="A82" t="str">
        <f t="shared" si="4"/>
        <v/>
      </c>
      <c r="B82" t="s">
        <v>115</v>
      </c>
      <c r="C82">
        <v>0.72111000000000003</v>
      </c>
      <c r="D82">
        <f t="shared" si="5"/>
        <v>22940</v>
      </c>
      <c r="E82">
        <f t="shared" si="6"/>
        <v>0.6</v>
      </c>
      <c r="F82">
        <f t="shared" si="7"/>
        <v>0.92291000000000001</v>
      </c>
      <c r="H82" t="s">
        <v>88</v>
      </c>
      <c r="I82">
        <v>0.54790000000000005</v>
      </c>
      <c r="K82" t="s">
        <v>182</v>
      </c>
      <c r="L82">
        <v>0.66415000000000002</v>
      </c>
      <c r="N82" t="s">
        <v>162</v>
      </c>
      <c r="O82">
        <v>0.72328999999999999</v>
      </c>
      <c r="Q82" t="s">
        <v>201</v>
      </c>
      <c r="R82">
        <v>0.83565999999999996</v>
      </c>
      <c r="T82" t="s">
        <v>115</v>
      </c>
      <c r="U82" s="5">
        <v>22940</v>
      </c>
      <c r="V82">
        <v>0.6</v>
      </c>
      <c r="W82">
        <v>82</v>
      </c>
      <c r="X82">
        <v>0.55527638190954776</v>
      </c>
      <c r="Y82">
        <v>82</v>
      </c>
      <c r="Z82">
        <v>0.55527638190954776</v>
      </c>
    </row>
    <row r="83" spans="1:26" x14ac:dyDescent="0.2">
      <c r="A83" t="str">
        <f t="shared" si="4"/>
        <v/>
      </c>
      <c r="B83" t="s">
        <v>193</v>
      </c>
      <c r="C83">
        <v>0.71747000000000005</v>
      </c>
      <c r="E83">
        <f t="shared" si="6"/>
        <v>0.04</v>
      </c>
      <c r="F83">
        <f t="shared" si="7"/>
        <v>0.91710999999999998</v>
      </c>
      <c r="H83" t="s">
        <v>194</v>
      </c>
      <c r="I83">
        <v>0.53420000000000001</v>
      </c>
      <c r="K83" t="s">
        <v>172</v>
      </c>
      <c r="L83">
        <v>0.65476999999999996</v>
      </c>
      <c r="N83" t="s">
        <v>174</v>
      </c>
      <c r="O83">
        <v>0.72021000000000002</v>
      </c>
      <c r="Q83" t="s">
        <v>50</v>
      </c>
      <c r="R83">
        <v>0.83221000000000001</v>
      </c>
      <c r="T83" t="s">
        <v>193</v>
      </c>
      <c r="U83" s="8" t="s">
        <v>118</v>
      </c>
      <c r="V83">
        <v>0.04</v>
      </c>
      <c r="W83">
        <v>83</v>
      </c>
      <c r="X83">
        <v>0.55904522613065333</v>
      </c>
      <c r="Y83">
        <v>83</v>
      </c>
      <c r="Z83">
        <v>0.55904522613065333</v>
      </c>
    </row>
    <row r="84" spans="1:26" x14ac:dyDescent="0.2">
      <c r="A84" t="str">
        <f t="shared" si="4"/>
        <v/>
      </c>
      <c r="B84" t="s">
        <v>195</v>
      </c>
      <c r="C84">
        <v>0.71433999999999997</v>
      </c>
      <c r="D84">
        <f t="shared" si="5"/>
        <v>34860</v>
      </c>
      <c r="E84">
        <f t="shared" si="6"/>
        <v>0.4</v>
      </c>
      <c r="F84">
        <f t="shared" si="7"/>
        <v>0.86521999999999999</v>
      </c>
      <c r="H84" t="s">
        <v>140</v>
      </c>
      <c r="I84">
        <v>0.52049999999999996</v>
      </c>
      <c r="K84" t="s">
        <v>272</v>
      </c>
      <c r="L84">
        <v>0.65378999999999998</v>
      </c>
      <c r="N84" t="s">
        <v>51</v>
      </c>
      <c r="O84">
        <v>0.71921000000000002</v>
      </c>
      <c r="Q84" t="s">
        <v>158</v>
      </c>
      <c r="R84">
        <v>0.83101000000000003</v>
      </c>
      <c r="T84" t="s">
        <v>195</v>
      </c>
      <c r="U84" s="5">
        <v>34860</v>
      </c>
      <c r="V84">
        <v>0.4</v>
      </c>
      <c r="W84">
        <v>84</v>
      </c>
      <c r="X84">
        <v>0.56281407035175879</v>
      </c>
      <c r="Y84">
        <v>84</v>
      </c>
      <c r="Z84">
        <v>0.56281407035175879</v>
      </c>
    </row>
    <row r="85" spans="1:26" x14ac:dyDescent="0.2">
      <c r="A85" t="str">
        <f t="shared" si="4"/>
        <v>North Macedonia</v>
      </c>
      <c r="B85" t="s">
        <v>182</v>
      </c>
      <c r="C85">
        <v>0.70704</v>
      </c>
      <c r="D85">
        <f t="shared" si="5"/>
        <v>18210</v>
      </c>
      <c r="E85">
        <f t="shared" si="6"/>
        <v>2.1</v>
      </c>
      <c r="F85">
        <f t="shared" si="7"/>
        <v>0.75458999999999998</v>
      </c>
      <c r="H85" t="s">
        <v>186</v>
      </c>
      <c r="I85">
        <v>0.52049999999999996</v>
      </c>
      <c r="K85" t="s">
        <v>188</v>
      </c>
      <c r="L85">
        <v>0.65049000000000001</v>
      </c>
      <c r="N85" t="s">
        <v>115</v>
      </c>
      <c r="O85">
        <v>0.71904000000000001</v>
      </c>
      <c r="Q85" t="s">
        <v>146</v>
      </c>
      <c r="R85">
        <v>0.82821</v>
      </c>
      <c r="T85" t="s">
        <v>182</v>
      </c>
      <c r="U85" s="5">
        <v>18210</v>
      </c>
      <c r="V85">
        <v>2.1</v>
      </c>
      <c r="W85">
        <v>85</v>
      </c>
      <c r="X85">
        <v>0.56658291457286425</v>
      </c>
      <c r="Y85">
        <v>85</v>
      </c>
      <c r="Z85">
        <v>0.56658291457286425</v>
      </c>
    </row>
    <row r="86" spans="1:26" x14ac:dyDescent="0.2">
      <c r="A86" t="str">
        <f t="shared" si="4"/>
        <v>Dominican Republic</v>
      </c>
      <c r="B86" t="s">
        <v>197</v>
      </c>
      <c r="C86">
        <v>0.70126999999999995</v>
      </c>
      <c r="D86">
        <f t="shared" si="5"/>
        <v>20640</v>
      </c>
      <c r="E86">
        <f t="shared" si="6"/>
        <v>10.8</v>
      </c>
      <c r="F86">
        <f t="shared" si="7"/>
        <v>0.74439999999999995</v>
      </c>
      <c r="H86" t="s">
        <v>115</v>
      </c>
      <c r="I86">
        <v>0.50680000000000003</v>
      </c>
      <c r="K86" t="s">
        <v>197</v>
      </c>
      <c r="L86">
        <v>0.64046999999999998</v>
      </c>
      <c r="N86" t="s">
        <v>153</v>
      </c>
      <c r="O86">
        <v>0.71889999999999998</v>
      </c>
      <c r="Q86" t="s">
        <v>270</v>
      </c>
      <c r="R86">
        <v>0.82630000000000003</v>
      </c>
      <c r="T86" t="s">
        <v>197</v>
      </c>
      <c r="U86" s="5">
        <v>20640</v>
      </c>
      <c r="V86">
        <v>10.8</v>
      </c>
      <c r="W86">
        <v>86</v>
      </c>
      <c r="X86">
        <v>0.57035175879396993</v>
      </c>
      <c r="Y86">
        <v>86</v>
      </c>
      <c r="Z86">
        <v>0.57035175879396993</v>
      </c>
    </row>
    <row r="87" spans="1:26" x14ac:dyDescent="0.2">
      <c r="A87" t="str">
        <f t="shared" si="4"/>
        <v>Trinidad and Tobago</v>
      </c>
      <c r="B87" t="s">
        <v>199</v>
      </c>
      <c r="C87">
        <v>0.69725999999999999</v>
      </c>
      <c r="D87">
        <f t="shared" si="5"/>
        <v>26730</v>
      </c>
      <c r="E87">
        <f t="shared" si="6"/>
        <v>1.4</v>
      </c>
      <c r="F87">
        <f t="shared" si="7"/>
        <v>0.77454000000000001</v>
      </c>
      <c r="H87" t="s">
        <v>106</v>
      </c>
      <c r="I87">
        <v>0.50680000000000003</v>
      </c>
      <c r="K87" t="s">
        <v>160</v>
      </c>
      <c r="L87">
        <v>0.63654999999999995</v>
      </c>
      <c r="N87" t="s">
        <v>200</v>
      </c>
      <c r="O87">
        <v>0.71757000000000004</v>
      </c>
      <c r="Q87" t="s">
        <v>176</v>
      </c>
      <c r="R87">
        <v>0.82033999999999996</v>
      </c>
      <c r="T87" t="s">
        <v>199</v>
      </c>
      <c r="U87" s="5">
        <v>26730</v>
      </c>
      <c r="V87">
        <v>1.4</v>
      </c>
      <c r="W87">
        <v>87</v>
      </c>
      <c r="X87">
        <v>0.57412060301507539</v>
      </c>
      <c r="Y87">
        <v>87</v>
      </c>
      <c r="Z87">
        <v>0.57412060301507539</v>
      </c>
    </row>
    <row r="88" spans="1:26" x14ac:dyDescent="0.2">
      <c r="A88" t="str">
        <f t="shared" si="4"/>
        <v>Tunisia</v>
      </c>
      <c r="B88" t="s">
        <v>201</v>
      </c>
      <c r="C88">
        <v>0.69347999999999999</v>
      </c>
      <c r="D88">
        <f t="shared" si="5"/>
        <v>11870</v>
      </c>
      <c r="E88">
        <f t="shared" si="6"/>
        <v>12.3</v>
      </c>
      <c r="F88">
        <f t="shared" si="7"/>
        <v>0.83565999999999996</v>
      </c>
      <c r="H88" t="s">
        <v>202</v>
      </c>
      <c r="I88">
        <v>0.50680000000000003</v>
      </c>
      <c r="K88" t="s">
        <v>203</v>
      </c>
      <c r="L88">
        <v>0.62200999999999995</v>
      </c>
      <c r="N88" t="s">
        <v>204</v>
      </c>
      <c r="O88">
        <v>0.71738999999999997</v>
      </c>
      <c r="Q88" t="s">
        <v>234</v>
      </c>
      <c r="R88">
        <v>0.81694999999999995</v>
      </c>
      <c r="T88" t="s">
        <v>201</v>
      </c>
      <c r="U88" s="5">
        <v>11870</v>
      </c>
      <c r="V88">
        <v>12.3</v>
      </c>
      <c r="W88">
        <v>88</v>
      </c>
      <c r="X88">
        <v>0.57788944723618085</v>
      </c>
      <c r="Y88">
        <v>88</v>
      </c>
      <c r="Z88">
        <v>0.57788944723618085</v>
      </c>
    </row>
    <row r="89" spans="1:26" x14ac:dyDescent="0.2">
      <c r="A89" t="str">
        <f t="shared" si="4"/>
        <v/>
      </c>
      <c r="B89" t="s">
        <v>206</v>
      </c>
      <c r="C89">
        <v>0.68930999999999998</v>
      </c>
      <c r="E89">
        <f t="shared" si="6"/>
        <v>0.08</v>
      </c>
      <c r="F89">
        <f t="shared" si="7"/>
        <v>0.92306999999999995</v>
      </c>
      <c r="H89" t="s">
        <v>183</v>
      </c>
      <c r="I89">
        <v>0.49320000000000003</v>
      </c>
      <c r="K89" t="s">
        <v>248</v>
      </c>
      <c r="L89">
        <v>0.60836999999999997</v>
      </c>
      <c r="N89" t="s">
        <v>207</v>
      </c>
      <c r="O89">
        <v>0.71480999999999995</v>
      </c>
      <c r="Q89" t="s">
        <v>261</v>
      </c>
      <c r="R89">
        <v>0.81289999999999996</v>
      </c>
      <c r="T89" t="s">
        <v>206</v>
      </c>
      <c r="U89" s="8" t="s">
        <v>118</v>
      </c>
      <c r="V89">
        <v>0.08</v>
      </c>
      <c r="W89">
        <v>89</v>
      </c>
      <c r="X89">
        <v>0.58165829145728642</v>
      </c>
      <c r="Y89">
        <v>89</v>
      </c>
      <c r="Z89">
        <v>0.58165829145728642</v>
      </c>
    </row>
    <row r="90" spans="1:26" x14ac:dyDescent="0.2">
      <c r="A90" t="str">
        <f t="shared" si="4"/>
        <v>Jordan</v>
      </c>
      <c r="B90" t="s">
        <v>209</v>
      </c>
      <c r="C90">
        <v>0.68493000000000004</v>
      </c>
      <c r="D90">
        <f t="shared" si="5"/>
        <v>11980</v>
      </c>
      <c r="E90">
        <f t="shared" si="6"/>
        <v>11.1</v>
      </c>
      <c r="F90">
        <f t="shared" si="7"/>
        <v>0.64992000000000005</v>
      </c>
      <c r="H90" t="s">
        <v>162</v>
      </c>
      <c r="I90">
        <v>0.49320000000000003</v>
      </c>
      <c r="K90" t="s">
        <v>187</v>
      </c>
      <c r="L90">
        <v>0.60723000000000005</v>
      </c>
      <c r="N90" t="s">
        <v>210</v>
      </c>
      <c r="O90">
        <v>0.71148999999999996</v>
      </c>
      <c r="Q90" t="s">
        <v>168</v>
      </c>
      <c r="R90">
        <v>0.81179999999999997</v>
      </c>
      <c r="T90" t="s">
        <v>209</v>
      </c>
      <c r="U90" s="5">
        <v>11980</v>
      </c>
      <c r="V90">
        <v>11.1</v>
      </c>
      <c r="W90">
        <v>90</v>
      </c>
      <c r="X90">
        <v>0.585427135678392</v>
      </c>
      <c r="Y90">
        <v>90</v>
      </c>
      <c r="Z90">
        <v>0.585427135678392</v>
      </c>
    </row>
    <row r="91" spans="1:26" x14ac:dyDescent="0.2">
      <c r="A91" t="str">
        <f t="shared" si="4"/>
        <v>Morocco</v>
      </c>
      <c r="B91" t="s">
        <v>211</v>
      </c>
      <c r="C91">
        <v>0.68411</v>
      </c>
      <c r="D91">
        <f t="shared" si="5"/>
        <v>9230</v>
      </c>
      <c r="E91">
        <f t="shared" si="6"/>
        <v>37.799999999999997</v>
      </c>
      <c r="F91">
        <f t="shared" si="7"/>
        <v>0.88273000000000001</v>
      </c>
      <c r="H91" t="s">
        <v>134</v>
      </c>
      <c r="I91">
        <v>0.49320000000000003</v>
      </c>
      <c r="K91" t="s">
        <v>319</v>
      </c>
      <c r="L91">
        <v>0.60690999999999995</v>
      </c>
      <c r="N91" t="s">
        <v>30</v>
      </c>
      <c r="O91">
        <v>0.71135000000000004</v>
      </c>
      <c r="Q91" t="s">
        <v>122</v>
      </c>
      <c r="R91">
        <v>0.80781999999999998</v>
      </c>
      <c r="T91" t="s">
        <v>211</v>
      </c>
      <c r="U91" s="5">
        <v>9230</v>
      </c>
      <c r="V91">
        <v>37.799999999999997</v>
      </c>
      <c r="W91">
        <v>91</v>
      </c>
      <c r="X91">
        <v>0.58919597989949746</v>
      </c>
      <c r="Y91">
        <v>91</v>
      </c>
      <c r="Z91">
        <v>0.58919597989949746</v>
      </c>
    </row>
    <row r="92" spans="1:26" x14ac:dyDescent="0.2">
      <c r="A92" t="str">
        <f t="shared" si="4"/>
        <v/>
      </c>
      <c r="B92" t="s">
        <v>213</v>
      </c>
      <c r="C92">
        <v>0.68149999999999999</v>
      </c>
      <c r="D92">
        <f t="shared" si="5"/>
        <v>17450</v>
      </c>
      <c r="E92">
        <f t="shared" si="6"/>
        <v>0.3</v>
      </c>
      <c r="F92">
        <f t="shared" si="7"/>
        <v>0.76239999999999997</v>
      </c>
      <c r="H92" t="s">
        <v>205</v>
      </c>
      <c r="I92">
        <v>0.49320000000000003</v>
      </c>
      <c r="K92" t="s">
        <v>199</v>
      </c>
      <c r="L92">
        <v>0.59989000000000003</v>
      </c>
      <c r="N92" t="s">
        <v>173</v>
      </c>
      <c r="O92">
        <v>0.70931999999999995</v>
      </c>
      <c r="Q92" t="s">
        <v>130</v>
      </c>
      <c r="R92">
        <v>0.80684999999999996</v>
      </c>
      <c r="T92" t="s">
        <v>213</v>
      </c>
      <c r="U92" s="5">
        <v>17450</v>
      </c>
      <c r="V92">
        <v>0.3</v>
      </c>
      <c r="W92">
        <v>92</v>
      </c>
      <c r="X92">
        <v>0.59296482412060303</v>
      </c>
      <c r="Y92">
        <v>92</v>
      </c>
      <c r="Z92">
        <v>0.59296482412060303</v>
      </c>
    </row>
    <row r="93" spans="1:26" x14ac:dyDescent="0.2">
      <c r="A93" t="str">
        <f t="shared" si="4"/>
        <v/>
      </c>
      <c r="B93" t="s">
        <v>214</v>
      </c>
      <c r="C93">
        <v>0.67732999999999999</v>
      </c>
      <c r="D93">
        <f t="shared" si="5"/>
        <v>26320</v>
      </c>
      <c r="E93">
        <f t="shared" si="6"/>
        <v>0.1</v>
      </c>
      <c r="F93">
        <f t="shared" si="7"/>
        <v>0.89126000000000005</v>
      </c>
      <c r="H93" t="s">
        <v>203</v>
      </c>
      <c r="I93">
        <v>0.47949999999999998</v>
      </c>
      <c r="K93" t="s">
        <v>228</v>
      </c>
      <c r="L93">
        <v>0.59869000000000006</v>
      </c>
      <c r="N93" t="s">
        <v>21</v>
      </c>
      <c r="O93">
        <v>0.70830000000000004</v>
      </c>
      <c r="Q93" t="s">
        <v>165</v>
      </c>
      <c r="R93">
        <v>0.80654000000000003</v>
      </c>
      <c r="T93" t="s">
        <v>214</v>
      </c>
      <c r="U93" s="5">
        <v>26320</v>
      </c>
      <c r="V93">
        <v>0.1</v>
      </c>
      <c r="W93">
        <v>93</v>
      </c>
      <c r="X93">
        <v>0.5967336683417086</v>
      </c>
      <c r="Y93">
        <v>93</v>
      </c>
      <c r="Z93">
        <v>0.5967336683417086</v>
      </c>
    </row>
    <row r="94" spans="1:26" x14ac:dyDescent="0.2">
      <c r="A94" t="str">
        <f t="shared" si="4"/>
        <v/>
      </c>
      <c r="B94" t="s">
        <v>216</v>
      </c>
      <c r="C94">
        <v>0.67544000000000004</v>
      </c>
      <c r="D94">
        <f t="shared" si="5"/>
        <v>12080</v>
      </c>
      <c r="E94">
        <f t="shared" si="6"/>
        <v>0.9</v>
      </c>
      <c r="F94">
        <f t="shared" si="7"/>
        <v>0.75066999999999995</v>
      </c>
      <c r="H94" t="s">
        <v>30</v>
      </c>
      <c r="I94">
        <v>0.47949999999999998</v>
      </c>
      <c r="K94" t="s">
        <v>201</v>
      </c>
      <c r="L94">
        <v>0.59506999999999999</v>
      </c>
      <c r="N94" t="s">
        <v>159</v>
      </c>
      <c r="O94">
        <v>0.70609999999999995</v>
      </c>
      <c r="Q94" t="s">
        <v>191</v>
      </c>
      <c r="R94">
        <v>0.79468000000000005</v>
      </c>
      <c r="T94" t="s">
        <v>216</v>
      </c>
      <c r="U94" s="5">
        <v>12080</v>
      </c>
      <c r="V94">
        <v>0.9</v>
      </c>
      <c r="W94">
        <v>94</v>
      </c>
      <c r="X94">
        <v>0.60050251256281406</v>
      </c>
      <c r="Y94">
        <v>94</v>
      </c>
      <c r="Z94">
        <v>0.60050251256281406</v>
      </c>
    </row>
    <row r="95" spans="1:26" x14ac:dyDescent="0.2">
      <c r="A95" t="str">
        <f t="shared" si="4"/>
        <v/>
      </c>
      <c r="B95" t="s">
        <v>203</v>
      </c>
      <c r="C95">
        <v>0.67452999999999996</v>
      </c>
      <c r="D95">
        <f t="shared" si="5"/>
        <v>19150</v>
      </c>
      <c r="E95">
        <f t="shared" si="6"/>
        <v>0.5</v>
      </c>
      <c r="F95">
        <f t="shared" si="7"/>
        <v>0.78856000000000004</v>
      </c>
      <c r="H95" t="s">
        <v>159</v>
      </c>
      <c r="I95">
        <v>0.46579999999999999</v>
      </c>
      <c r="K95" t="s">
        <v>181</v>
      </c>
      <c r="L95">
        <v>0.59031999999999996</v>
      </c>
      <c r="N95" t="s">
        <v>217</v>
      </c>
      <c r="O95">
        <v>0.70599999999999996</v>
      </c>
      <c r="Q95" t="s">
        <v>239</v>
      </c>
      <c r="R95">
        <v>0.79425999999999997</v>
      </c>
      <c r="T95" t="s">
        <v>203</v>
      </c>
      <c r="U95" s="5">
        <v>19150</v>
      </c>
      <c r="V95">
        <v>0.5</v>
      </c>
      <c r="W95">
        <v>95</v>
      </c>
      <c r="X95">
        <v>0.60427135678391952</v>
      </c>
      <c r="Y95">
        <v>95</v>
      </c>
      <c r="Z95">
        <v>0.60427135678391952</v>
      </c>
    </row>
    <row r="96" spans="1:26" x14ac:dyDescent="0.2">
      <c r="A96" t="str">
        <f t="shared" si="4"/>
        <v>Egypt</v>
      </c>
      <c r="B96" t="s">
        <v>218</v>
      </c>
      <c r="C96">
        <v>0.66993999999999998</v>
      </c>
      <c r="D96">
        <f t="shared" si="5"/>
        <v>14000</v>
      </c>
      <c r="E96">
        <f t="shared" si="6"/>
        <v>110.9</v>
      </c>
      <c r="F96">
        <f t="shared" si="7"/>
        <v>0.69455999999999996</v>
      </c>
      <c r="H96" t="s">
        <v>219</v>
      </c>
      <c r="I96">
        <v>0.46579999999999999</v>
      </c>
      <c r="K96" t="s">
        <v>234</v>
      </c>
      <c r="L96">
        <v>0.58862000000000003</v>
      </c>
      <c r="N96" t="s">
        <v>182</v>
      </c>
      <c r="O96">
        <v>0.70233000000000001</v>
      </c>
      <c r="Q96" t="s">
        <v>225</v>
      </c>
      <c r="R96">
        <v>0.79359000000000002</v>
      </c>
      <c r="T96" t="s">
        <v>218</v>
      </c>
      <c r="U96" s="5">
        <v>14000</v>
      </c>
      <c r="V96">
        <v>110.9</v>
      </c>
      <c r="W96">
        <v>96</v>
      </c>
      <c r="X96">
        <v>0.6080402010050252</v>
      </c>
      <c r="Y96">
        <v>96</v>
      </c>
      <c r="Z96">
        <v>0.6080402010050252</v>
      </c>
    </row>
    <row r="97" spans="1:26" x14ac:dyDescent="0.2">
      <c r="A97" t="str">
        <f t="shared" si="4"/>
        <v>Jamaica</v>
      </c>
      <c r="B97" t="s">
        <v>221</v>
      </c>
      <c r="C97">
        <v>0.66776999999999997</v>
      </c>
      <c r="D97">
        <f t="shared" si="5"/>
        <v>10990</v>
      </c>
      <c r="E97">
        <f t="shared" si="6"/>
        <v>2.8</v>
      </c>
      <c r="F97">
        <f t="shared" si="7"/>
        <v>0.72963</v>
      </c>
      <c r="H97" t="s">
        <v>45</v>
      </c>
      <c r="I97">
        <v>0.46579999999999999</v>
      </c>
      <c r="K97" t="s">
        <v>179</v>
      </c>
      <c r="L97">
        <v>0.58020000000000005</v>
      </c>
      <c r="N97" t="s">
        <v>45</v>
      </c>
      <c r="O97">
        <v>0.69908999999999999</v>
      </c>
      <c r="Q97" t="s">
        <v>203</v>
      </c>
      <c r="R97">
        <v>0.78856000000000004</v>
      </c>
      <c r="T97" t="s">
        <v>221</v>
      </c>
      <c r="U97" s="5">
        <v>10990</v>
      </c>
      <c r="V97">
        <v>2.8</v>
      </c>
      <c r="W97">
        <v>97</v>
      </c>
      <c r="X97">
        <v>0.61180904522613067</v>
      </c>
      <c r="Y97">
        <v>97</v>
      </c>
      <c r="Z97">
        <v>0.61180904522613067</v>
      </c>
    </row>
    <row r="98" spans="1:26" x14ac:dyDescent="0.2">
      <c r="A98" t="str">
        <f t="shared" si="4"/>
        <v>India</v>
      </c>
      <c r="B98" t="s">
        <v>222</v>
      </c>
      <c r="C98">
        <v>0.66776000000000002</v>
      </c>
      <c r="D98">
        <f t="shared" si="5"/>
        <v>7130</v>
      </c>
      <c r="E98">
        <f t="shared" si="6"/>
        <v>1417.2</v>
      </c>
      <c r="F98">
        <f t="shared" si="7"/>
        <v>0.57003999999999999</v>
      </c>
      <c r="H98" t="s">
        <v>196</v>
      </c>
      <c r="I98">
        <v>0.46579999999999999</v>
      </c>
      <c r="K98" t="s">
        <v>185</v>
      </c>
      <c r="L98">
        <v>0.57598000000000005</v>
      </c>
      <c r="N98" t="s">
        <v>223</v>
      </c>
      <c r="O98">
        <v>0.69557000000000002</v>
      </c>
      <c r="Q98" t="s">
        <v>224</v>
      </c>
      <c r="R98">
        <v>0.78510999999999997</v>
      </c>
      <c r="T98" t="s">
        <v>222</v>
      </c>
      <c r="U98" s="5">
        <v>7130</v>
      </c>
      <c r="V98" s="7">
        <v>1417.2</v>
      </c>
      <c r="W98">
        <v>98</v>
      </c>
      <c r="X98">
        <v>0.61557788944723613</v>
      </c>
      <c r="Y98">
        <v>98</v>
      </c>
      <c r="Z98">
        <v>0.61557788944723613</v>
      </c>
    </row>
    <row r="99" spans="1:26" x14ac:dyDescent="0.2">
      <c r="A99" t="str">
        <f t="shared" si="4"/>
        <v>Sri Lanka</v>
      </c>
      <c r="B99" t="s">
        <v>225</v>
      </c>
      <c r="C99">
        <v>0.66668000000000005</v>
      </c>
      <c r="D99">
        <f t="shared" si="5"/>
        <v>12570</v>
      </c>
      <c r="E99">
        <f t="shared" si="6"/>
        <v>21.5</v>
      </c>
      <c r="F99">
        <f t="shared" si="7"/>
        <v>0.79359000000000002</v>
      </c>
      <c r="H99" t="s">
        <v>226</v>
      </c>
      <c r="I99">
        <v>0.46579999999999999</v>
      </c>
      <c r="K99" t="s">
        <v>221</v>
      </c>
      <c r="L99">
        <v>0.56772</v>
      </c>
      <c r="N99" t="s">
        <v>227</v>
      </c>
      <c r="O99">
        <v>0.69316</v>
      </c>
      <c r="Q99" t="s">
        <v>245</v>
      </c>
      <c r="R99">
        <v>0.77627999999999997</v>
      </c>
      <c r="T99" t="s">
        <v>225</v>
      </c>
      <c r="U99" s="5">
        <v>12570</v>
      </c>
      <c r="V99">
        <v>21.5</v>
      </c>
      <c r="W99">
        <v>99</v>
      </c>
      <c r="X99">
        <v>0.6193467336683417</v>
      </c>
      <c r="Y99">
        <v>99</v>
      </c>
      <c r="Z99">
        <v>0.6193467336683417</v>
      </c>
    </row>
    <row r="100" spans="1:26" x14ac:dyDescent="0.2">
      <c r="A100" t="str">
        <f t="shared" si="4"/>
        <v>Bolivia</v>
      </c>
      <c r="B100" t="s">
        <v>228</v>
      </c>
      <c r="C100">
        <v>0.66508</v>
      </c>
      <c r="D100">
        <f t="shared" si="5"/>
        <v>8550</v>
      </c>
      <c r="E100">
        <f t="shared" si="6"/>
        <v>12.1</v>
      </c>
      <c r="F100">
        <f t="shared" si="7"/>
        <v>0.70889999999999997</v>
      </c>
      <c r="H100" t="s">
        <v>229</v>
      </c>
      <c r="I100">
        <v>0.4521</v>
      </c>
      <c r="K100" t="s">
        <v>95</v>
      </c>
      <c r="L100">
        <v>0.56521999999999994</v>
      </c>
      <c r="N100" t="s">
        <v>215</v>
      </c>
      <c r="O100">
        <v>0.68764999999999998</v>
      </c>
      <c r="Q100" t="s">
        <v>151</v>
      </c>
      <c r="R100">
        <v>0.77497000000000005</v>
      </c>
      <c r="T100" t="s">
        <v>228</v>
      </c>
      <c r="U100" s="5">
        <v>8550</v>
      </c>
      <c r="V100">
        <v>12.1</v>
      </c>
      <c r="W100">
        <v>100</v>
      </c>
      <c r="X100">
        <v>0.62311557788944727</v>
      </c>
      <c r="Y100">
        <v>100</v>
      </c>
      <c r="Z100">
        <v>0.62311557788944727</v>
      </c>
    </row>
    <row r="101" spans="1:26" x14ac:dyDescent="0.2">
      <c r="A101" t="str">
        <f t="shared" si="4"/>
        <v>Bangladesh</v>
      </c>
      <c r="B101" t="s">
        <v>230</v>
      </c>
      <c r="C101">
        <v>0.65695999999999999</v>
      </c>
      <c r="D101">
        <f t="shared" si="5"/>
        <v>6530</v>
      </c>
      <c r="E101">
        <f t="shared" si="6"/>
        <v>171.2</v>
      </c>
      <c r="F101">
        <f t="shared" si="7"/>
        <v>0.65010000000000001</v>
      </c>
      <c r="H101" t="s">
        <v>231</v>
      </c>
      <c r="I101">
        <v>0.4521</v>
      </c>
      <c r="K101" t="s">
        <v>211</v>
      </c>
      <c r="L101">
        <v>0.56184000000000001</v>
      </c>
      <c r="N101" t="s">
        <v>186</v>
      </c>
      <c r="O101">
        <v>0.68662999999999996</v>
      </c>
      <c r="Q101" t="s">
        <v>199</v>
      </c>
      <c r="R101">
        <v>0.77454000000000001</v>
      </c>
      <c r="T101" t="s">
        <v>230</v>
      </c>
      <c r="U101" s="5">
        <v>6530</v>
      </c>
      <c r="V101">
        <v>171.2</v>
      </c>
      <c r="W101">
        <v>101</v>
      </c>
      <c r="X101">
        <v>0.62688442211055273</v>
      </c>
      <c r="Y101">
        <v>101</v>
      </c>
      <c r="Z101">
        <v>0.62688442211055273</v>
      </c>
    </row>
    <row r="102" spans="1:26" x14ac:dyDescent="0.2">
      <c r="A102" t="str">
        <f t="shared" si="4"/>
        <v>Iran</v>
      </c>
      <c r="B102" t="s">
        <v>143</v>
      </c>
      <c r="C102">
        <v>0.65639000000000003</v>
      </c>
      <c r="D102">
        <f t="shared" si="5"/>
        <v>16790</v>
      </c>
      <c r="E102">
        <f t="shared" si="6"/>
        <v>88.6</v>
      </c>
      <c r="F102">
        <f t="shared" si="7"/>
        <v>0.89868999999999999</v>
      </c>
      <c r="H102" t="s">
        <v>192</v>
      </c>
      <c r="I102">
        <v>0.4521</v>
      </c>
      <c r="K102" t="s">
        <v>225</v>
      </c>
      <c r="L102">
        <v>0.54937000000000002</v>
      </c>
      <c r="N102" t="s">
        <v>155</v>
      </c>
      <c r="O102">
        <v>0.67688000000000004</v>
      </c>
      <c r="Q102" t="s">
        <v>267</v>
      </c>
      <c r="R102">
        <v>0.76529000000000003</v>
      </c>
      <c r="T102" t="s">
        <v>143</v>
      </c>
      <c r="U102" s="5">
        <v>16790</v>
      </c>
      <c r="V102">
        <v>88.6</v>
      </c>
      <c r="W102">
        <v>102</v>
      </c>
      <c r="X102">
        <v>0.6306532663316583</v>
      </c>
      <c r="Y102">
        <v>102</v>
      </c>
      <c r="Z102">
        <v>0.6306532663316583</v>
      </c>
    </row>
    <row r="103" spans="1:26" x14ac:dyDescent="0.2">
      <c r="A103" t="str">
        <f t="shared" si="4"/>
        <v/>
      </c>
      <c r="B103" t="s">
        <v>233</v>
      </c>
      <c r="C103">
        <v>0.65508999999999995</v>
      </c>
      <c r="E103">
        <f t="shared" si="6"/>
        <v>0.03</v>
      </c>
      <c r="F103">
        <f t="shared" si="7"/>
        <v>0.94911999999999996</v>
      </c>
      <c r="H103" t="s">
        <v>217</v>
      </c>
      <c r="I103">
        <v>0.43840000000000001</v>
      </c>
      <c r="K103" t="s">
        <v>195</v>
      </c>
      <c r="L103">
        <v>0.54020999999999997</v>
      </c>
      <c r="N103" t="s">
        <v>112</v>
      </c>
      <c r="O103">
        <v>0.66683999999999999</v>
      </c>
      <c r="Q103" t="s">
        <v>213</v>
      </c>
      <c r="R103">
        <v>0.76239999999999997</v>
      </c>
      <c r="T103" t="s">
        <v>233</v>
      </c>
      <c r="U103" s="5" t="s">
        <v>118</v>
      </c>
      <c r="V103">
        <v>0.03</v>
      </c>
      <c r="W103">
        <v>103</v>
      </c>
      <c r="X103">
        <v>0.63442211055276387</v>
      </c>
      <c r="Y103">
        <v>103</v>
      </c>
      <c r="Z103">
        <v>0.63442211055276387</v>
      </c>
    </row>
    <row r="104" spans="1:26" x14ac:dyDescent="0.2">
      <c r="A104" t="str">
        <f t="shared" si="4"/>
        <v/>
      </c>
      <c r="B104" t="s">
        <v>234</v>
      </c>
      <c r="C104">
        <v>0.65110000000000001</v>
      </c>
      <c r="D104">
        <f t="shared" si="5"/>
        <v>10840</v>
      </c>
      <c r="E104">
        <f t="shared" si="6"/>
        <v>0.8</v>
      </c>
      <c r="F104">
        <f t="shared" si="7"/>
        <v>0.81694999999999995</v>
      </c>
      <c r="H104" t="s">
        <v>157</v>
      </c>
      <c r="I104">
        <v>0.43840000000000001</v>
      </c>
      <c r="K104" t="s">
        <v>311</v>
      </c>
      <c r="L104">
        <v>0.53718999999999995</v>
      </c>
      <c r="N104" t="s">
        <v>236</v>
      </c>
      <c r="O104">
        <v>0.66137000000000001</v>
      </c>
      <c r="Q104" t="s">
        <v>268</v>
      </c>
      <c r="R104">
        <v>0.76093999999999995</v>
      </c>
      <c r="T104" t="s">
        <v>234</v>
      </c>
      <c r="U104" s="5">
        <v>10840</v>
      </c>
      <c r="V104">
        <v>0.8</v>
      </c>
      <c r="W104">
        <v>104</v>
      </c>
      <c r="X104">
        <v>0.63819095477386933</v>
      </c>
      <c r="Y104">
        <v>104</v>
      </c>
      <c r="Z104">
        <v>0.63819095477386933</v>
      </c>
    </row>
    <row r="105" spans="1:26" x14ac:dyDescent="0.2">
      <c r="A105" t="str">
        <f t="shared" si="4"/>
        <v/>
      </c>
      <c r="B105" t="s">
        <v>238</v>
      </c>
      <c r="C105">
        <v>0.64576999999999996</v>
      </c>
      <c r="D105">
        <f t="shared" si="5"/>
        <v>17460</v>
      </c>
      <c r="E105">
        <f t="shared" si="6"/>
        <v>0.1</v>
      </c>
      <c r="F105">
        <f t="shared" si="7"/>
        <v>0.67674000000000001</v>
      </c>
      <c r="H105" t="s">
        <v>212</v>
      </c>
      <c r="I105">
        <v>0.43840000000000001</v>
      </c>
      <c r="K105" t="s">
        <v>216</v>
      </c>
      <c r="L105">
        <v>0.53430999999999995</v>
      </c>
      <c r="N105" t="s">
        <v>99</v>
      </c>
      <c r="O105">
        <v>0.65866000000000002</v>
      </c>
      <c r="Q105" t="s">
        <v>175</v>
      </c>
      <c r="R105">
        <v>0.75544</v>
      </c>
      <c r="T105" t="s">
        <v>238</v>
      </c>
      <c r="U105" s="5">
        <v>17460</v>
      </c>
      <c r="V105">
        <v>0.1</v>
      </c>
      <c r="W105">
        <v>105</v>
      </c>
      <c r="X105">
        <v>0.64195979899497491</v>
      </c>
      <c r="Y105">
        <v>105</v>
      </c>
      <c r="Z105">
        <v>0.64195979899497491</v>
      </c>
    </row>
    <row r="106" spans="1:26" x14ac:dyDescent="0.2">
      <c r="A106" t="str">
        <f t="shared" si="4"/>
        <v/>
      </c>
      <c r="B106" t="s">
        <v>239</v>
      </c>
      <c r="C106">
        <v>0.64281999999999995</v>
      </c>
      <c r="D106">
        <f t="shared" si="5"/>
        <v>21840</v>
      </c>
      <c r="E106">
        <f t="shared" si="6"/>
        <v>0.1</v>
      </c>
      <c r="F106">
        <f t="shared" si="7"/>
        <v>0.79425999999999997</v>
      </c>
      <c r="H106" t="s">
        <v>215</v>
      </c>
      <c r="I106">
        <v>0.42470000000000002</v>
      </c>
      <c r="K106" t="s">
        <v>240</v>
      </c>
      <c r="L106">
        <v>0.52193999999999996</v>
      </c>
      <c r="N106" t="s">
        <v>220</v>
      </c>
      <c r="O106">
        <v>0.65703999999999996</v>
      </c>
      <c r="Q106" t="s">
        <v>182</v>
      </c>
      <c r="R106">
        <v>0.75458999999999998</v>
      </c>
      <c r="T106" t="s">
        <v>239</v>
      </c>
      <c r="U106" s="5">
        <v>21840</v>
      </c>
      <c r="V106">
        <v>0.1</v>
      </c>
      <c r="W106">
        <v>106</v>
      </c>
      <c r="X106">
        <v>0.64572864321608037</v>
      </c>
      <c r="Y106">
        <v>106</v>
      </c>
      <c r="Z106">
        <v>0.64572864321608037</v>
      </c>
    </row>
    <row r="107" spans="1:26" x14ac:dyDescent="0.2">
      <c r="A107" t="str">
        <f t="shared" si="4"/>
        <v/>
      </c>
      <c r="B107" t="s">
        <v>241</v>
      </c>
      <c r="C107">
        <v>0.63654999999999995</v>
      </c>
      <c r="D107">
        <f t="shared" si="5"/>
        <v>15120</v>
      </c>
      <c r="E107">
        <f t="shared" si="6"/>
        <v>0.6</v>
      </c>
      <c r="F107">
        <f t="shared" si="7"/>
        <v>0.87141000000000002</v>
      </c>
      <c r="H107" t="s">
        <v>242</v>
      </c>
      <c r="I107">
        <v>0.42470000000000002</v>
      </c>
      <c r="K107" t="s">
        <v>115</v>
      </c>
      <c r="L107">
        <v>0.52141999999999999</v>
      </c>
      <c r="N107" t="s">
        <v>243</v>
      </c>
      <c r="O107">
        <v>0.65305000000000002</v>
      </c>
      <c r="Q107" t="s">
        <v>259</v>
      </c>
      <c r="R107">
        <v>0.75263999999999998</v>
      </c>
      <c r="T107" t="s">
        <v>241</v>
      </c>
      <c r="U107" s="5">
        <v>15120</v>
      </c>
      <c r="V107">
        <v>0.6</v>
      </c>
      <c r="W107">
        <v>107</v>
      </c>
      <c r="X107">
        <v>0.64949748743718594</v>
      </c>
      <c r="Y107">
        <v>107</v>
      </c>
      <c r="Z107">
        <v>0.64949748743718594</v>
      </c>
    </row>
    <row r="108" spans="1:26" x14ac:dyDescent="0.2">
      <c r="A108" t="str">
        <f t="shared" si="4"/>
        <v>Bosnia and Herzegovina</v>
      </c>
      <c r="B108" t="s">
        <v>245</v>
      </c>
      <c r="C108">
        <v>0.63292999999999999</v>
      </c>
      <c r="D108">
        <f t="shared" si="5"/>
        <v>17650</v>
      </c>
      <c r="E108">
        <f t="shared" si="6"/>
        <v>3.2</v>
      </c>
      <c r="F108">
        <f t="shared" si="7"/>
        <v>0.77627999999999997</v>
      </c>
      <c r="H108" t="s">
        <v>246</v>
      </c>
      <c r="I108">
        <v>0.42470000000000002</v>
      </c>
      <c r="K108" t="s">
        <v>313</v>
      </c>
      <c r="L108">
        <v>0.52015999999999996</v>
      </c>
      <c r="N108" t="s">
        <v>192</v>
      </c>
      <c r="O108">
        <v>0.64964999999999995</v>
      </c>
      <c r="Q108" t="s">
        <v>216</v>
      </c>
      <c r="R108">
        <v>0.75066999999999995</v>
      </c>
      <c r="T108" t="s">
        <v>245</v>
      </c>
      <c r="U108" s="5">
        <v>17650</v>
      </c>
      <c r="V108">
        <v>3.2</v>
      </c>
      <c r="W108">
        <v>108</v>
      </c>
      <c r="X108">
        <v>0.6532663316582914</v>
      </c>
      <c r="Y108">
        <v>108</v>
      </c>
      <c r="Z108">
        <v>0.6532663316582914</v>
      </c>
    </row>
    <row r="109" spans="1:26" x14ac:dyDescent="0.2">
      <c r="A109" t="str">
        <f t="shared" si="4"/>
        <v>Ghana</v>
      </c>
      <c r="B109" t="s">
        <v>248</v>
      </c>
      <c r="C109">
        <v>0.63168999999999997</v>
      </c>
      <c r="D109">
        <f t="shared" si="5"/>
        <v>6220</v>
      </c>
      <c r="E109">
        <f t="shared" si="6"/>
        <v>32.799999999999997</v>
      </c>
      <c r="F109">
        <f t="shared" si="7"/>
        <v>0.72814000000000001</v>
      </c>
      <c r="H109" t="s">
        <v>131</v>
      </c>
      <c r="I109">
        <v>0.41099999999999998</v>
      </c>
      <c r="K109" t="s">
        <v>259</v>
      </c>
      <c r="L109">
        <v>0.50897000000000003</v>
      </c>
      <c r="N109" t="s">
        <v>154</v>
      </c>
      <c r="O109">
        <v>0.64578999999999998</v>
      </c>
      <c r="Q109" t="s">
        <v>197</v>
      </c>
      <c r="R109">
        <v>0.74439999999999995</v>
      </c>
      <c r="T109" t="s">
        <v>248</v>
      </c>
      <c r="U109" s="5">
        <v>6220</v>
      </c>
      <c r="V109">
        <v>32.799999999999997</v>
      </c>
      <c r="W109">
        <v>109</v>
      </c>
      <c r="X109">
        <v>0.65703517587939697</v>
      </c>
      <c r="Y109">
        <v>109</v>
      </c>
      <c r="Z109">
        <v>0.65703517587939697</v>
      </c>
    </row>
    <row r="110" spans="1:26" x14ac:dyDescent="0.2">
      <c r="A110" t="str">
        <f t="shared" si="4"/>
        <v>Kenya</v>
      </c>
      <c r="B110" t="s">
        <v>249</v>
      </c>
      <c r="C110">
        <v>0.63139999999999996</v>
      </c>
      <c r="D110">
        <f t="shared" si="5"/>
        <v>5150</v>
      </c>
      <c r="E110">
        <f t="shared" si="6"/>
        <v>54</v>
      </c>
      <c r="F110">
        <f t="shared" si="7"/>
        <v>0.59014999999999995</v>
      </c>
      <c r="H110" t="s">
        <v>240</v>
      </c>
      <c r="I110">
        <v>0.41099999999999998</v>
      </c>
      <c r="K110" t="s">
        <v>238</v>
      </c>
      <c r="L110">
        <v>0.50555000000000005</v>
      </c>
      <c r="N110" t="s">
        <v>250</v>
      </c>
      <c r="O110">
        <v>0.64531000000000005</v>
      </c>
      <c r="Q110" t="s">
        <v>295</v>
      </c>
      <c r="R110">
        <v>0.73285</v>
      </c>
      <c r="T110" t="s">
        <v>249</v>
      </c>
      <c r="U110" s="5">
        <v>5150</v>
      </c>
      <c r="V110">
        <v>54</v>
      </c>
      <c r="W110">
        <v>110</v>
      </c>
      <c r="X110">
        <v>0.66080402010050254</v>
      </c>
      <c r="Y110">
        <v>110</v>
      </c>
      <c r="Z110">
        <v>0.66080402010050254</v>
      </c>
    </row>
    <row r="111" spans="1:26" x14ac:dyDescent="0.2">
      <c r="A111" t="str">
        <f t="shared" si="4"/>
        <v/>
      </c>
      <c r="B111" t="s">
        <v>251</v>
      </c>
      <c r="C111">
        <v>0.63053999999999999</v>
      </c>
      <c r="D111">
        <f t="shared" si="5"/>
        <v>25940</v>
      </c>
      <c r="E111">
        <f t="shared" si="6"/>
        <v>0.05</v>
      </c>
      <c r="F111">
        <f t="shared" si="7"/>
        <v>0.86745000000000005</v>
      </c>
      <c r="H111" t="s">
        <v>220</v>
      </c>
      <c r="I111">
        <v>0.41099999999999998</v>
      </c>
      <c r="K111" t="s">
        <v>245</v>
      </c>
      <c r="L111">
        <v>0.50027999999999995</v>
      </c>
      <c r="N111" t="s">
        <v>208</v>
      </c>
      <c r="O111">
        <v>0.64178999999999997</v>
      </c>
      <c r="Q111" t="s">
        <v>221</v>
      </c>
      <c r="R111">
        <v>0.72963</v>
      </c>
      <c r="T111" t="s">
        <v>251</v>
      </c>
      <c r="U111" s="5">
        <v>25940</v>
      </c>
      <c r="V111">
        <v>0.05</v>
      </c>
      <c r="W111">
        <v>111</v>
      </c>
      <c r="X111">
        <v>0.664572864321608</v>
      </c>
      <c r="Y111">
        <v>111</v>
      </c>
      <c r="Z111">
        <v>0.664572864321608</v>
      </c>
    </row>
    <row r="112" spans="1:26" x14ac:dyDescent="0.2">
      <c r="A112" t="str">
        <f t="shared" si="4"/>
        <v/>
      </c>
      <c r="B112" t="s">
        <v>252</v>
      </c>
      <c r="C112">
        <v>0.62378</v>
      </c>
      <c r="D112">
        <f t="shared" si="5"/>
        <v>7000</v>
      </c>
      <c r="E112">
        <f t="shared" si="6"/>
        <v>0.6</v>
      </c>
      <c r="F112">
        <f t="shared" si="7"/>
        <v>0.61277999999999999</v>
      </c>
      <c r="H112" t="s">
        <v>253</v>
      </c>
      <c r="I112">
        <v>0.41099999999999998</v>
      </c>
      <c r="K112" t="s">
        <v>258</v>
      </c>
      <c r="L112">
        <v>0.49958000000000002</v>
      </c>
      <c r="N112" t="s">
        <v>255</v>
      </c>
      <c r="O112">
        <v>0.62690000000000001</v>
      </c>
      <c r="Q112" t="s">
        <v>258</v>
      </c>
      <c r="R112">
        <v>0.72879000000000005</v>
      </c>
      <c r="T112" t="s">
        <v>252</v>
      </c>
      <c r="U112" s="5">
        <v>7000</v>
      </c>
      <c r="V112">
        <v>0.6</v>
      </c>
      <c r="W112">
        <v>112</v>
      </c>
      <c r="X112">
        <v>0.66834170854271358</v>
      </c>
      <c r="Y112">
        <v>112</v>
      </c>
      <c r="Z112">
        <v>0.66834170854271358</v>
      </c>
    </row>
    <row r="113" spans="1:26" x14ac:dyDescent="0.2">
      <c r="A113" t="str">
        <f t="shared" si="4"/>
        <v>Botswana</v>
      </c>
      <c r="B113" t="s">
        <v>256</v>
      </c>
      <c r="C113">
        <v>0.61177999999999999</v>
      </c>
      <c r="D113">
        <f t="shared" si="5"/>
        <v>17220</v>
      </c>
      <c r="E113">
        <f t="shared" si="6"/>
        <v>2.4</v>
      </c>
      <c r="F113">
        <f t="shared" si="7"/>
        <v>0.86495</v>
      </c>
      <c r="H113" t="s">
        <v>184</v>
      </c>
      <c r="I113">
        <v>0.39729999999999999</v>
      </c>
      <c r="K113" t="s">
        <v>213</v>
      </c>
      <c r="L113">
        <v>0.49754999999999999</v>
      </c>
      <c r="N113" t="s">
        <v>253</v>
      </c>
      <c r="O113">
        <v>0.62251999999999996</v>
      </c>
      <c r="Q113" t="s">
        <v>248</v>
      </c>
      <c r="R113">
        <v>0.72814000000000001</v>
      </c>
      <c r="T113" t="s">
        <v>256</v>
      </c>
      <c r="U113" s="5">
        <v>17220</v>
      </c>
      <c r="V113">
        <v>2.4</v>
      </c>
      <c r="W113">
        <v>113</v>
      </c>
      <c r="X113">
        <v>0.67211055276381915</v>
      </c>
      <c r="Y113">
        <v>113</v>
      </c>
      <c r="Z113">
        <v>0.67211055276381915</v>
      </c>
    </row>
    <row r="114" spans="1:26" x14ac:dyDescent="0.2">
      <c r="A114" t="str">
        <f t="shared" si="4"/>
        <v>Eswatini</v>
      </c>
      <c r="B114" t="s">
        <v>224</v>
      </c>
      <c r="C114">
        <v>0.60811999999999999</v>
      </c>
      <c r="D114">
        <f t="shared" si="5"/>
        <v>9550</v>
      </c>
      <c r="E114">
        <f t="shared" si="6"/>
        <v>1.2</v>
      </c>
      <c r="F114">
        <f t="shared" si="7"/>
        <v>0.78510999999999997</v>
      </c>
      <c r="H114" t="s">
        <v>244</v>
      </c>
      <c r="I114">
        <v>0.3836</v>
      </c>
      <c r="K114" t="s">
        <v>343</v>
      </c>
      <c r="L114">
        <v>0.49696000000000001</v>
      </c>
      <c r="N114" t="s">
        <v>189</v>
      </c>
      <c r="O114">
        <v>0.62219000000000002</v>
      </c>
      <c r="Q114" t="s">
        <v>228</v>
      </c>
      <c r="R114">
        <v>0.70889999999999997</v>
      </c>
      <c r="T114" t="s">
        <v>224</v>
      </c>
      <c r="U114" s="5">
        <v>9550</v>
      </c>
      <c r="V114">
        <v>1.2</v>
      </c>
      <c r="W114">
        <v>114</v>
      </c>
      <c r="X114">
        <v>0.67587939698492461</v>
      </c>
      <c r="Y114">
        <v>114</v>
      </c>
      <c r="Z114">
        <v>0.67587939698492461</v>
      </c>
    </row>
    <row r="115" spans="1:26" x14ac:dyDescent="0.2">
      <c r="A115" t="str">
        <f t="shared" si="4"/>
        <v>Namibia</v>
      </c>
      <c r="B115" t="s">
        <v>258</v>
      </c>
      <c r="C115">
        <v>0.60074000000000005</v>
      </c>
      <c r="D115">
        <f t="shared" si="5"/>
        <v>9650</v>
      </c>
      <c r="E115">
        <f t="shared" si="6"/>
        <v>2.5</v>
      </c>
      <c r="F115">
        <f t="shared" si="7"/>
        <v>0.72879000000000005</v>
      </c>
      <c r="H115" t="s">
        <v>224</v>
      </c>
      <c r="I115">
        <v>0.3836</v>
      </c>
      <c r="K115" t="s">
        <v>285</v>
      </c>
      <c r="L115">
        <v>0.49584</v>
      </c>
      <c r="N115" t="s">
        <v>177</v>
      </c>
      <c r="O115">
        <v>0.61502999999999997</v>
      </c>
      <c r="Q115" t="s">
        <v>218</v>
      </c>
      <c r="R115">
        <v>0.69455999999999996</v>
      </c>
      <c r="T115" t="s">
        <v>258</v>
      </c>
      <c r="U115" s="5">
        <v>9650</v>
      </c>
      <c r="V115">
        <v>2.5</v>
      </c>
      <c r="W115">
        <v>115</v>
      </c>
      <c r="X115">
        <v>0.67964824120603018</v>
      </c>
      <c r="Y115">
        <v>115</v>
      </c>
      <c r="Z115">
        <v>0.67964824120603018</v>
      </c>
    </row>
    <row r="116" spans="1:26" x14ac:dyDescent="0.2">
      <c r="A116" t="str">
        <f t="shared" si="4"/>
        <v>El Salvador</v>
      </c>
      <c r="B116" t="s">
        <v>259</v>
      </c>
      <c r="C116">
        <v>0.5988</v>
      </c>
      <c r="D116">
        <f t="shared" si="5"/>
        <v>9000</v>
      </c>
      <c r="E116">
        <f t="shared" si="6"/>
        <v>6.5</v>
      </c>
      <c r="F116">
        <f t="shared" si="7"/>
        <v>0.75263999999999998</v>
      </c>
      <c r="H116" t="s">
        <v>235</v>
      </c>
      <c r="I116">
        <v>0.36990000000000001</v>
      </c>
      <c r="K116" t="s">
        <v>193</v>
      </c>
      <c r="L116">
        <v>0.48376999999999998</v>
      </c>
      <c r="N116" t="s">
        <v>116</v>
      </c>
      <c r="O116">
        <v>0.61487000000000003</v>
      </c>
      <c r="Q116" t="s">
        <v>282</v>
      </c>
      <c r="R116">
        <v>0.69418000000000002</v>
      </c>
      <c r="T116" t="s">
        <v>259</v>
      </c>
      <c r="U116" s="5">
        <v>9000</v>
      </c>
      <c r="V116">
        <v>6.5</v>
      </c>
      <c r="W116">
        <v>116</v>
      </c>
      <c r="X116">
        <v>0.68341708542713564</v>
      </c>
      <c r="Y116">
        <v>116</v>
      </c>
      <c r="Z116">
        <v>0.68341708542713564</v>
      </c>
    </row>
    <row r="117" spans="1:26" x14ac:dyDescent="0.2">
      <c r="A117" t="str">
        <f t="shared" si="4"/>
        <v>Algeria</v>
      </c>
      <c r="B117" t="s">
        <v>261</v>
      </c>
      <c r="C117">
        <v>0.59555999999999998</v>
      </c>
      <c r="D117">
        <f t="shared" si="5"/>
        <v>11430</v>
      </c>
      <c r="E117">
        <f t="shared" si="6"/>
        <v>46.2</v>
      </c>
      <c r="F117">
        <f t="shared" si="7"/>
        <v>0.81289999999999996</v>
      </c>
      <c r="H117" t="s">
        <v>247</v>
      </c>
      <c r="I117">
        <v>0.36990000000000001</v>
      </c>
      <c r="K117" t="s">
        <v>241</v>
      </c>
      <c r="L117">
        <v>0.48137000000000002</v>
      </c>
      <c r="N117" t="s">
        <v>203</v>
      </c>
      <c r="O117">
        <v>0.61297999999999997</v>
      </c>
      <c r="Q117" t="s">
        <v>316</v>
      </c>
      <c r="R117">
        <v>0.68735999999999997</v>
      </c>
      <c r="T117" t="s">
        <v>261</v>
      </c>
      <c r="U117" s="5">
        <v>11430</v>
      </c>
      <c r="V117">
        <v>46.2</v>
      </c>
      <c r="W117">
        <v>117</v>
      </c>
      <c r="X117">
        <v>0.68718592964824121</v>
      </c>
      <c r="Y117">
        <v>117</v>
      </c>
      <c r="Z117">
        <v>0.68718592964824121</v>
      </c>
    </row>
    <row r="118" spans="1:26" x14ac:dyDescent="0.2">
      <c r="A118" t="str">
        <f t="shared" si="4"/>
        <v/>
      </c>
      <c r="B118" t="s">
        <v>263</v>
      </c>
      <c r="C118">
        <v>0.58762000000000003</v>
      </c>
      <c r="D118">
        <f t="shared" si="5"/>
        <v>14990</v>
      </c>
      <c r="E118">
        <f t="shared" si="6"/>
        <v>0.1</v>
      </c>
      <c r="F118">
        <f t="shared" si="7"/>
        <v>0.67674999999999996</v>
      </c>
      <c r="H118" t="s">
        <v>257</v>
      </c>
      <c r="I118">
        <v>0.36990000000000001</v>
      </c>
      <c r="K118" t="s">
        <v>338</v>
      </c>
      <c r="L118">
        <v>0.48081000000000002</v>
      </c>
      <c r="N118" t="s">
        <v>157</v>
      </c>
      <c r="O118">
        <v>0.60782999999999998</v>
      </c>
      <c r="Q118" t="s">
        <v>161</v>
      </c>
      <c r="R118">
        <v>0.68335000000000001</v>
      </c>
      <c r="T118" t="s">
        <v>263</v>
      </c>
      <c r="U118" s="5">
        <v>14990</v>
      </c>
      <c r="V118">
        <v>0.1</v>
      </c>
      <c r="W118">
        <v>118</v>
      </c>
      <c r="X118">
        <v>0.69095477386934667</v>
      </c>
      <c r="Y118">
        <v>118</v>
      </c>
      <c r="Z118">
        <v>0.69095477386934667</v>
      </c>
    </row>
    <row r="119" spans="1:26" x14ac:dyDescent="0.2">
      <c r="A119" t="str">
        <f t="shared" si="4"/>
        <v>Rwanda</v>
      </c>
      <c r="B119" t="s">
        <v>264</v>
      </c>
      <c r="C119">
        <v>0.57992999999999995</v>
      </c>
      <c r="D119">
        <f t="shared" si="5"/>
        <v>2370</v>
      </c>
      <c r="E119">
        <f t="shared" si="6"/>
        <v>13.5</v>
      </c>
      <c r="F119">
        <f t="shared" si="7"/>
        <v>0.37235000000000001</v>
      </c>
      <c r="H119" t="s">
        <v>200</v>
      </c>
      <c r="I119">
        <v>0.34250000000000003</v>
      </c>
      <c r="K119" t="s">
        <v>325</v>
      </c>
      <c r="L119">
        <v>0.47910000000000003</v>
      </c>
      <c r="N119" t="s">
        <v>266</v>
      </c>
      <c r="O119">
        <v>0.60372000000000003</v>
      </c>
      <c r="Q119" t="s">
        <v>263</v>
      </c>
      <c r="R119">
        <v>0.67674999999999996</v>
      </c>
      <c r="T119" t="s">
        <v>264</v>
      </c>
      <c r="U119" s="5">
        <v>2370</v>
      </c>
      <c r="V119">
        <v>13.5</v>
      </c>
      <c r="W119">
        <v>119</v>
      </c>
      <c r="X119">
        <v>0.69472361809045224</v>
      </c>
      <c r="Y119">
        <v>119</v>
      </c>
      <c r="Z119">
        <v>0.69472361809045224</v>
      </c>
    </row>
    <row r="120" spans="1:26" x14ac:dyDescent="0.2">
      <c r="A120" t="str">
        <f t="shared" si="4"/>
        <v>Nepal</v>
      </c>
      <c r="B120" t="s">
        <v>267</v>
      </c>
      <c r="C120">
        <v>0.57813000000000003</v>
      </c>
      <c r="D120">
        <f t="shared" si="5"/>
        <v>4190</v>
      </c>
      <c r="E120">
        <f t="shared" si="6"/>
        <v>30</v>
      </c>
      <c r="F120">
        <f t="shared" si="7"/>
        <v>0.76529000000000003</v>
      </c>
      <c r="H120" t="s">
        <v>223</v>
      </c>
      <c r="I120">
        <v>0.34250000000000003</v>
      </c>
      <c r="K120" t="s">
        <v>206</v>
      </c>
      <c r="L120">
        <v>0.47804000000000002</v>
      </c>
      <c r="N120" t="s">
        <v>80</v>
      </c>
      <c r="O120">
        <v>0.59514999999999996</v>
      </c>
      <c r="Q120" t="s">
        <v>238</v>
      </c>
      <c r="R120">
        <v>0.67674000000000001</v>
      </c>
      <c r="T120" t="s">
        <v>267</v>
      </c>
      <c r="U120" s="5">
        <v>4190</v>
      </c>
      <c r="V120">
        <v>30</v>
      </c>
      <c r="W120">
        <v>120</v>
      </c>
      <c r="X120">
        <v>0.69849246231155782</v>
      </c>
      <c r="Y120">
        <v>120</v>
      </c>
      <c r="Z120">
        <v>0.69849246231155782</v>
      </c>
    </row>
    <row r="121" spans="1:26" x14ac:dyDescent="0.2">
      <c r="A121" t="str">
        <f t="shared" si="4"/>
        <v>Cambodia</v>
      </c>
      <c r="B121" t="s">
        <v>268</v>
      </c>
      <c r="C121">
        <v>0.57535999999999998</v>
      </c>
      <c r="D121">
        <f t="shared" si="5"/>
        <v>4580</v>
      </c>
      <c r="E121">
        <f t="shared" si="6"/>
        <v>16.899999999999999</v>
      </c>
      <c r="F121">
        <f t="shared" si="7"/>
        <v>0.76093999999999995</v>
      </c>
      <c r="H121" t="s">
        <v>255</v>
      </c>
      <c r="I121">
        <v>0.32879999999999998</v>
      </c>
      <c r="K121" t="s">
        <v>295</v>
      </c>
      <c r="L121">
        <v>0.47788999999999998</v>
      </c>
      <c r="N121" t="s">
        <v>260</v>
      </c>
      <c r="O121">
        <v>0.59326999999999996</v>
      </c>
      <c r="Q121" t="s">
        <v>279</v>
      </c>
      <c r="R121">
        <v>0.67566000000000004</v>
      </c>
      <c r="T121" t="s">
        <v>268</v>
      </c>
      <c r="U121" s="5">
        <v>4580</v>
      </c>
      <c r="V121">
        <v>16.899999999999999</v>
      </c>
      <c r="W121">
        <v>121</v>
      </c>
      <c r="X121">
        <v>0.70226130653266328</v>
      </c>
      <c r="Y121">
        <v>121</v>
      </c>
      <c r="Z121">
        <v>0.70226130653266328</v>
      </c>
    </row>
    <row r="122" spans="1:26" x14ac:dyDescent="0.2">
      <c r="A122" t="str">
        <f t="shared" si="4"/>
        <v>Gabon</v>
      </c>
      <c r="B122" t="s">
        <v>270</v>
      </c>
      <c r="C122">
        <v>0.57408000000000003</v>
      </c>
      <c r="D122">
        <f t="shared" si="5"/>
        <v>14970</v>
      </c>
      <c r="E122">
        <f t="shared" si="6"/>
        <v>2.2999999999999998</v>
      </c>
      <c r="F122">
        <f t="shared" si="7"/>
        <v>0.82630000000000003</v>
      </c>
      <c r="H122" t="s">
        <v>149</v>
      </c>
      <c r="I122">
        <v>0.32879999999999998</v>
      </c>
      <c r="K122" t="s">
        <v>284</v>
      </c>
      <c r="L122">
        <v>0.47692000000000001</v>
      </c>
      <c r="N122" t="s">
        <v>271</v>
      </c>
      <c r="O122">
        <v>0.59284999999999999</v>
      </c>
      <c r="Q122" t="s">
        <v>240</v>
      </c>
      <c r="R122">
        <v>0.66925999999999997</v>
      </c>
      <c r="T122" t="s">
        <v>270</v>
      </c>
      <c r="U122" s="5">
        <v>14970</v>
      </c>
      <c r="V122">
        <v>2.2999999999999998</v>
      </c>
      <c r="W122">
        <v>122</v>
      </c>
      <c r="X122">
        <v>0.70603015075376885</v>
      </c>
      <c r="Y122">
        <v>122</v>
      </c>
      <c r="Z122">
        <v>0.70603015075376885</v>
      </c>
    </row>
    <row r="123" spans="1:26" x14ac:dyDescent="0.2">
      <c r="A123" t="str">
        <f t="shared" si="4"/>
        <v>Guatemala</v>
      </c>
      <c r="B123" t="s">
        <v>272</v>
      </c>
      <c r="C123">
        <v>0.57382999999999995</v>
      </c>
      <c r="D123">
        <f t="shared" si="5"/>
        <v>9110</v>
      </c>
      <c r="E123">
        <f t="shared" si="6"/>
        <v>18.100000000000001</v>
      </c>
      <c r="F123">
        <f t="shared" si="7"/>
        <v>0.58426999999999996</v>
      </c>
      <c r="H123" t="s">
        <v>147</v>
      </c>
      <c r="I123">
        <v>0.32879999999999998</v>
      </c>
      <c r="K123" t="s">
        <v>214</v>
      </c>
      <c r="L123">
        <v>0.46379999999999999</v>
      </c>
      <c r="N123" t="s">
        <v>224</v>
      </c>
      <c r="O123">
        <v>0.58357000000000003</v>
      </c>
      <c r="Q123" t="s">
        <v>300</v>
      </c>
      <c r="R123">
        <v>0.66617999999999999</v>
      </c>
      <c r="T123" t="s">
        <v>272</v>
      </c>
      <c r="U123" s="5">
        <v>9110</v>
      </c>
      <c r="V123">
        <v>18.100000000000001</v>
      </c>
      <c r="W123">
        <v>123</v>
      </c>
      <c r="X123">
        <v>0.70979899497487442</v>
      </c>
      <c r="Y123">
        <v>123</v>
      </c>
      <c r="Z123">
        <v>0.70979899497487442</v>
      </c>
    </row>
    <row r="124" spans="1:26" x14ac:dyDescent="0.2">
      <c r="A124" t="str">
        <f t="shared" si="4"/>
        <v>Tajikistan</v>
      </c>
      <c r="B124" t="s">
        <v>274</v>
      </c>
      <c r="C124">
        <v>0.56054999999999999</v>
      </c>
      <c r="D124">
        <f t="shared" si="5"/>
        <v>4170</v>
      </c>
      <c r="E124">
        <f t="shared" si="6"/>
        <v>10</v>
      </c>
      <c r="F124">
        <f t="shared" si="7"/>
        <v>0.58098000000000005</v>
      </c>
      <c r="H124" t="s">
        <v>275</v>
      </c>
      <c r="I124">
        <v>0.32879999999999998</v>
      </c>
      <c r="K124" t="s">
        <v>341</v>
      </c>
      <c r="L124">
        <v>0.46246999999999999</v>
      </c>
      <c r="N124" t="s">
        <v>166</v>
      </c>
      <c r="O124">
        <v>0.58337000000000006</v>
      </c>
      <c r="Q124" t="s">
        <v>230</v>
      </c>
      <c r="R124">
        <v>0.65010000000000001</v>
      </c>
      <c r="T124" t="s">
        <v>274</v>
      </c>
      <c r="U124" s="5">
        <v>4170</v>
      </c>
      <c r="V124">
        <v>10</v>
      </c>
      <c r="W124">
        <v>124</v>
      </c>
      <c r="X124">
        <v>0.71356783919597988</v>
      </c>
      <c r="Y124">
        <v>124</v>
      </c>
      <c r="Z124">
        <v>0.71356783919597988</v>
      </c>
    </row>
    <row r="125" spans="1:26" x14ac:dyDescent="0.2">
      <c r="A125" t="str">
        <f t="shared" si="4"/>
        <v>Côte d'Ivoire</v>
      </c>
      <c r="B125" t="s">
        <v>240</v>
      </c>
      <c r="C125">
        <v>0.55867999999999995</v>
      </c>
      <c r="D125">
        <f t="shared" si="5"/>
        <v>6090</v>
      </c>
      <c r="E125">
        <f t="shared" si="6"/>
        <v>29.4</v>
      </c>
      <c r="F125">
        <f t="shared" si="7"/>
        <v>0.66925999999999997</v>
      </c>
      <c r="H125" t="s">
        <v>276</v>
      </c>
      <c r="I125">
        <v>0.32879999999999998</v>
      </c>
      <c r="K125" t="s">
        <v>308</v>
      </c>
      <c r="L125">
        <v>0.45873999999999998</v>
      </c>
      <c r="N125" t="s">
        <v>269</v>
      </c>
      <c r="O125">
        <v>0.57806999999999997</v>
      </c>
      <c r="Q125" t="s">
        <v>209</v>
      </c>
      <c r="R125">
        <v>0.64992000000000005</v>
      </c>
      <c r="T125" t="s">
        <v>240</v>
      </c>
      <c r="U125" s="5">
        <v>6090</v>
      </c>
      <c r="V125">
        <v>29.4</v>
      </c>
      <c r="W125">
        <v>125</v>
      </c>
      <c r="X125">
        <v>0.71733668341708545</v>
      </c>
      <c r="Y125">
        <v>125</v>
      </c>
      <c r="Z125">
        <v>0.71733668341708545</v>
      </c>
    </row>
    <row r="126" spans="1:26" x14ac:dyDescent="0.2">
      <c r="A126" t="str">
        <f t="shared" si="4"/>
        <v>Libya</v>
      </c>
      <c r="B126" t="s">
        <v>80</v>
      </c>
      <c r="C126">
        <v>0.54661999999999999</v>
      </c>
      <c r="D126">
        <f t="shared" si="5"/>
        <v>13910</v>
      </c>
      <c r="E126">
        <f t="shared" si="6"/>
        <v>6.9</v>
      </c>
      <c r="F126">
        <f t="shared" si="7"/>
        <v>0.96389999999999998</v>
      </c>
      <c r="H126" t="s">
        <v>171</v>
      </c>
      <c r="I126">
        <v>0.32879999999999998</v>
      </c>
      <c r="K126" t="s">
        <v>224</v>
      </c>
      <c r="L126">
        <v>0.45573999999999998</v>
      </c>
      <c r="N126" t="s">
        <v>198</v>
      </c>
      <c r="O126">
        <v>0.57723000000000002</v>
      </c>
      <c r="Q126" t="s">
        <v>290</v>
      </c>
      <c r="R126">
        <v>0.64980000000000004</v>
      </c>
      <c r="T126" t="s">
        <v>80</v>
      </c>
      <c r="U126" s="8">
        <v>13910</v>
      </c>
      <c r="V126">
        <v>6.9</v>
      </c>
      <c r="W126">
        <v>126</v>
      </c>
      <c r="X126">
        <v>0.72110552763819102</v>
      </c>
      <c r="Y126">
        <v>126</v>
      </c>
      <c r="Z126">
        <v>0.72110552763819102</v>
      </c>
    </row>
    <row r="127" spans="1:26" x14ac:dyDescent="0.2">
      <c r="A127" t="str">
        <f t="shared" si="4"/>
        <v>Lebanon</v>
      </c>
      <c r="B127" t="s">
        <v>278</v>
      </c>
      <c r="C127">
        <v>0.54490000000000005</v>
      </c>
      <c r="D127">
        <f t="shared" si="5"/>
        <v>11800</v>
      </c>
      <c r="E127">
        <f t="shared" si="6"/>
        <v>5.3</v>
      </c>
      <c r="F127">
        <f t="shared" si="7"/>
        <v>0.64246000000000003</v>
      </c>
      <c r="H127" t="s">
        <v>204</v>
      </c>
      <c r="I127">
        <v>0.32879999999999998</v>
      </c>
      <c r="K127" t="s">
        <v>268</v>
      </c>
      <c r="L127">
        <v>0.45034000000000002</v>
      </c>
      <c r="N127" t="s">
        <v>254</v>
      </c>
      <c r="O127">
        <v>0.57382</v>
      </c>
      <c r="Q127" t="s">
        <v>278</v>
      </c>
      <c r="R127">
        <v>0.64246000000000003</v>
      </c>
      <c r="T127" t="s">
        <v>278</v>
      </c>
      <c r="U127" s="8">
        <v>11800</v>
      </c>
      <c r="V127">
        <v>5.3</v>
      </c>
      <c r="W127">
        <v>127</v>
      </c>
      <c r="X127">
        <v>0.72487437185929648</v>
      </c>
      <c r="Y127">
        <v>127</v>
      </c>
      <c r="Z127">
        <v>0.72487437185929648</v>
      </c>
    </row>
    <row r="128" spans="1:26" x14ac:dyDescent="0.2">
      <c r="A128" t="str">
        <f t="shared" si="4"/>
        <v/>
      </c>
      <c r="B128" t="s">
        <v>279</v>
      </c>
      <c r="C128">
        <v>0.54452</v>
      </c>
      <c r="D128">
        <f t="shared" si="5"/>
        <v>12740</v>
      </c>
      <c r="E128">
        <f t="shared" si="6"/>
        <v>7.0000000000000007E-2</v>
      </c>
      <c r="F128">
        <f t="shared" si="7"/>
        <v>0.67566000000000004</v>
      </c>
      <c r="H128" t="s">
        <v>178</v>
      </c>
      <c r="I128">
        <v>0.31509999999999999</v>
      </c>
      <c r="K128" t="s">
        <v>289</v>
      </c>
      <c r="L128">
        <v>0.44927</v>
      </c>
      <c r="N128" t="s">
        <v>281</v>
      </c>
      <c r="O128">
        <v>0.57345999999999997</v>
      </c>
      <c r="Q128" t="s">
        <v>284</v>
      </c>
      <c r="R128">
        <v>0.61651999999999996</v>
      </c>
      <c r="T128" t="s">
        <v>279</v>
      </c>
      <c r="U128" s="5">
        <v>12740</v>
      </c>
      <c r="V128">
        <v>7.0000000000000007E-2</v>
      </c>
      <c r="W128">
        <v>128</v>
      </c>
      <c r="X128">
        <v>0.72864321608040195</v>
      </c>
      <c r="Y128">
        <v>128</v>
      </c>
      <c r="Z128">
        <v>0.72864321608040195</v>
      </c>
    </row>
    <row r="129" spans="1:26" x14ac:dyDescent="0.2">
      <c r="A129" t="str">
        <f t="shared" si="4"/>
        <v/>
      </c>
      <c r="B129" t="s">
        <v>282</v>
      </c>
      <c r="C129">
        <v>0.54432000000000003</v>
      </c>
      <c r="D129">
        <f t="shared" si="5"/>
        <v>20540</v>
      </c>
      <c r="E129">
        <f t="shared" si="6"/>
        <v>0.8</v>
      </c>
      <c r="F129">
        <f t="shared" si="7"/>
        <v>0.69418000000000002</v>
      </c>
      <c r="H129" t="s">
        <v>283</v>
      </c>
      <c r="I129">
        <v>0.31509999999999999</v>
      </c>
      <c r="K129" t="s">
        <v>278</v>
      </c>
      <c r="L129">
        <v>0.44894000000000001</v>
      </c>
      <c r="N129" t="s">
        <v>180</v>
      </c>
      <c r="O129">
        <v>0.57194</v>
      </c>
      <c r="Q129" t="s">
        <v>252</v>
      </c>
      <c r="R129">
        <v>0.61277999999999999</v>
      </c>
      <c r="T129" t="s">
        <v>282</v>
      </c>
      <c r="U129" s="5">
        <v>20540</v>
      </c>
      <c r="V129">
        <v>0.8</v>
      </c>
      <c r="W129">
        <v>129</v>
      </c>
      <c r="X129">
        <v>0.73241206030150752</v>
      </c>
      <c r="Y129">
        <v>129</v>
      </c>
      <c r="Z129">
        <v>0.73241206030150752</v>
      </c>
    </row>
    <row r="130" spans="1:26" x14ac:dyDescent="0.2">
      <c r="A130" t="str">
        <f t="shared" si="4"/>
        <v/>
      </c>
      <c r="B130" t="s">
        <v>284</v>
      </c>
      <c r="C130">
        <v>0.54271000000000003</v>
      </c>
      <c r="D130">
        <f t="shared" si="5"/>
        <v>3310</v>
      </c>
      <c r="E130">
        <f t="shared" si="6"/>
        <v>0.3</v>
      </c>
      <c r="F130">
        <f t="shared" si="7"/>
        <v>0.61651999999999996</v>
      </c>
      <c r="H130" t="s">
        <v>237</v>
      </c>
      <c r="I130">
        <v>0.31509999999999999</v>
      </c>
      <c r="K130" t="s">
        <v>267</v>
      </c>
      <c r="L130">
        <v>0.44806000000000001</v>
      </c>
      <c r="N130" t="s">
        <v>190</v>
      </c>
      <c r="O130">
        <v>0.56935000000000002</v>
      </c>
      <c r="Q130" t="s">
        <v>249</v>
      </c>
      <c r="R130">
        <v>0.59014999999999995</v>
      </c>
      <c r="T130" t="s">
        <v>284</v>
      </c>
      <c r="U130" s="5">
        <v>3310</v>
      </c>
      <c r="V130">
        <v>0.3</v>
      </c>
      <c r="W130">
        <v>130</v>
      </c>
      <c r="X130">
        <v>0.73618090452261309</v>
      </c>
      <c r="Y130">
        <v>130</v>
      </c>
      <c r="Z130">
        <v>0.73618090452261309</v>
      </c>
    </row>
    <row r="131" spans="1:26" x14ac:dyDescent="0.2">
      <c r="A131" t="str">
        <f t="shared" ref="A131:A194" si="8">IF(E131&gt;1, B131, "")</f>
        <v>Zambia</v>
      </c>
      <c r="B131" t="s">
        <v>285</v>
      </c>
      <c r="C131">
        <v>0.54237000000000002</v>
      </c>
      <c r="D131">
        <f t="shared" ref="D131:D194" si="9">INDEX($U$2:$U$194, MATCH(B131,$T$2:$T$194,0))</f>
        <v>3630</v>
      </c>
      <c r="E131">
        <f t="shared" ref="E131:E194" si="10">INDEX($V$2:$V$194, MATCH(B131,$T$2:$T$194,0))</f>
        <v>19.600000000000001</v>
      </c>
      <c r="F131">
        <f t="shared" ref="F131:F194" si="11">INDEX($R$2:$R$194, MATCH(B131,$Q$2:$Q$194,0))</f>
        <v>0.50880000000000003</v>
      </c>
      <c r="H131" t="s">
        <v>21</v>
      </c>
      <c r="I131">
        <v>0.3014</v>
      </c>
      <c r="K131" t="s">
        <v>274</v>
      </c>
      <c r="L131">
        <v>0.4476</v>
      </c>
      <c r="N131" t="s">
        <v>280</v>
      </c>
      <c r="O131">
        <v>0.56101999999999996</v>
      </c>
      <c r="Q131" t="s">
        <v>321</v>
      </c>
      <c r="R131">
        <v>0.58633999999999997</v>
      </c>
      <c r="T131" t="s">
        <v>285</v>
      </c>
      <c r="U131" s="5">
        <v>3630</v>
      </c>
      <c r="V131">
        <v>19.600000000000001</v>
      </c>
      <c r="W131">
        <v>131</v>
      </c>
      <c r="X131">
        <v>0.73994974874371866</v>
      </c>
      <c r="Y131">
        <v>131</v>
      </c>
      <c r="Z131">
        <v>0.73994974874371866</v>
      </c>
    </row>
    <row r="132" spans="1:26" x14ac:dyDescent="0.2">
      <c r="A132" t="str">
        <f t="shared" si="8"/>
        <v>Venezuela</v>
      </c>
      <c r="B132" t="s">
        <v>287</v>
      </c>
      <c r="C132">
        <v>0.53603000000000001</v>
      </c>
      <c r="D132">
        <f t="shared" si="9"/>
        <v>17440</v>
      </c>
      <c r="E132">
        <f t="shared" si="10"/>
        <v>28.2</v>
      </c>
      <c r="F132">
        <f t="shared" si="11"/>
        <v>0.53905000000000003</v>
      </c>
      <c r="H132" t="s">
        <v>288</v>
      </c>
      <c r="I132">
        <v>0.3014</v>
      </c>
      <c r="K132" t="s">
        <v>339</v>
      </c>
      <c r="L132">
        <v>0.44721</v>
      </c>
      <c r="N132" t="s">
        <v>194</v>
      </c>
      <c r="O132">
        <v>0.55857000000000001</v>
      </c>
      <c r="Q132" t="s">
        <v>289</v>
      </c>
      <c r="R132">
        <v>0.58511999999999997</v>
      </c>
      <c r="T132" t="s">
        <v>287</v>
      </c>
      <c r="U132" s="8">
        <v>17440</v>
      </c>
      <c r="V132">
        <v>28.2</v>
      </c>
      <c r="W132">
        <v>132</v>
      </c>
      <c r="X132">
        <v>0.74371859296482412</v>
      </c>
      <c r="Y132">
        <v>132</v>
      </c>
      <c r="Z132">
        <v>0.74371859296482412</v>
      </c>
    </row>
    <row r="133" spans="1:26" x14ac:dyDescent="0.2">
      <c r="A133" t="str">
        <f t="shared" si="8"/>
        <v>Nicaragua</v>
      </c>
      <c r="B133" t="s">
        <v>289</v>
      </c>
      <c r="C133">
        <v>0.53181</v>
      </c>
      <c r="D133">
        <f t="shared" si="9"/>
        <v>5790</v>
      </c>
      <c r="E133">
        <f t="shared" si="10"/>
        <v>7</v>
      </c>
      <c r="F133">
        <f t="shared" si="11"/>
        <v>0.58511999999999997</v>
      </c>
      <c r="H133" t="s">
        <v>269</v>
      </c>
      <c r="I133">
        <v>0.3014</v>
      </c>
      <c r="K133" t="s">
        <v>239</v>
      </c>
      <c r="L133">
        <v>0.41658000000000001</v>
      </c>
      <c r="N133" t="s">
        <v>169</v>
      </c>
      <c r="O133">
        <v>0.55684</v>
      </c>
      <c r="Q133" t="s">
        <v>272</v>
      </c>
      <c r="R133">
        <v>0.58426999999999996</v>
      </c>
      <c r="T133" t="s">
        <v>289</v>
      </c>
      <c r="U133" s="5">
        <v>5790</v>
      </c>
      <c r="V133">
        <v>7</v>
      </c>
      <c r="W133">
        <v>133</v>
      </c>
      <c r="X133">
        <v>0.74748743718592969</v>
      </c>
      <c r="Y133">
        <v>133</v>
      </c>
      <c r="Z133">
        <v>0.74748743718592969</v>
      </c>
    </row>
    <row r="134" spans="1:26" x14ac:dyDescent="0.2">
      <c r="A134" t="str">
        <f t="shared" si="8"/>
        <v/>
      </c>
      <c r="B134" t="s">
        <v>290</v>
      </c>
      <c r="C134">
        <v>0.52546999999999999</v>
      </c>
      <c r="D134">
        <f t="shared" si="9"/>
        <v>13740</v>
      </c>
      <c r="E134">
        <f t="shared" si="10"/>
        <v>0.2</v>
      </c>
      <c r="F134">
        <f t="shared" si="11"/>
        <v>0.64980000000000004</v>
      </c>
      <c r="H134" t="s">
        <v>167</v>
      </c>
      <c r="I134">
        <v>0.3014</v>
      </c>
      <c r="K134" t="s">
        <v>317</v>
      </c>
      <c r="L134">
        <v>0.41003000000000001</v>
      </c>
      <c r="N134" t="s">
        <v>205</v>
      </c>
      <c r="O134">
        <v>0.54781000000000002</v>
      </c>
      <c r="Q134" t="s">
        <v>344</v>
      </c>
      <c r="R134">
        <v>0.58238999999999996</v>
      </c>
      <c r="T134" t="s">
        <v>290</v>
      </c>
      <c r="U134" s="5">
        <v>13740</v>
      </c>
      <c r="V134">
        <v>0.2</v>
      </c>
      <c r="W134">
        <v>134</v>
      </c>
      <c r="X134">
        <v>0.75125628140703515</v>
      </c>
      <c r="Y134">
        <v>134</v>
      </c>
      <c r="Z134">
        <v>0.75125628140703515</v>
      </c>
    </row>
    <row r="135" spans="1:26" x14ac:dyDescent="0.2">
      <c r="A135" t="str">
        <f t="shared" si="8"/>
        <v/>
      </c>
      <c r="B135" t="s">
        <v>293</v>
      </c>
      <c r="C135">
        <v>0.51639000000000002</v>
      </c>
      <c r="D135">
        <f t="shared" si="9"/>
        <v>6070</v>
      </c>
      <c r="E135">
        <f t="shared" si="10"/>
        <v>0.1</v>
      </c>
      <c r="F135">
        <f t="shared" si="11"/>
        <v>0.47841</v>
      </c>
      <c r="H135" t="s">
        <v>277</v>
      </c>
      <c r="I135">
        <v>0.3014</v>
      </c>
      <c r="K135" t="s">
        <v>306</v>
      </c>
      <c r="L135">
        <v>0.40544999999999998</v>
      </c>
      <c r="N135" t="s">
        <v>113</v>
      </c>
      <c r="O135">
        <v>0.54668000000000005</v>
      </c>
      <c r="Q135" t="s">
        <v>274</v>
      </c>
      <c r="R135">
        <v>0.58098000000000005</v>
      </c>
      <c r="T135" t="s">
        <v>293</v>
      </c>
      <c r="U135" s="5">
        <v>6070</v>
      </c>
      <c r="V135">
        <v>0.1</v>
      </c>
      <c r="W135">
        <v>135</v>
      </c>
      <c r="X135">
        <v>0.75502512562814073</v>
      </c>
      <c r="Y135">
        <v>135</v>
      </c>
      <c r="Z135">
        <v>0.75502512562814073</v>
      </c>
    </row>
    <row r="136" spans="1:26" x14ac:dyDescent="0.2">
      <c r="A136" t="str">
        <f t="shared" si="8"/>
        <v>Senegal</v>
      </c>
      <c r="B136" t="s">
        <v>295</v>
      </c>
      <c r="C136">
        <v>0.51624999999999999</v>
      </c>
      <c r="D136">
        <f t="shared" si="9"/>
        <v>4090</v>
      </c>
      <c r="E136">
        <f t="shared" si="10"/>
        <v>17.899999999999999</v>
      </c>
      <c r="F136">
        <f t="shared" si="11"/>
        <v>0.73285</v>
      </c>
      <c r="H136" t="s">
        <v>250</v>
      </c>
      <c r="I136">
        <v>0.3014</v>
      </c>
      <c r="K136" t="s">
        <v>349</v>
      </c>
      <c r="L136">
        <v>0.40447</v>
      </c>
      <c r="N136" t="s">
        <v>296</v>
      </c>
      <c r="O136">
        <v>0.54634000000000005</v>
      </c>
      <c r="Q136" t="s">
        <v>222</v>
      </c>
      <c r="R136">
        <v>0.57003999999999999</v>
      </c>
      <c r="T136" t="s">
        <v>295</v>
      </c>
      <c r="U136" s="5">
        <v>4090</v>
      </c>
      <c r="V136">
        <v>17.899999999999999</v>
      </c>
      <c r="W136">
        <v>136</v>
      </c>
      <c r="X136">
        <v>0.7587939698492463</v>
      </c>
      <c r="Y136">
        <v>136</v>
      </c>
      <c r="Z136">
        <v>0.7587939698492463</v>
      </c>
    </row>
    <row r="137" spans="1:26" x14ac:dyDescent="0.2">
      <c r="A137" t="str">
        <f t="shared" si="8"/>
        <v>Pakistan</v>
      </c>
      <c r="B137" t="s">
        <v>297</v>
      </c>
      <c r="C137">
        <v>0.50954999999999995</v>
      </c>
      <c r="D137">
        <f t="shared" si="9"/>
        <v>5860</v>
      </c>
      <c r="E137">
        <f t="shared" si="10"/>
        <v>235.8</v>
      </c>
      <c r="F137">
        <f t="shared" si="11"/>
        <v>0.47453000000000001</v>
      </c>
      <c r="H137" t="s">
        <v>155</v>
      </c>
      <c r="I137">
        <v>0.3014</v>
      </c>
      <c r="K137" t="s">
        <v>329</v>
      </c>
      <c r="L137">
        <v>0.39884999999999998</v>
      </c>
      <c r="N137" t="s">
        <v>219</v>
      </c>
      <c r="O137">
        <v>0.54329000000000005</v>
      </c>
      <c r="Q137" t="s">
        <v>287</v>
      </c>
      <c r="R137">
        <v>0.53905000000000003</v>
      </c>
      <c r="T137" t="s">
        <v>297</v>
      </c>
      <c r="U137" s="5">
        <v>5860</v>
      </c>
      <c r="V137">
        <v>235.8</v>
      </c>
      <c r="W137">
        <v>137</v>
      </c>
      <c r="X137">
        <v>0.76256281407035176</v>
      </c>
      <c r="Y137">
        <v>137</v>
      </c>
      <c r="Z137">
        <v>0.76256281407035176</v>
      </c>
    </row>
    <row r="138" spans="1:26" x14ac:dyDescent="0.2">
      <c r="A138" t="str">
        <f t="shared" si="8"/>
        <v/>
      </c>
      <c r="B138" t="s">
        <v>298</v>
      </c>
      <c r="C138">
        <v>0.50724000000000002</v>
      </c>
      <c r="D138">
        <f t="shared" si="9"/>
        <v>14370</v>
      </c>
      <c r="E138">
        <f t="shared" si="10"/>
        <v>0.02</v>
      </c>
      <c r="F138">
        <f t="shared" si="11"/>
        <v>0.49096000000000001</v>
      </c>
      <c r="H138" t="s">
        <v>299</v>
      </c>
      <c r="I138">
        <v>0.28770000000000001</v>
      </c>
      <c r="K138" t="s">
        <v>256</v>
      </c>
      <c r="L138">
        <v>0.39851999999999999</v>
      </c>
      <c r="N138" t="s">
        <v>291</v>
      </c>
      <c r="O138">
        <v>0.53949999999999998</v>
      </c>
      <c r="Q138" t="s">
        <v>299</v>
      </c>
      <c r="R138">
        <v>0.53381999999999996</v>
      </c>
      <c r="T138" t="s">
        <v>298</v>
      </c>
      <c r="U138" s="5">
        <v>14370</v>
      </c>
      <c r="V138">
        <v>0.02</v>
      </c>
      <c r="W138">
        <v>138</v>
      </c>
      <c r="X138">
        <v>0.76633165829145722</v>
      </c>
      <c r="Y138">
        <v>138</v>
      </c>
      <c r="Z138">
        <v>0.76633165829145722</v>
      </c>
    </row>
    <row r="139" spans="1:26" x14ac:dyDescent="0.2">
      <c r="A139" t="str">
        <f t="shared" si="8"/>
        <v>Myanmar</v>
      </c>
      <c r="B139" t="s">
        <v>300</v>
      </c>
      <c r="C139">
        <v>0.50007000000000001</v>
      </c>
      <c r="D139">
        <f t="shared" si="9"/>
        <v>5140</v>
      </c>
      <c r="E139">
        <f t="shared" si="10"/>
        <v>54.2</v>
      </c>
      <c r="F139">
        <f t="shared" si="11"/>
        <v>0.66617999999999999</v>
      </c>
      <c r="H139" t="s">
        <v>301</v>
      </c>
      <c r="I139">
        <v>0.28770000000000001</v>
      </c>
      <c r="K139" t="s">
        <v>332</v>
      </c>
      <c r="L139">
        <v>0.39623999999999998</v>
      </c>
      <c r="N139" t="s">
        <v>244</v>
      </c>
      <c r="O139">
        <v>0.53478999999999999</v>
      </c>
      <c r="Q139" t="s">
        <v>303</v>
      </c>
      <c r="R139">
        <v>0.53183000000000002</v>
      </c>
      <c r="T139" t="s">
        <v>300</v>
      </c>
      <c r="U139" s="5">
        <v>5140</v>
      </c>
      <c r="V139">
        <v>54.2</v>
      </c>
      <c r="W139">
        <v>139</v>
      </c>
      <c r="X139">
        <v>0.77010050251256279</v>
      </c>
      <c r="Y139">
        <v>139</v>
      </c>
      <c r="Z139">
        <v>0.77010050251256279</v>
      </c>
    </row>
    <row r="140" spans="1:26" x14ac:dyDescent="0.2">
      <c r="A140" t="str">
        <f t="shared" si="8"/>
        <v>Cuba</v>
      </c>
      <c r="B140" t="s">
        <v>303</v>
      </c>
      <c r="C140">
        <v>0.49214000000000002</v>
      </c>
      <c r="D140">
        <f t="shared" si="9"/>
        <v>8920</v>
      </c>
      <c r="E140">
        <f t="shared" si="10"/>
        <v>11.1</v>
      </c>
      <c r="F140">
        <f t="shared" si="11"/>
        <v>0.53183000000000002</v>
      </c>
      <c r="H140" t="s">
        <v>169</v>
      </c>
      <c r="I140">
        <v>0.28770000000000001</v>
      </c>
      <c r="K140" t="s">
        <v>361</v>
      </c>
      <c r="L140">
        <v>0.39590999999999998</v>
      </c>
      <c r="N140" t="s">
        <v>226</v>
      </c>
      <c r="O140">
        <v>0.53473999999999999</v>
      </c>
      <c r="Q140" t="s">
        <v>306</v>
      </c>
      <c r="R140">
        <v>0.52917000000000003</v>
      </c>
      <c r="T140" t="s">
        <v>303</v>
      </c>
      <c r="U140" s="8">
        <v>8920</v>
      </c>
      <c r="V140">
        <v>11.1</v>
      </c>
      <c r="W140">
        <v>140</v>
      </c>
      <c r="X140">
        <v>0.77386934673366836</v>
      </c>
      <c r="Y140">
        <v>140</v>
      </c>
      <c r="Z140">
        <v>0.77386934673366836</v>
      </c>
    </row>
    <row r="141" spans="1:26" x14ac:dyDescent="0.2">
      <c r="A141" t="str">
        <f t="shared" si="8"/>
        <v/>
      </c>
      <c r="B141" t="s">
        <v>305</v>
      </c>
      <c r="C141">
        <v>0.4899</v>
      </c>
      <c r="D141">
        <f t="shared" si="9"/>
        <v>6310</v>
      </c>
      <c r="E141">
        <f t="shared" si="10"/>
        <v>0.2</v>
      </c>
      <c r="F141">
        <f t="shared" si="11"/>
        <v>0.46065</v>
      </c>
      <c r="H141" t="s">
        <v>265</v>
      </c>
      <c r="I141">
        <v>0.28770000000000001</v>
      </c>
      <c r="K141" t="s">
        <v>263</v>
      </c>
      <c r="L141">
        <v>0.39062999999999998</v>
      </c>
      <c r="N141" t="s">
        <v>140</v>
      </c>
      <c r="O141">
        <v>0.52710999999999997</v>
      </c>
      <c r="Q141" t="s">
        <v>312</v>
      </c>
      <c r="R141">
        <v>0.51512000000000002</v>
      </c>
      <c r="T141" t="s">
        <v>305</v>
      </c>
      <c r="U141" s="5">
        <v>6310</v>
      </c>
      <c r="V141">
        <v>0.2</v>
      </c>
      <c r="W141">
        <v>141</v>
      </c>
      <c r="X141">
        <v>0.77763819095477393</v>
      </c>
      <c r="Y141">
        <v>141</v>
      </c>
      <c r="Z141">
        <v>0.77763819095477393</v>
      </c>
    </row>
    <row r="142" spans="1:26" x14ac:dyDescent="0.2">
      <c r="A142" t="str">
        <f t="shared" si="8"/>
        <v/>
      </c>
      <c r="B142" t="s">
        <v>306</v>
      </c>
      <c r="C142">
        <v>0.48719000000000001</v>
      </c>
      <c r="D142">
        <f t="shared" si="9"/>
        <v>9420</v>
      </c>
      <c r="E142">
        <f t="shared" si="10"/>
        <v>0.4</v>
      </c>
      <c r="F142">
        <f t="shared" si="11"/>
        <v>0.52917000000000003</v>
      </c>
      <c r="H142" t="s">
        <v>307</v>
      </c>
      <c r="I142">
        <v>0.27400000000000002</v>
      </c>
      <c r="K142" t="s">
        <v>315</v>
      </c>
      <c r="L142">
        <v>0.39034999999999997</v>
      </c>
      <c r="N142" t="s">
        <v>294</v>
      </c>
      <c r="O142">
        <v>0.52698</v>
      </c>
      <c r="Q142" t="s">
        <v>285</v>
      </c>
      <c r="R142">
        <v>0.50880000000000003</v>
      </c>
      <c r="T142" t="s">
        <v>306</v>
      </c>
      <c r="U142" s="5">
        <v>9420</v>
      </c>
      <c r="V142">
        <v>0.4</v>
      </c>
      <c r="W142">
        <v>142</v>
      </c>
      <c r="X142">
        <v>0.78140703517587939</v>
      </c>
      <c r="Y142">
        <v>142</v>
      </c>
      <c r="Z142">
        <v>0.78140703517587939</v>
      </c>
    </row>
    <row r="143" spans="1:26" x14ac:dyDescent="0.2">
      <c r="A143" t="str">
        <f t="shared" si="8"/>
        <v>Honduras</v>
      </c>
      <c r="B143" t="s">
        <v>308</v>
      </c>
      <c r="C143">
        <v>0.48559000000000002</v>
      </c>
      <c r="D143">
        <f t="shared" si="9"/>
        <v>6500</v>
      </c>
      <c r="E143">
        <f t="shared" si="10"/>
        <v>10.3</v>
      </c>
      <c r="F143">
        <f t="shared" si="11"/>
        <v>0.47992000000000001</v>
      </c>
      <c r="H143" t="s">
        <v>254</v>
      </c>
      <c r="I143">
        <v>0.27400000000000002</v>
      </c>
      <c r="K143" t="s">
        <v>354</v>
      </c>
      <c r="L143">
        <v>0.38228000000000001</v>
      </c>
      <c r="N143" t="s">
        <v>232</v>
      </c>
      <c r="O143">
        <v>0.52100000000000002</v>
      </c>
      <c r="Q143" t="s">
        <v>298</v>
      </c>
      <c r="R143">
        <v>0.49096000000000001</v>
      </c>
      <c r="T143" t="s">
        <v>308</v>
      </c>
      <c r="U143" s="5">
        <v>6500</v>
      </c>
      <c r="V143">
        <v>10.3</v>
      </c>
      <c r="W143">
        <v>143</v>
      </c>
      <c r="X143">
        <v>0.78517587939698497</v>
      </c>
      <c r="Y143">
        <v>143</v>
      </c>
      <c r="Z143">
        <v>0.78517587939698497</v>
      </c>
    </row>
    <row r="144" spans="1:26" x14ac:dyDescent="0.2">
      <c r="A144" t="str">
        <f t="shared" si="8"/>
        <v/>
      </c>
      <c r="B144" t="s">
        <v>309</v>
      </c>
      <c r="C144">
        <v>0.48229</v>
      </c>
      <c r="D144">
        <f t="shared" si="9"/>
        <v>6310</v>
      </c>
      <c r="E144">
        <f t="shared" si="10"/>
        <v>0.06</v>
      </c>
      <c r="F144">
        <f t="shared" si="11"/>
        <v>0.30473</v>
      </c>
      <c r="H144" t="s">
        <v>180</v>
      </c>
      <c r="I144">
        <v>0.27400000000000002</v>
      </c>
      <c r="K144" t="s">
        <v>279</v>
      </c>
      <c r="L144">
        <v>0.37983</v>
      </c>
      <c r="N144" t="s">
        <v>242</v>
      </c>
      <c r="O144">
        <v>0.51924999999999999</v>
      </c>
      <c r="Q144" t="s">
        <v>352</v>
      </c>
      <c r="R144">
        <v>0.49023</v>
      </c>
      <c r="T144" t="s">
        <v>309</v>
      </c>
      <c r="U144" s="5">
        <v>6310</v>
      </c>
      <c r="V144">
        <v>0.06</v>
      </c>
      <c r="W144">
        <v>144</v>
      </c>
      <c r="X144">
        <v>0.78894472361809043</v>
      </c>
      <c r="Y144">
        <v>144</v>
      </c>
      <c r="Z144">
        <v>0.78894472361809043</v>
      </c>
    </row>
    <row r="145" spans="1:26" x14ac:dyDescent="0.2">
      <c r="A145" t="str">
        <f t="shared" si="8"/>
        <v>Nigeria</v>
      </c>
      <c r="B145" t="s">
        <v>311</v>
      </c>
      <c r="C145">
        <v>0.48146</v>
      </c>
      <c r="D145">
        <f t="shared" si="9"/>
        <v>5000</v>
      </c>
      <c r="E145">
        <f t="shared" si="10"/>
        <v>218.5</v>
      </c>
      <c r="F145">
        <f t="shared" si="11"/>
        <v>0.48354999999999998</v>
      </c>
      <c r="H145" t="s">
        <v>243</v>
      </c>
      <c r="I145">
        <v>0.27400000000000002</v>
      </c>
      <c r="K145" t="s">
        <v>143</v>
      </c>
      <c r="L145">
        <v>0.37729000000000001</v>
      </c>
      <c r="N145" t="s">
        <v>277</v>
      </c>
      <c r="O145">
        <v>0.51817999999999997</v>
      </c>
      <c r="Q145" t="s">
        <v>327</v>
      </c>
      <c r="R145">
        <v>0.48393999999999998</v>
      </c>
      <c r="T145" t="s">
        <v>311</v>
      </c>
      <c r="U145" s="5">
        <v>5000</v>
      </c>
      <c r="V145">
        <v>218.5</v>
      </c>
      <c r="W145">
        <v>145</v>
      </c>
      <c r="X145">
        <v>0.792713567839196</v>
      </c>
      <c r="Y145">
        <v>145</v>
      </c>
      <c r="Z145">
        <v>0.792713567839196</v>
      </c>
    </row>
    <row r="146" spans="1:26" x14ac:dyDescent="0.2">
      <c r="A146" t="str">
        <f t="shared" si="8"/>
        <v>Turkmenistan</v>
      </c>
      <c r="B146" t="s">
        <v>312</v>
      </c>
      <c r="C146">
        <v>0.47569</v>
      </c>
      <c r="D146">
        <f t="shared" si="9"/>
        <v>16050</v>
      </c>
      <c r="E146">
        <f t="shared" si="10"/>
        <v>6.3</v>
      </c>
      <c r="F146">
        <f t="shared" si="11"/>
        <v>0.51512000000000002</v>
      </c>
      <c r="H146" t="s">
        <v>291</v>
      </c>
      <c r="I146">
        <v>0.27400000000000002</v>
      </c>
      <c r="K146" t="s">
        <v>305</v>
      </c>
      <c r="L146">
        <v>0.36377999999999999</v>
      </c>
      <c r="N146" t="s">
        <v>237</v>
      </c>
      <c r="O146">
        <v>0.51488999999999996</v>
      </c>
      <c r="Q146" t="s">
        <v>311</v>
      </c>
      <c r="R146">
        <v>0.48354999999999998</v>
      </c>
      <c r="T146" t="s">
        <v>312</v>
      </c>
      <c r="U146" s="5">
        <v>16050</v>
      </c>
      <c r="V146">
        <v>6.3</v>
      </c>
      <c r="W146">
        <v>146</v>
      </c>
      <c r="X146">
        <v>0.79648241206030157</v>
      </c>
      <c r="Y146">
        <v>146</v>
      </c>
      <c r="Z146">
        <v>0.79648241206030157</v>
      </c>
    </row>
    <row r="147" spans="1:26" x14ac:dyDescent="0.2">
      <c r="A147" t="str">
        <f t="shared" si="8"/>
        <v>Benin</v>
      </c>
      <c r="B147" t="s">
        <v>313</v>
      </c>
      <c r="C147">
        <v>0.45778999999999997</v>
      </c>
      <c r="D147">
        <f t="shared" si="9"/>
        <v>3740</v>
      </c>
      <c r="E147">
        <f t="shared" si="10"/>
        <v>13.7</v>
      </c>
      <c r="F147">
        <f t="shared" si="11"/>
        <v>0.48171000000000003</v>
      </c>
      <c r="H147" t="s">
        <v>314</v>
      </c>
      <c r="I147">
        <v>0.24660000000000001</v>
      </c>
      <c r="K147" t="s">
        <v>309</v>
      </c>
      <c r="L147">
        <v>0.35858000000000001</v>
      </c>
      <c r="N147" t="s">
        <v>276</v>
      </c>
      <c r="O147">
        <v>0.51036000000000004</v>
      </c>
      <c r="Q147" t="s">
        <v>313</v>
      </c>
      <c r="R147">
        <v>0.48171000000000003</v>
      </c>
      <c r="T147" t="s">
        <v>313</v>
      </c>
      <c r="U147" s="5">
        <v>3740</v>
      </c>
      <c r="V147">
        <v>13.7</v>
      </c>
      <c r="W147">
        <v>147</v>
      </c>
      <c r="X147">
        <v>0.80025125628140703</v>
      </c>
      <c r="Y147">
        <v>147</v>
      </c>
      <c r="Z147">
        <v>0.80025125628140703</v>
      </c>
    </row>
    <row r="148" spans="1:26" x14ac:dyDescent="0.2">
      <c r="A148" t="str">
        <f t="shared" si="8"/>
        <v/>
      </c>
      <c r="B148" t="s">
        <v>315</v>
      </c>
      <c r="C148">
        <v>0.45723000000000003</v>
      </c>
      <c r="D148">
        <f t="shared" si="9"/>
        <v>2530</v>
      </c>
      <c r="E148">
        <f t="shared" si="10"/>
        <v>0.1</v>
      </c>
      <c r="F148">
        <f t="shared" si="11"/>
        <v>0.35437999999999997</v>
      </c>
      <c r="H148" t="s">
        <v>163</v>
      </c>
      <c r="I148">
        <v>0.24660000000000001</v>
      </c>
      <c r="K148" t="s">
        <v>287</v>
      </c>
      <c r="L148">
        <v>0.35755999999999999</v>
      </c>
      <c r="N148" t="s">
        <v>273</v>
      </c>
      <c r="O148">
        <v>0.50812000000000002</v>
      </c>
      <c r="Q148" t="s">
        <v>308</v>
      </c>
      <c r="R148">
        <v>0.47992000000000001</v>
      </c>
      <c r="T148" t="s">
        <v>315</v>
      </c>
      <c r="U148" s="5">
        <v>2530</v>
      </c>
      <c r="V148">
        <v>0.1</v>
      </c>
      <c r="W148">
        <v>148</v>
      </c>
      <c r="X148">
        <v>0.80402010050251249</v>
      </c>
      <c r="Y148">
        <v>148</v>
      </c>
      <c r="Z148">
        <v>0.80402010050251249</v>
      </c>
    </row>
    <row r="149" spans="1:26" x14ac:dyDescent="0.2">
      <c r="A149" t="str">
        <f t="shared" si="8"/>
        <v>Iraq</v>
      </c>
      <c r="B149" t="s">
        <v>316</v>
      </c>
      <c r="C149">
        <v>0.45721000000000001</v>
      </c>
      <c r="D149">
        <f t="shared" si="9"/>
        <v>14160</v>
      </c>
      <c r="E149">
        <f t="shared" si="10"/>
        <v>44.5</v>
      </c>
      <c r="F149">
        <f t="shared" si="11"/>
        <v>0.68735999999999997</v>
      </c>
      <c r="H149" t="s">
        <v>286</v>
      </c>
      <c r="I149">
        <v>0.2329</v>
      </c>
      <c r="K149" t="s">
        <v>233</v>
      </c>
      <c r="L149">
        <v>0.35754000000000002</v>
      </c>
      <c r="N149" t="s">
        <v>286</v>
      </c>
      <c r="O149">
        <v>0.50612000000000001</v>
      </c>
      <c r="Q149" t="s">
        <v>293</v>
      </c>
      <c r="R149">
        <v>0.47841</v>
      </c>
      <c r="T149" t="s">
        <v>316</v>
      </c>
      <c r="U149" s="5">
        <v>14160</v>
      </c>
      <c r="V149">
        <v>44.5</v>
      </c>
      <c r="W149">
        <v>149</v>
      </c>
      <c r="X149">
        <v>0.80778894472361806</v>
      </c>
      <c r="Y149">
        <v>149</v>
      </c>
      <c r="Z149">
        <v>0.80778894472361806</v>
      </c>
    </row>
    <row r="150" spans="1:26" x14ac:dyDescent="0.2">
      <c r="A150" t="str">
        <f t="shared" si="8"/>
        <v>Zimbabwe</v>
      </c>
      <c r="B150" t="s">
        <v>317</v>
      </c>
      <c r="C150">
        <v>0.44807000000000002</v>
      </c>
      <c r="D150">
        <f t="shared" si="9"/>
        <v>2150</v>
      </c>
      <c r="E150">
        <f t="shared" si="10"/>
        <v>16</v>
      </c>
      <c r="F150">
        <f t="shared" si="11"/>
        <v>0.39471000000000001</v>
      </c>
      <c r="H150" t="s">
        <v>318</v>
      </c>
      <c r="I150">
        <v>0.2329</v>
      </c>
      <c r="K150" t="s">
        <v>282</v>
      </c>
      <c r="L150">
        <v>0.34549000000000002</v>
      </c>
      <c r="N150" t="s">
        <v>212</v>
      </c>
      <c r="O150">
        <v>0.50229000000000001</v>
      </c>
      <c r="Q150" t="s">
        <v>297</v>
      </c>
      <c r="R150">
        <v>0.47453000000000001</v>
      </c>
      <c r="T150" t="s">
        <v>317</v>
      </c>
      <c r="U150" s="5">
        <v>2150</v>
      </c>
      <c r="V150">
        <v>16</v>
      </c>
      <c r="W150">
        <v>150</v>
      </c>
      <c r="X150">
        <v>0.81155778894472363</v>
      </c>
      <c r="Y150">
        <v>150</v>
      </c>
      <c r="Z150">
        <v>0.81155778894472363</v>
      </c>
    </row>
    <row r="151" spans="1:26" x14ac:dyDescent="0.2">
      <c r="A151" t="str">
        <f t="shared" si="8"/>
        <v>Uganda</v>
      </c>
      <c r="B151" t="s">
        <v>319</v>
      </c>
      <c r="C151">
        <v>0.44635999999999998</v>
      </c>
      <c r="D151">
        <f t="shared" si="9"/>
        <v>2370</v>
      </c>
      <c r="E151">
        <f t="shared" si="10"/>
        <v>45.9</v>
      </c>
      <c r="F151">
        <f t="shared" si="11"/>
        <v>0.22989999999999999</v>
      </c>
      <c r="H151" t="s">
        <v>280</v>
      </c>
      <c r="I151">
        <v>0.2329</v>
      </c>
      <c r="K151" t="s">
        <v>350</v>
      </c>
      <c r="L151">
        <v>0.34194999999999998</v>
      </c>
      <c r="N151" t="s">
        <v>262</v>
      </c>
      <c r="O151">
        <v>0.49671999999999999</v>
      </c>
      <c r="Q151" t="s">
        <v>334</v>
      </c>
      <c r="R151">
        <v>0.47197</v>
      </c>
      <c r="T151" t="s">
        <v>319</v>
      </c>
      <c r="U151" s="5">
        <v>2370</v>
      </c>
      <c r="V151">
        <v>45.9</v>
      </c>
      <c r="W151">
        <v>151</v>
      </c>
      <c r="X151">
        <v>0.81532663316582921</v>
      </c>
      <c r="Y151">
        <v>151</v>
      </c>
      <c r="Z151">
        <v>0.81532663316582921</v>
      </c>
    </row>
    <row r="152" spans="1:26" x14ac:dyDescent="0.2">
      <c r="A152" t="str">
        <f t="shared" si="8"/>
        <v/>
      </c>
      <c r="B152" t="s">
        <v>321</v>
      </c>
      <c r="C152">
        <v>0.44544</v>
      </c>
      <c r="E152">
        <f t="shared" si="10"/>
        <v>0.01</v>
      </c>
      <c r="F152">
        <f t="shared" si="11"/>
        <v>0.58633999999999997</v>
      </c>
      <c r="H152" t="s">
        <v>294</v>
      </c>
      <c r="I152">
        <v>0.2329</v>
      </c>
      <c r="K152" t="s">
        <v>276</v>
      </c>
      <c r="L152">
        <v>0.34055999999999997</v>
      </c>
      <c r="N152" t="s">
        <v>322</v>
      </c>
      <c r="O152">
        <v>0.49243999999999999</v>
      </c>
      <c r="Q152" t="s">
        <v>333</v>
      </c>
      <c r="R152">
        <v>0.46427000000000002</v>
      </c>
      <c r="T152" t="s">
        <v>321</v>
      </c>
      <c r="U152" s="8" t="s">
        <v>118</v>
      </c>
      <c r="V152">
        <v>0.01</v>
      </c>
      <c r="W152">
        <v>152</v>
      </c>
      <c r="X152">
        <v>0.81909547738693467</v>
      </c>
      <c r="Y152">
        <v>152</v>
      </c>
      <c r="Z152">
        <v>0.81909547738693467</v>
      </c>
    </row>
    <row r="153" spans="1:26" x14ac:dyDescent="0.2">
      <c r="A153" t="str">
        <f t="shared" si="8"/>
        <v>Laos</v>
      </c>
      <c r="B153" t="s">
        <v>299</v>
      </c>
      <c r="C153">
        <v>0.44037999999999999</v>
      </c>
      <c r="D153">
        <f t="shared" si="9"/>
        <v>12122</v>
      </c>
      <c r="E153">
        <f t="shared" si="10"/>
        <v>7.5</v>
      </c>
      <c r="F153">
        <f t="shared" si="11"/>
        <v>0.53381999999999996</v>
      </c>
      <c r="H153" t="s">
        <v>302</v>
      </c>
      <c r="I153">
        <v>0.21920000000000001</v>
      </c>
      <c r="K153" t="s">
        <v>353</v>
      </c>
      <c r="L153">
        <v>0.3392</v>
      </c>
      <c r="N153" t="s">
        <v>323</v>
      </c>
      <c r="O153">
        <v>0.48616999999999999</v>
      </c>
      <c r="Q153" t="s">
        <v>305</v>
      </c>
      <c r="R153">
        <v>0.46065</v>
      </c>
      <c r="T153" t="s">
        <v>299</v>
      </c>
      <c r="U153" s="5">
        <v>12122</v>
      </c>
      <c r="V153">
        <v>7.5</v>
      </c>
      <c r="W153">
        <v>153</v>
      </c>
      <c r="X153">
        <v>0.82286432160804024</v>
      </c>
      <c r="Y153">
        <v>153</v>
      </c>
      <c r="Z153">
        <v>0.82286432160804024</v>
      </c>
    </row>
    <row r="154" spans="1:26" x14ac:dyDescent="0.2">
      <c r="A154" t="str">
        <f t="shared" si="8"/>
        <v>Tanzania</v>
      </c>
      <c r="B154" t="s">
        <v>325</v>
      </c>
      <c r="C154">
        <v>0.43271999999999999</v>
      </c>
      <c r="D154">
        <f t="shared" si="9"/>
        <v>3000</v>
      </c>
      <c r="E154">
        <f t="shared" si="10"/>
        <v>63.6</v>
      </c>
      <c r="F154">
        <f t="shared" si="11"/>
        <v>0.37920999999999999</v>
      </c>
      <c r="H154" t="s">
        <v>232</v>
      </c>
      <c r="I154">
        <v>0.21920000000000001</v>
      </c>
      <c r="K154" t="s">
        <v>357</v>
      </c>
      <c r="L154">
        <v>0.33764</v>
      </c>
      <c r="N154" t="s">
        <v>240</v>
      </c>
      <c r="O154">
        <v>0.48483999999999999</v>
      </c>
      <c r="Q154" t="s">
        <v>355</v>
      </c>
      <c r="R154">
        <v>0.44323000000000001</v>
      </c>
      <c r="T154" t="s">
        <v>325</v>
      </c>
      <c r="U154" s="5">
        <v>3000</v>
      </c>
      <c r="V154">
        <v>63.6</v>
      </c>
      <c r="W154">
        <v>154</v>
      </c>
      <c r="X154">
        <v>0.8266331658291457</v>
      </c>
      <c r="Y154">
        <v>154</v>
      </c>
      <c r="Z154">
        <v>0.8266331658291457</v>
      </c>
    </row>
    <row r="155" spans="1:26" x14ac:dyDescent="0.2">
      <c r="A155" t="str">
        <f t="shared" si="8"/>
        <v/>
      </c>
      <c r="B155" t="s">
        <v>327</v>
      </c>
      <c r="C155">
        <v>0.43078</v>
      </c>
      <c r="D155">
        <f t="shared" si="9"/>
        <v>4170</v>
      </c>
      <c r="E155">
        <f t="shared" si="10"/>
        <v>0.2</v>
      </c>
      <c r="F155">
        <f t="shared" si="11"/>
        <v>0.48393999999999998</v>
      </c>
      <c r="H155" t="s">
        <v>326</v>
      </c>
      <c r="I155">
        <v>0.21920000000000001</v>
      </c>
      <c r="K155" t="s">
        <v>355</v>
      </c>
      <c r="L155">
        <v>0.33339999999999997</v>
      </c>
      <c r="N155" t="s">
        <v>196</v>
      </c>
      <c r="O155">
        <v>0.4834</v>
      </c>
      <c r="Q155" t="s">
        <v>328</v>
      </c>
      <c r="R155">
        <v>0.44256000000000001</v>
      </c>
      <c r="T155" t="s">
        <v>327</v>
      </c>
      <c r="U155" s="5">
        <v>4170</v>
      </c>
      <c r="V155">
        <v>0.2</v>
      </c>
      <c r="W155">
        <v>155</v>
      </c>
      <c r="X155">
        <v>0.83040201005025127</v>
      </c>
      <c r="Y155">
        <v>155</v>
      </c>
      <c r="Z155">
        <v>0.83040201005025127</v>
      </c>
    </row>
    <row r="156" spans="1:26" x14ac:dyDescent="0.2">
      <c r="A156" t="str">
        <f t="shared" si="8"/>
        <v>Cameroon</v>
      </c>
      <c r="B156" t="s">
        <v>329</v>
      </c>
      <c r="C156">
        <v>0.42935000000000001</v>
      </c>
      <c r="D156">
        <f t="shared" si="9"/>
        <v>4090</v>
      </c>
      <c r="E156">
        <f t="shared" si="10"/>
        <v>27.2</v>
      </c>
      <c r="F156">
        <f t="shared" si="11"/>
        <v>0.37003999999999998</v>
      </c>
      <c r="H156" t="s">
        <v>330</v>
      </c>
      <c r="I156">
        <v>0.21920000000000001</v>
      </c>
      <c r="K156" t="s">
        <v>261</v>
      </c>
      <c r="L156">
        <v>0.33200000000000002</v>
      </c>
      <c r="N156" t="s">
        <v>231</v>
      </c>
      <c r="O156">
        <v>0.48133999999999999</v>
      </c>
      <c r="Q156" t="s">
        <v>363</v>
      </c>
      <c r="R156">
        <v>0.43922</v>
      </c>
      <c r="T156" t="s">
        <v>329</v>
      </c>
      <c r="U156" s="5">
        <v>4090</v>
      </c>
      <c r="V156">
        <v>27.2</v>
      </c>
      <c r="W156">
        <v>156</v>
      </c>
      <c r="X156">
        <v>0.83417085427135684</v>
      </c>
      <c r="Y156">
        <v>156</v>
      </c>
      <c r="Z156">
        <v>0.83417085427135684</v>
      </c>
    </row>
    <row r="157" spans="1:26" x14ac:dyDescent="0.2">
      <c r="A157" t="str">
        <f t="shared" si="8"/>
        <v>Angola</v>
      </c>
      <c r="B157" t="s">
        <v>332</v>
      </c>
      <c r="C157">
        <v>0.41487000000000002</v>
      </c>
      <c r="D157">
        <f t="shared" si="9"/>
        <v>6090</v>
      </c>
      <c r="E157">
        <f t="shared" si="10"/>
        <v>35.6</v>
      </c>
      <c r="F157">
        <f t="shared" si="11"/>
        <v>0.37237999999999999</v>
      </c>
      <c r="H157" t="s">
        <v>310</v>
      </c>
      <c r="I157">
        <v>0.21920000000000001</v>
      </c>
      <c r="K157" t="s">
        <v>299</v>
      </c>
      <c r="L157">
        <v>0.32647999999999999</v>
      </c>
      <c r="N157" t="s">
        <v>302</v>
      </c>
      <c r="O157">
        <v>0.47602</v>
      </c>
      <c r="Q157" t="s">
        <v>338</v>
      </c>
      <c r="R157">
        <v>0.43230000000000002</v>
      </c>
      <c r="T157" t="s">
        <v>332</v>
      </c>
      <c r="U157" s="5">
        <v>6090</v>
      </c>
      <c r="V157">
        <v>35.6</v>
      </c>
      <c r="W157">
        <v>157</v>
      </c>
      <c r="X157">
        <v>0.8379396984924623</v>
      </c>
      <c r="Y157">
        <v>157</v>
      </c>
      <c r="Z157">
        <v>0.8379396984924623</v>
      </c>
    </row>
    <row r="158" spans="1:26" x14ac:dyDescent="0.2">
      <c r="A158" t="str">
        <f t="shared" si="8"/>
        <v>Lesotho</v>
      </c>
      <c r="B158" t="s">
        <v>333</v>
      </c>
      <c r="C158">
        <v>0.41228999999999999</v>
      </c>
      <c r="D158">
        <f t="shared" si="9"/>
        <v>2740</v>
      </c>
      <c r="E158">
        <f t="shared" si="10"/>
        <v>2.2000000000000002</v>
      </c>
      <c r="F158">
        <f t="shared" si="11"/>
        <v>0.46427000000000002</v>
      </c>
      <c r="H158" t="s">
        <v>260</v>
      </c>
      <c r="I158">
        <v>0.21920000000000001</v>
      </c>
      <c r="K158" t="s">
        <v>300</v>
      </c>
      <c r="L158">
        <v>0.32594000000000001</v>
      </c>
      <c r="N158" t="s">
        <v>229</v>
      </c>
      <c r="O158">
        <v>0.47493000000000002</v>
      </c>
      <c r="Q158" t="s">
        <v>317</v>
      </c>
      <c r="R158">
        <v>0.39471000000000001</v>
      </c>
      <c r="T158" t="s">
        <v>333</v>
      </c>
      <c r="U158" s="5">
        <v>2740</v>
      </c>
      <c r="V158">
        <v>2.2000000000000002</v>
      </c>
      <c r="W158">
        <v>158</v>
      </c>
      <c r="X158">
        <v>0.84170854271356776</v>
      </c>
      <c r="Y158">
        <v>158</v>
      </c>
      <c r="Z158">
        <v>0.84170854271356776</v>
      </c>
    </row>
    <row r="159" spans="1:26" x14ac:dyDescent="0.2">
      <c r="A159" t="str">
        <f t="shared" si="8"/>
        <v/>
      </c>
      <c r="B159" t="s">
        <v>334</v>
      </c>
      <c r="C159">
        <v>0.40425</v>
      </c>
      <c r="D159">
        <f t="shared" si="9"/>
        <v>7790</v>
      </c>
      <c r="E159">
        <f t="shared" si="10"/>
        <v>0.01</v>
      </c>
      <c r="F159">
        <f t="shared" si="11"/>
        <v>0.47197</v>
      </c>
      <c r="H159" t="s">
        <v>210</v>
      </c>
      <c r="I159">
        <v>0.21920000000000001</v>
      </c>
      <c r="K159" t="s">
        <v>290</v>
      </c>
      <c r="L159">
        <v>0.32291999999999998</v>
      </c>
      <c r="N159" t="s">
        <v>335</v>
      </c>
      <c r="O159">
        <v>0.46375</v>
      </c>
      <c r="Q159" t="s">
        <v>367</v>
      </c>
      <c r="R159">
        <v>0.38766</v>
      </c>
      <c r="T159" t="s">
        <v>334</v>
      </c>
      <c r="U159" s="8">
        <v>7790</v>
      </c>
      <c r="V159">
        <v>0.01</v>
      </c>
      <c r="W159">
        <v>159</v>
      </c>
      <c r="X159">
        <v>0.84547738693467334</v>
      </c>
      <c r="Y159">
        <v>159</v>
      </c>
      <c r="Z159">
        <v>0.84547738693467334</v>
      </c>
    </row>
    <row r="160" spans="1:26" x14ac:dyDescent="0.2">
      <c r="A160" t="str">
        <f t="shared" si="8"/>
        <v>Timor-Leste</v>
      </c>
      <c r="B160" t="s">
        <v>276</v>
      </c>
      <c r="C160">
        <v>0.40201999999999999</v>
      </c>
      <c r="D160">
        <f t="shared" si="9"/>
        <v>4170</v>
      </c>
      <c r="E160">
        <f t="shared" si="10"/>
        <v>1.3</v>
      </c>
      <c r="F160">
        <f t="shared" si="11"/>
        <v>0.35505999999999999</v>
      </c>
      <c r="H160" t="s">
        <v>323</v>
      </c>
      <c r="I160">
        <v>0.20549999999999999</v>
      </c>
      <c r="K160" t="s">
        <v>293</v>
      </c>
      <c r="L160">
        <v>0.32203999999999999</v>
      </c>
      <c r="N160" t="s">
        <v>299</v>
      </c>
      <c r="O160">
        <v>0.46084000000000003</v>
      </c>
      <c r="Q160" t="s">
        <v>356</v>
      </c>
      <c r="R160">
        <v>0.38401999999999997</v>
      </c>
      <c r="T160" t="s">
        <v>276</v>
      </c>
      <c r="U160" s="5">
        <v>4170</v>
      </c>
      <c r="V160">
        <v>1.3</v>
      </c>
      <c r="W160">
        <v>160</v>
      </c>
      <c r="X160">
        <v>0.84924623115577891</v>
      </c>
      <c r="Y160">
        <v>160</v>
      </c>
      <c r="Z160">
        <v>0.84924623115577891</v>
      </c>
    </row>
    <row r="161" spans="1:26" x14ac:dyDescent="0.2">
      <c r="A161" t="str">
        <f t="shared" si="8"/>
        <v>Guinea</v>
      </c>
      <c r="B161" t="s">
        <v>338</v>
      </c>
      <c r="C161">
        <v>0.40059</v>
      </c>
      <c r="D161">
        <f t="shared" si="9"/>
        <v>3000</v>
      </c>
      <c r="E161">
        <f t="shared" si="10"/>
        <v>13.5</v>
      </c>
      <c r="F161">
        <f t="shared" si="11"/>
        <v>0.43230000000000002</v>
      </c>
      <c r="H161" t="s">
        <v>304</v>
      </c>
      <c r="I161">
        <v>0.20549999999999999</v>
      </c>
      <c r="K161" t="s">
        <v>270</v>
      </c>
      <c r="L161">
        <v>0.31874999999999998</v>
      </c>
      <c r="N161" t="s">
        <v>314</v>
      </c>
      <c r="O161">
        <v>0.44867000000000001</v>
      </c>
      <c r="Q161" t="s">
        <v>325</v>
      </c>
      <c r="R161">
        <v>0.37920999999999999</v>
      </c>
      <c r="T161" t="s">
        <v>338</v>
      </c>
      <c r="U161" s="5">
        <v>3000</v>
      </c>
      <c r="V161">
        <v>13.5</v>
      </c>
      <c r="W161">
        <v>161</v>
      </c>
      <c r="X161">
        <v>0.85301507537688448</v>
      </c>
      <c r="Y161">
        <v>161</v>
      </c>
      <c r="Z161">
        <v>0.85301507537688448</v>
      </c>
    </row>
    <row r="162" spans="1:26" x14ac:dyDescent="0.2">
      <c r="A162" t="str">
        <f t="shared" si="8"/>
        <v>Togo</v>
      </c>
      <c r="B162" t="s">
        <v>339</v>
      </c>
      <c r="C162">
        <v>0.39198</v>
      </c>
      <c r="D162">
        <f t="shared" si="9"/>
        <v>2800</v>
      </c>
      <c r="E162">
        <f t="shared" si="10"/>
        <v>8.5</v>
      </c>
      <c r="F162">
        <f t="shared" si="11"/>
        <v>0.24736</v>
      </c>
      <c r="H162" t="s">
        <v>340</v>
      </c>
      <c r="I162">
        <v>0.20549999999999999</v>
      </c>
      <c r="K162" t="s">
        <v>371</v>
      </c>
      <c r="L162">
        <v>0.31459999999999999</v>
      </c>
      <c r="N162" t="s">
        <v>265</v>
      </c>
      <c r="O162">
        <v>0.43986999999999998</v>
      </c>
      <c r="Q162" t="s">
        <v>332</v>
      </c>
      <c r="R162">
        <v>0.37237999999999999</v>
      </c>
      <c r="T162" t="s">
        <v>339</v>
      </c>
      <c r="U162" s="5">
        <v>2800</v>
      </c>
      <c r="V162">
        <v>8.5</v>
      </c>
      <c r="W162">
        <v>162</v>
      </c>
      <c r="X162">
        <v>0.85678391959798994</v>
      </c>
      <c r="Y162">
        <v>162</v>
      </c>
      <c r="Z162">
        <v>0.85678391959798994</v>
      </c>
    </row>
    <row r="163" spans="1:26" x14ac:dyDescent="0.2">
      <c r="A163" t="str">
        <f t="shared" si="8"/>
        <v>Syria</v>
      </c>
      <c r="B163" t="s">
        <v>328</v>
      </c>
      <c r="C163">
        <v>0.38875999999999999</v>
      </c>
      <c r="D163">
        <f t="shared" si="9"/>
        <v>4610</v>
      </c>
      <c r="E163">
        <f t="shared" si="10"/>
        <v>22.1</v>
      </c>
      <c r="F163">
        <f t="shared" si="11"/>
        <v>0.44256000000000001</v>
      </c>
      <c r="H163" t="s">
        <v>174</v>
      </c>
      <c r="I163">
        <v>0.20549999999999999</v>
      </c>
      <c r="K163" t="s">
        <v>374</v>
      </c>
      <c r="L163">
        <v>0.30839</v>
      </c>
      <c r="N163" t="s">
        <v>257</v>
      </c>
      <c r="O163">
        <v>0.42624000000000001</v>
      </c>
      <c r="Q163" t="s">
        <v>264</v>
      </c>
      <c r="R163">
        <v>0.37235000000000001</v>
      </c>
      <c r="T163" t="s">
        <v>328</v>
      </c>
      <c r="U163" s="8">
        <v>4610</v>
      </c>
      <c r="V163">
        <v>22.1</v>
      </c>
      <c r="W163">
        <v>163</v>
      </c>
      <c r="X163">
        <v>0.86055276381909551</v>
      </c>
      <c r="Y163">
        <v>163</v>
      </c>
      <c r="Z163">
        <v>0.86055276381909551</v>
      </c>
    </row>
    <row r="164" spans="1:26" x14ac:dyDescent="0.2">
      <c r="A164" t="str">
        <f t="shared" si="8"/>
        <v>Malawi</v>
      </c>
      <c r="B164" t="s">
        <v>341</v>
      </c>
      <c r="C164">
        <v>0.37534000000000001</v>
      </c>
      <c r="D164">
        <f t="shared" si="9"/>
        <v>1500</v>
      </c>
      <c r="E164">
        <f t="shared" si="10"/>
        <v>20</v>
      </c>
      <c r="F164">
        <f t="shared" si="11"/>
        <v>0.18862000000000001</v>
      </c>
      <c r="H164" t="s">
        <v>324</v>
      </c>
      <c r="I164">
        <v>0.1918</v>
      </c>
      <c r="K164" t="s">
        <v>328</v>
      </c>
      <c r="L164">
        <v>0.30678</v>
      </c>
      <c r="N164" t="s">
        <v>235</v>
      </c>
      <c r="O164">
        <v>0.42357</v>
      </c>
      <c r="Q164" t="s">
        <v>329</v>
      </c>
      <c r="R164">
        <v>0.37003999999999998</v>
      </c>
      <c r="T164" t="s">
        <v>341</v>
      </c>
      <c r="U164" s="5">
        <v>1500</v>
      </c>
      <c r="V164">
        <v>20</v>
      </c>
      <c r="W164">
        <v>164</v>
      </c>
      <c r="X164">
        <v>0.86432160804020097</v>
      </c>
      <c r="Y164">
        <v>164</v>
      </c>
      <c r="Z164">
        <v>0.86432160804020097</v>
      </c>
    </row>
    <row r="165" spans="1:26" x14ac:dyDescent="0.2">
      <c r="A165" t="str">
        <f t="shared" si="8"/>
        <v/>
      </c>
      <c r="B165" t="s">
        <v>343</v>
      </c>
      <c r="C165">
        <v>0.36810999999999999</v>
      </c>
      <c r="D165">
        <f t="shared" si="9"/>
        <v>2700</v>
      </c>
      <c r="E165">
        <f t="shared" si="10"/>
        <v>0.7</v>
      </c>
      <c r="F165">
        <f t="shared" si="11"/>
        <v>0.18109</v>
      </c>
      <c r="H165" t="s">
        <v>336</v>
      </c>
      <c r="I165">
        <v>0.17810000000000001</v>
      </c>
      <c r="K165" t="s">
        <v>251</v>
      </c>
      <c r="L165">
        <v>0.30385000000000001</v>
      </c>
      <c r="N165" t="s">
        <v>342</v>
      </c>
      <c r="O165">
        <v>0.41688999999999998</v>
      </c>
      <c r="Q165" t="s">
        <v>357</v>
      </c>
      <c r="R165">
        <v>0.36402000000000001</v>
      </c>
      <c r="T165" t="s">
        <v>343</v>
      </c>
      <c r="U165" s="5">
        <v>2700</v>
      </c>
      <c r="V165">
        <v>0.7</v>
      </c>
      <c r="W165">
        <v>165</v>
      </c>
      <c r="X165">
        <v>0.86809045226130654</v>
      </c>
      <c r="Y165">
        <v>165</v>
      </c>
      <c r="Z165">
        <v>0.86809045226130654</v>
      </c>
    </row>
    <row r="166" spans="1:26" x14ac:dyDescent="0.2">
      <c r="A166" t="str">
        <f t="shared" si="8"/>
        <v>Mauritania</v>
      </c>
      <c r="B166" t="s">
        <v>344</v>
      </c>
      <c r="C166">
        <v>0.34911999999999999</v>
      </c>
      <c r="D166">
        <f t="shared" si="9"/>
        <v>5860</v>
      </c>
      <c r="E166">
        <f t="shared" si="10"/>
        <v>5</v>
      </c>
      <c r="F166">
        <f t="shared" si="11"/>
        <v>0.58238999999999996</v>
      </c>
      <c r="H166" t="s">
        <v>227</v>
      </c>
      <c r="I166">
        <v>0.17810000000000001</v>
      </c>
      <c r="K166" t="s">
        <v>377</v>
      </c>
      <c r="L166">
        <v>0.29709999999999998</v>
      </c>
      <c r="N166" t="s">
        <v>288</v>
      </c>
      <c r="O166">
        <v>0.41409000000000001</v>
      </c>
      <c r="Q166" t="s">
        <v>276</v>
      </c>
      <c r="R166">
        <v>0.35505999999999999</v>
      </c>
      <c r="T166" t="s">
        <v>344</v>
      </c>
      <c r="U166" s="5">
        <v>5860</v>
      </c>
      <c r="V166">
        <v>5</v>
      </c>
      <c r="W166">
        <v>166</v>
      </c>
      <c r="X166">
        <v>0.87185929648241212</v>
      </c>
      <c r="Y166">
        <v>166</v>
      </c>
      <c r="Z166">
        <v>0.87185929648241212</v>
      </c>
    </row>
    <row r="167" spans="1:26" x14ac:dyDescent="0.2">
      <c r="A167" t="str">
        <f t="shared" si="8"/>
        <v>Congo</v>
      </c>
      <c r="B167" t="s">
        <v>345</v>
      </c>
      <c r="C167">
        <v>0.33911999999999998</v>
      </c>
      <c r="D167">
        <f t="shared" si="9"/>
        <v>4170</v>
      </c>
      <c r="E167">
        <f t="shared" si="10"/>
        <v>5.8</v>
      </c>
      <c r="F167">
        <f t="shared" si="11"/>
        <v>0.27757999999999999</v>
      </c>
      <c r="H167" t="s">
        <v>346</v>
      </c>
      <c r="I167">
        <v>0.16439999999999999</v>
      </c>
      <c r="K167" t="s">
        <v>333</v>
      </c>
      <c r="L167">
        <v>0.28637000000000001</v>
      </c>
      <c r="N167" t="s">
        <v>318</v>
      </c>
      <c r="O167">
        <v>0.41021000000000002</v>
      </c>
      <c r="Q167" t="s">
        <v>315</v>
      </c>
      <c r="R167">
        <v>0.35437999999999997</v>
      </c>
      <c r="T167" t="s">
        <v>345</v>
      </c>
      <c r="U167" s="5">
        <v>4170</v>
      </c>
      <c r="V167">
        <v>5.8</v>
      </c>
      <c r="W167">
        <v>167</v>
      </c>
      <c r="X167">
        <v>0.87562814070351758</v>
      </c>
      <c r="Y167">
        <v>167</v>
      </c>
      <c r="Z167">
        <v>0.87562814070351758</v>
      </c>
    </row>
    <row r="168" spans="1:26" x14ac:dyDescent="0.2">
      <c r="A168" t="str">
        <f t="shared" si="8"/>
        <v/>
      </c>
      <c r="B168" t="s">
        <v>347</v>
      </c>
      <c r="C168">
        <v>0.32351999999999997</v>
      </c>
      <c r="D168">
        <f t="shared" si="9"/>
        <v>3740</v>
      </c>
      <c r="E168">
        <f t="shared" si="10"/>
        <v>0.1</v>
      </c>
      <c r="F168">
        <f t="shared" si="11"/>
        <v>0.13502</v>
      </c>
      <c r="H168" t="s">
        <v>273</v>
      </c>
      <c r="I168">
        <v>0.16439999999999999</v>
      </c>
      <c r="K168" t="s">
        <v>298</v>
      </c>
      <c r="L168">
        <v>0.27866999999999997</v>
      </c>
      <c r="N168" t="s">
        <v>348</v>
      </c>
      <c r="O168">
        <v>0.39916000000000001</v>
      </c>
      <c r="Q168" t="s">
        <v>366</v>
      </c>
      <c r="R168">
        <v>0.35367999999999999</v>
      </c>
      <c r="T168" t="s">
        <v>347</v>
      </c>
      <c r="U168" s="5">
        <v>3740</v>
      </c>
      <c r="V168">
        <v>0.1</v>
      </c>
      <c r="W168">
        <v>168</v>
      </c>
      <c r="X168">
        <v>0.87939698492462304</v>
      </c>
      <c r="Y168">
        <v>168</v>
      </c>
      <c r="Z168">
        <v>0.87939698492462304</v>
      </c>
    </row>
    <row r="169" spans="1:26" x14ac:dyDescent="0.2">
      <c r="A169" t="str">
        <f t="shared" si="8"/>
        <v>Madagascar</v>
      </c>
      <c r="B169" t="s">
        <v>349</v>
      </c>
      <c r="C169">
        <v>0.32346000000000003</v>
      </c>
      <c r="D169">
        <f t="shared" si="9"/>
        <v>1600</v>
      </c>
      <c r="E169">
        <f t="shared" si="10"/>
        <v>29.1</v>
      </c>
      <c r="F169">
        <f t="shared" si="11"/>
        <v>0.15178</v>
      </c>
      <c r="H169" t="s">
        <v>320</v>
      </c>
      <c r="I169">
        <v>0.16439999999999999</v>
      </c>
      <c r="K169" t="s">
        <v>345</v>
      </c>
      <c r="L169">
        <v>0.27604000000000001</v>
      </c>
      <c r="N169" t="s">
        <v>324</v>
      </c>
      <c r="O169">
        <v>0.39838000000000001</v>
      </c>
      <c r="Q169" t="s">
        <v>309</v>
      </c>
      <c r="R169">
        <v>0.30473</v>
      </c>
      <c r="T169" t="s">
        <v>349</v>
      </c>
      <c r="U169" s="5">
        <v>1600</v>
      </c>
      <c r="V169">
        <v>29.1</v>
      </c>
      <c r="W169">
        <v>169</v>
      </c>
      <c r="X169">
        <v>0.88316582914572861</v>
      </c>
      <c r="Y169">
        <v>169</v>
      </c>
      <c r="Z169">
        <v>0.88316582914572861</v>
      </c>
    </row>
    <row r="170" spans="1:26" x14ac:dyDescent="0.2">
      <c r="A170" t="str">
        <f t="shared" si="8"/>
        <v>Ethiopia</v>
      </c>
      <c r="B170" t="s">
        <v>350</v>
      </c>
      <c r="C170">
        <v>0.31108999999999998</v>
      </c>
      <c r="D170">
        <f t="shared" si="9"/>
        <v>2370</v>
      </c>
      <c r="E170">
        <f t="shared" si="10"/>
        <v>123.4</v>
      </c>
      <c r="F170">
        <f t="shared" si="11"/>
        <v>0.26591999999999999</v>
      </c>
      <c r="H170" t="s">
        <v>271</v>
      </c>
      <c r="I170">
        <v>0.16439999999999999</v>
      </c>
      <c r="K170" t="s">
        <v>375</v>
      </c>
      <c r="L170">
        <v>0.26738000000000001</v>
      </c>
      <c r="N170" t="s">
        <v>330</v>
      </c>
      <c r="O170">
        <v>0.39655000000000001</v>
      </c>
      <c r="Q170" t="s">
        <v>372</v>
      </c>
      <c r="R170">
        <v>0.29044999999999999</v>
      </c>
      <c r="T170" t="s">
        <v>350</v>
      </c>
      <c r="U170" s="5">
        <v>2370</v>
      </c>
      <c r="V170">
        <v>123.4</v>
      </c>
      <c r="W170">
        <v>170</v>
      </c>
      <c r="X170">
        <v>0.88693467336683418</v>
      </c>
      <c r="Y170">
        <v>170</v>
      </c>
      <c r="Z170">
        <v>0.88693467336683418</v>
      </c>
    </row>
    <row r="171" spans="1:26" x14ac:dyDescent="0.2">
      <c r="A171" t="str">
        <f t="shared" si="8"/>
        <v>Guinea-Bissau</v>
      </c>
      <c r="B171" t="s">
        <v>352</v>
      </c>
      <c r="C171">
        <v>0.30830999999999997</v>
      </c>
      <c r="D171">
        <f t="shared" si="9"/>
        <v>2370</v>
      </c>
      <c r="E171">
        <f t="shared" si="10"/>
        <v>2.1</v>
      </c>
      <c r="F171">
        <f t="shared" si="11"/>
        <v>0.49023</v>
      </c>
      <c r="H171" t="s">
        <v>126</v>
      </c>
      <c r="I171">
        <v>0.1507</v>
      </c>
      <c r="K171" t="s">
        <v>369</v>
      </c>
      <c r="L171">
        <v>0.26334999999999997</v>
      </c>
      <c r="N171" t="s">
        <v>304</v>
      </c>
      <c r="O171">
        <v>0.39518999999999999</v>
      </c>
      <c r="Q171" t="s">
        <v>345</v>
      </c>
      <c r="R171">
        <v>0.27757999999999999</v>
      </c>
      <c r="T171" t="s">
        <v>352</v>
      </c>
      <c r="U171" s="5">
        <v>2370</v>
      </c>
      <c r="V171">
        <v>2.1</v>
      </c>
      <c r="W171">
        <v>171</v>
      </c>
      <c r="X171">
        <v>0.89070351758793975</v>
      </c>
      <c r="Y171">
        <v>171</v>
      </c>
      <c r="Z171">
        <v>0.89070351758793975</v>
      </c>
    </row>
    <row r="172" spans="1:26" x14ac:dyDescent="0.2">
      <c r="A172" t="str">
        <f t="shared" si="8"/>
        <v>P.N.G.</v>
      </c>
      <c r="B172" t="s">
        <v>353</v>
      </c>
      <c r="C172">
        <v>0.30756</v>
      </c>
      <c r="D172">
        <f t="shared" si="9"/>
        <v>4230</v>
      </c>
      <c r="E172">
        <f t="shared" si="10"/>
        <v>10.9</v>
      </c>
      <c r="F172">
        <f t="shared" si="11"/>
        <v>0.18512999999999999</v>
      </c>
      <c r="H172" t="s">
        <v>351</v>
      </c>
      <c r="I172">
        <v>0.1507</v>
      </c>
      <c r="K172" t="s">
        <v>347</v>
      </c>
      <c r="L172">
        <v>0.26211000000000001</v>
      </c>
      <c r="N172" t="s">
        <v>247</v>
      </c>
      <c r="O172">
        <v>0.37146000000000001</v>
      </c>
      <c r="Q172" t="s">
        <v>350</v>
      </c>
      <c r="R172">
        <v>0.26591999999999999</v>
      </c>
      <c r="T172" t="s">
        <v>353</v>
      </c>
      <c r="U172" s="5">
        <v>4230</v>
      </c>
      <c r="V172">
        <v>10.9</v>
      </c>
      <c r="W172">
        <v>172</v>
      </c>
      <c r="X172">
        <v>0.89447236180904521</v>
      </c>
      <c r="Y172">
        <v>172</v>
      </c>
      <c r="Z172">
        <v>0.89447236180904521</v>
      </c>
    </row>
    <row r="173" spans="1:26" x14ac:dyDescent="0.2">
      <c r="A173" t="str">
        <f t="shared" si="8"/>
        <v>Sierra Leone</v>
      </c>
      <c r="B173" t="s">
        <v>354</v>
      </c>
      <c r="C173">
        <v>0.30421999999999999</v>
      </c>
      <c r="D173">
        <f t="shared" si="9"/>
        <v>1660</v>
      </c>
      <c r="E173">
        <f t="shared" si="10"/>
        <v>8.6999999999999993</v>
      </c>
      <c r="F173">
        <f t="shared" si="11"/>
        <v>0.25851000000000002</v>
      </c>
      <c r="H173" t="s">
        <v>281</v>
      </c>
      <c r="I173">
        <v>0.13700000000000001</v>
      </c>
      <c r="K173" t="s">
        <v>312</v>
      </c>
      <c r="L173">
        <v>0.25063999999999997</v>
      </c>
      <c r="N173" t="s">
        <v>346</v>
      </c>
      <c r="O173">
        <v>0.3669</v>
      </c>
      <c r="Q173" t="s">
        <v>354</v>
      </c>
      <c r="R173">
        <v>0.25851000000000002</v>
      </c>
      <c r="T173" t="s">
        <v>354</v>
      </c>
      <c r="U173" s="5">
        <v>1660</v>
      </c>
      <c r="V173">
        <v>8.6999999999999993</v>
      </c>
      <c r="W173">
        <v>173</v>
      </c>
      <c r="X173">
        <v>0.89824120603015079</v>
      </c>
      <c r="Y173">
        <v>173</v>
      </c>
      <c r="Z173">
        <v>0.89824120603015079</v>
      </c>
    </row>
    <row r="174" spans="1:26" x14ac:dyDescent="0.2">
      <c r="A174" t="str">
        <f t="shared" si="8"/>
        <v>Mali</v>
      </c>
      <c r="B174" t="s">
        <v>355</v>
      </c>
      <c r="C174">
        <v>0.30053000000000002</v>
      </c>
      <c r="D174">
        <f t="shared" si="9"/>
        <v>2540</v>
      </c>
      <c r="E174">
        <f t="shared" si="10"/>
        <v>23.3</v>
      </c>
      <c r="F174">
        <f t="shared" si="11"/>
        <v>0.44323000000000001</v>
      </c>
      <c r="H174" t="s">
        <v>266</v>
      </c>
      <c r="I174">
        <v>0.13700000000000001</v>
      </c>
      <c r="K174" t="s">
        <v>321</v>
      </c>
      <c r="L174">
        <v>0.24387</v>
      </c>
      <c r="N174" t="s">
        <v>183</v>
      </c>
      <c r="O174">
        <v>0.34995999999999999</v>
      </c>
      <c r="Q174" t="s">
        <v>359</v>
      </c>
      <c r="R174">
        <v>0.25319999999999998</v>
      </c>
      <c r="T174" t="s">
        <v>355</v>
      </c>
      <c r="U174" s="5">
        <v>2540</v>
      </c>
      <c r="V174">
        <v>23.3</v>
      </c>
      <c r="W174">
        <v>174</v>
      </c>
      <c r="X174">
        <v>0.90201005025125625</v>
      </c>
      <c r="Y174">
        <v>174</v>
      </c>
      <c r="Z174">
        <v>0.90201005025125625</v>
      </c>
    </row>
    <row r="175" spans="1:26" x14ac:dyDescent="0.2">
      <c r="A175" t="str">
        <f t="shared" si="8"/>
        <v>Djibouti</v>
      </c>
      <c r="B175" t="s">
        <v>356</v>
      </c>
      <c r="C175">
        <v>0.29104999999999998</v>
      </c>
      <c r="D175">
        <f t="shared" si="9"/>
        <v>4900</v>
      </c>
      <c r="E175">
        <f t="shared" si="10"/>
        <v>1.1000000000000001</v>
      </c>
      <c r="F175">
        <f t="shared" si="11"/>
        <v>0.38401999999999997</v>
      </c>
      <c r="H175" t="s">
        <v>292</v>
      </c>
      <c r="I175">
        <v>0.12330000000000001</v>
      </c>
      <c r="K175" t="s">
        <v>303</v>
      </c>
      <c r="L175">
        <v>0.22982</v>
      </c>
      <c r="N175" t="s">
        <v>246</v>
      </c>
      <c r="O175">
        <v>0.33804000000000001</v>
      </c>
      <c r="Q175" t="s">
        <v>339</v>
      </c>
      <c r="R175">
        <v>0.24736</v>
      </c>
      <c r="T175" t="s">
        <v>356</v>
      </c>
      <c r="U175" s="5">
        <v>4900</v>
      </c>
      <c r="V175">
        <v>1.1000000000000001</v>
      </c>
      <c r="W175">
        <v>175</v>
      </c>
      <c r="X175">
        <v>0.90577889447236182</v>
      </c>
      <c r="Y175">
        <v>175</v>
      </c>
      <c r="Z175">
        <v>0.90577889447236182</v>
      </c>
    </row>
    <row r="176" spans="1:26" x14ac:dyDescent="0.2">
      <c r="A176" t="str">
        <f t="shared" si="8"/>
        <v>Burkina Faso</v>
      </c>
      <c r="B176" t="s">
        <v>357</v>
      </c>
      <c r="C176">
        <v>0.28946</v>
      </c>
      <c r="D176">
        <f t="shared" si="9"/>
        <v>2420</v>
      </c>
      <c r="E176">
        <f t="shared" si="10"/>
        <v>23.3</v>
      </c>
      <c r="F176">
        <f t="shared" si="11"/>
        <v>0.36402000000000001</v>
      </c>
      <c r="H176" t="s">
        <v>198</v>
      </c>
      <c r="I176">
        <v>0.12330000000000001</v>
      </c>
      <c r="K176" t="s">
        <v>327</v>
      </c>
      <c r="L176">
        <v>0.21557000000000001</v>
      </c>
      <c r="N176" t="s">
        <v>358</v>
      </c>
      <c r="O176">
        <v>0.33237</v>
      </c>
      <c r="Q176" t="s">
        <v>319</v>
      </c>
      <c r="R176">
        <v>0.22989999999999999</v>
      </c>
      <c r="T176" t="s">
        <v>357</v>
      </c>
      <c r="U176" s="5">
        <v>2420</v>
      </c>
      <c r="V176">
        <v>23.3</v>
      </c>
      <c r="W176">
        <v>176</v>
      </c>
      <c r="X176">
        <v>0.90954773869346739</v>
      </c>
      <c r="Y176">
        <v>176</v>
      </c>
      <c r="Z176">
        <v>0.90954773869346739</v>
      </c>
    </row>
    <row r="177" spans="1:26" x14ac:dyDescent="0.2">
      <c r="A177" t="str">
        <f t="shared" si="8"/>
        <v>Equatorial Guinea</v>
      </c>
      <c r="B177" t="s">
        <v>359</v>
      </c>
      <c r="C177">
        <v>0.28554000000000002</v>
      </c>
      <c r="D177">
        <f t="shared" si="9"/>
        <v>17330</v>
      </c>
      <c r="E177">
        <f t="shared" si="10"/>
        <v>1.7</v>
      </c>
      <c r="F177">
        <f t="shared" si="11"/>
        <v>0.25319999999999998</v>
      </c>
      <c r="H177" t="s">
        <v>99</v>
      </c>
      <c r="I177">
        <v>0.12330000000000001</v>
      </c>
      <c r="K177" t="s">
        <v>356</v>
      </c>
      <c r="L177">
        <v>0.20915</v>
      </c>
      <c r="N177" t="s">
        <v>320</v>
      </c>
      <c r="O177">
        <v>0.32536999999999999</v>
      </c>
      <c r="Q177" t="s">
        <v>360</v>
      </c>
      <c r="R177">
        <v>0.21672</v>
      </c>
      <c r="T177" t="s">
        <v>359</v>
      </c>
      <c r="U177" s="5">
        <v>17330</v>
      </c>
      <c r="V177">
        <v>1.7</v>
      </c>
      <c r="W177">
        <v>177</v>
      </c>
      <c r="X177">
        <v>0.91331658291457285</v>
      </c>
      <c r="Y177">
        <v>177</v>
      </c>
      <c r="Z177">
        <v>0.91331658291457285</v>
      </c>
    </row>
    <row r="178" spans="1:26" x14ac:dyDescent="0.2">
      <c r="A178" t="str">
        <f t="shared" si="8"/>
        <v>Mozambique</v>
      </c>
      <c r="B178" t="s">
        <v>361</v>
      </c>
      <c r="C178">
        <v>0.28476000000000001</v>
      </c>
      <c r="D178">
        <f t="shared" si="9"/>
        <v>1520</v>
      </c>
      <c r="E178">
        <f t="shared" si="10"/>
        <v>33.9</v>
      </c>
      <c r="F178">
        <f t="shared" si="11"/>
        <v>6.3210000000000002E-2</v>
      </c>
      <c r="H178" t="s">
        <v>360</v>
      </c>
      <c r="I178">
        <v>0.1096</v>
      </c>
      <c r="K178" t="s">
        <v>365</v>
      </c>
      <c r="L178">
        <v>0.20671</v>
      </c>
      <c r="N178" t="s">
        <v>310</v>
      </c>
      <c r="O178">
        <v>0.30774000000000001</v>
      </c>
      <c r="Q178" t="s">
        <v>373</v>
      </c>
      <c r="R178">
        <v>0.20874000000000001</v>
      </c>
      <c r="T178" t="s">
        <v>361</v>
      </c>
      <c r="U178" s="5">
        <v>1520</v>
      </c>
      <c r="V178">
        <v>33.9</v>
      </c>
      <c r="W178">
        <v>178</v>
      </c>
      <c r="X178">
        <v>0.91708542713567831</v>
      </c>
      <c r="Y178">
        <v>178</v>
      </c>
      <c r="Z178">
        <v>0.91708542713567831</v>
      </c>
    </row>
    <row r="179" spans="1:26" x14ac:dyDescent="0.2">
      <c r="A179" t="str">
        <f t="shared" si="8"/>
        <v>Sudan</v>
      </c>
      <c r="B179" t="s">
        <v>363</v>
      </c>
      <c r="C179">
        <v>0.27594000000000002</v>
      </c>
      <c r="D179">
        <f t="shared" si="9"/>
        <v>3870</v>
      </c>
      <c r="E179">
        <f t="shared" si="10"/>
        <v>48.1</v>
      </c>
      <c r="F179">
        <f t="shared" si="11"/>
        <v>0.43922</v>
      </c>
      <c r="H179" t="s">
        <v>364</v>
      </c>
      <c r="I179">
        <v>0.1096</v>
      </c>
      <c r="K179" t="s">
        <v>334</v>
      </c>
      <c r="L179">
        <v>0.19438</v>
      </c>
      <c r="N179" t="s">
        <v>292</v>
      </c>
      <c r="O179">
        <v>0.29615000000000002</v>
      </c>
      <c r="Q179" t="s">
        <v>341</v>
      </c>
      <c r="R179">
        <v>0.18862000000000001</v>
      </c>
      <c r="T179" t="s">
        <v>363</v>
      </c>
      <c r="U179" s="5">
        <v>3870</v>
      </c>
      <c r="V179">
        <v>48.1</v>
      </c>
      <c r="W179">
        <v>179</v>
      </c>
      <c r="X179">
        <v>0.92085427135678388</v>
      </c>
      <c r="Y179">
        <v>179</v>
      </c>
      <c r="Z179">
        <v>0.92085427135678388</v>
      </c>
    </row>
    <row r="180" spans="1:26" x14ac:dyDescent="0.2">
      <c r="A180" t="str">
        <f t="shared" si="8"/>
        <v>Democratic Republic of the Congo</v>
      </c>
      <c r="B180" t="s">
        <v>365</v>
      </c>
      <c r="C180">
        <v>0.27149000000000001</v>
      </c>
      <c r="D180">
        <f t="shared" si="9"/>
        <v>1270</v>
      </c>
      <c r="E180">
        <f t="shared" si="10"/>
        <v>102.3</v>
      </c>
      <c r="F180">
        <f t="shared" si="11"/>
        <v>0.15906000000000001</v>
      </c>
      <c r="H180" t="s">
        <v>262</v>
      </c>
      <c r="I180">
        <v>9.5899999999999999E-2</v>
      </c>
      <c r="K180" t="s">
        <v>359</v>
      </c>
      <c r="L180">
        <v>0.19319</v>
      </c>
      <c r="N180" t="s">
        <v>202</v>
      </c>
      <c r="O180">
        <v>0.28867999999999999</v>
      </c>
      <c r="Q180" t="s">
        <v>353</v>
      </c>
      <c r="R180">
        <v>0.18512999999999999</v>
      </c>
      <c r="T180" t="s">
        <v>365</v>
      </c>
      <c r="U180" s="5">
        <v>1270</v>
      </c>
      <c r="V180">
        <v>102.3</v>
      </c>
      <c r="W180">
        <v>180</v>
      </c>
      <c r="X180">
        <v>0.92462311557788945</v>
      </c>
      <c r="Y180">
        <v>180</v>
      </c>
      <c r="Z180">
        <v>0.92462311557788945</v>
      </c>
    </row>
    <row r="181" spans="1:26" x14ac:dyDescent="0.2">
      <c r="A181" t="str">
        <f t="shared" si="8"/>
        <v/>
      </c>
      <c r="B181" t="s">
        <v>366</v>
      </c>
      <c r="C181">
        <v>0.25862000000000002</v>
      </c>
      <c r="D181">
        <f t="shared" si="9"/>
        <v>3620</v>
      </c>
      <c r="E181">
        <f t="shared" si="10"/>
        <v>0.9</v>
      </c>
      <c r="F181">
        <f t="shared" si="11"/>
        <v>0.35367999999999999</v>
      </c>
      <c r="H181" t="s">
        <v>337</v>
      </c>
      <c r="I181">
        <v>9.5899999999999999E-2</v>
      </c>
      <c r="K181" t="s">
        <v>316</v>
      </c>
      <c r="L181">
        <v>0.18754999999999999</v>
      </c>
      <c r="N181" t="s">
        <v>362</v>
      </c>
      <c r="O181">
        <v>0.28833999999999999</v>
      </c>
      <c r="Q181" t="s">
        <v>343</v>
      </c>
      <c r="R181">
        <v>0.18109</v>
      </c>
      <c r="T181" t="s">
        <v>366</v>
      </c>
      <c r="U181" s="5">
        <v>3620</v>
      </c>
      <c r="V181">
        <v>0.9</v>
      </c>
      <c r="W181">
        <v>181</v>
      </c>
      <c r="X181">
        <v>0.92839195979899503</v>
      </c>
      <c r="Y181">
        <v>181</v>
      </c>
      <c r="Z181">
        <v>0.92839195979899503</v>
      </c>
    </row>
    <row r="182" spans="1:26" x14ac:dyDescent="0.2">
      <c r="A182" t="str">
        <f t="shared" si="8"/>
        <v>Gambia</v>
      </c>
      <c r="B182" t="s">
        <v>367</v>
      </c>
      <c r="C182">
        <v>0.25517000000000001</v>
      </c>
      <c r="D182">
        <f t="shared" si="9"/>
        <v>2280</v>
      </c>
      <c r="E182">
        <f t="shared" si="10"/>
        <v>2.8</v>
      </c>
      <c r="F182">
        <f t="shared" si="11"/>
        <v>0.38766</v>
      </c>
      <c r="H182" t="s">
        <v>362</v>
      </c>
      <c r="I182">
        <v>9.5899999999999999E-2</v>
      </c>
      <c r="K182" t="s">
        <v>344</v>
      </c>
      <c r="L182">
        <v>0.16879</v>
      </c>
      <c r="N182" t="s">
        <v>336</v>
      </c>
      <c r="O182">
        <v>0.28231000000000001</v>
      </c>
      <c r="Q182" t="s">
        <v>368</v>
      </c>
      <c r="R182">
        <v>0.17452000000000001</v>
      </c>
      <c r="T182" t="s">
        <v>367</v>
      </c>
      <c r="U182" s="5">
        <v>2280</v>
      </c>
      <c r="V182">
        <v>2.8</v>
      </c>
      <c r="W182">
        <v>182</v>
      </c>
      <c r="X182">
        <v>0.9321608040201006</v>
      </c>
      <c r="Y182">
        <v>182</v>
      </c>
      <c r="Z182">
        <v>0.9321608040201006</v>
      </c>
    </row>
    <row r="183" spans="1:26" x14ac:dyDescent="0.2">
      <c r="A183" t="str">
        <f t="shared" si="8"/>
        <v>Liberia</v>
      </c>
      <c r="B183" t="s">
        <v>369</v>
      </c>
      <c r="C183">
        <v>0.25133</v>
      </c>
      <c r="D183">
        <f t="shared" si="9"/>
        <v>1620</v>
      </c>
      <c r="E183">
        <f t="shared" si="10"/>
        <v>5.4</v>
      </c>
      <c r="F183">
        <f t="shared" si="11"/>
        <v>0.12379</v>
      </c>
      <c r="H183" t="s">
        <v>370</v>
      </c>
      <c r="I183">
        <v>8.2199999999999995E-2</v>
      </c>
      <c r="K183" t="s">
        <v>364</v>
      </c>
      <c r="L183">
        <v>0.15040999999999999</v>
      </c>
      <c r="N183" t="s">
        <v>337</v>
      </c>
      <c r="O183">
        <v>0.27995999999999999</v>
      </c>
      <c r="Q183" t="s">
        <v>365</v>
      </c>
      <c r="R183">
        <v>0.15906000000000001</v>
      </c>
      <c r="T183" t="s">
        <v>369</v>
      </c>
      <c r="U183" s="5">
        <v>1620</v>
      </c>
      <c r="V183">
        <v>5.4</v>
      </c>
      <c r="W183">
        <v>183</v>
      </c>
      <c r="X183">
        <v>0.93592964824120606</v>
      </c>
      <c r="Y183">
        <v>183</v>
      </c>
      <c r="Z183">
        <v>0.93592964824120606</v>
      </c>
    </row>
    <row r="184" spans="1:26" x14ac:dyDescent="0.2">
      <c r="A184" t="str">
        <f t="shared" si="8"/>
        <v>Burundi</v>
      </c>
      <c r="B184" t="s">
        <v>371</v>
      </c>
      <c r="C184">
        <v>0.24804999999999999</v>
      </c>
      <c r="D184">
        <f t="shared" si="9"/>
        <v>840</v>
      </c>
      <c r="E184">
        <f t="shared" si="10"/>
        <v>12.9</v>
      </c>
      <c r="F184">
        <f t="shared" si="11"/>
        <v>3.3050000000000003E-2</v>
      </c>
      <c r="H184" t="s">
        <v>335</v>
      </c>
      <c r="I184">
        <v>8.2199999999999995E-2</v>
      </c>
      <c r="K184" t="s">
        <v>360</v>
      </c>
      <c r="L184">
        <v>0.14379</v>
      </c>
      <c r="N184" t="s">
        <v>275</v>
      </c>
      <c r="O184">
        <v>0.27184999999999998</v>
      </c>
      <c r="Q184" t="s">
        <v>374</v>
      </c>
      <c r="R184">
        <v>0.15783</v>
      </c>
      <c r="T184" t="s">
        <v>371</v>
      </c>
      <c r="U184" s="5">
        <v>840</v>
      </c>
      <c r="V184">
        <v>12.9</v>
      </c>
      <c r="W184">
        <v>184</v>
      </c>
      <c r="X184">
        <v>0.93969849246231152</v>
      </c>
      <c r="Y184">
        <v>184</v>
      </c>
      <c r="Z184">
        <v>0.93969849246231152</v>
      </c>
    </row>
    <row r="185" spans="1:26" x14ac:dyDescent="0.2">
      <c r="A185" t="str">
        <f t="shared" si="8"/>
        <v>North Korea</v>
      </c>
      <c r="B185" t="s">
        <v>368</v>
      </c>
      <c r="C185">
        <v>0.23200999999999999</v>
      </c>
      <c r="D185">
        <f t="shared" si="9"/>
        <v>840</v>
      </c>
      <c r="E185">
        <f t="shared" si="10"/>
        <v>26.1</v>
      </c>
      <c r="F185">
        <f t="shared" si="11"/>
        <v>0.17452000000000001</v>
      </c>
      <c r="H185" t="s">
        <v>331</v>
      </c>
      <c r="I185">
        <v>6.8500000000000005E-2</v>
      </c>
      <c r="K185" t="s">
        <v>373</v>
      </c>
      <c r="L185">
        <v>0.13785</v>
      </c>
      <c r="N185" t="s">
        <v>351</v>
      </c>
      <c r="O185">
        <v>0.26704</v>
      </c>
      <c r="Q185" t="s">
        <v>349</v>
      </c>
      <c r="R185">
        <v>0.15178</v>
      </c>
      <c r="T185" t="s">
        <v>368</v>
      </c>
      <c r="U185" s="5">
        <v>840</v>
      </c>
      <c r="V185">
        <v>26.1</v>
      </c>
      <c r="W185">
        <v>185</v>
      </c>
      <c r="X185">
        <v>0.94346733668341709</v>
      </c>
      <c r="Y185">
        <v>185</v>
      </c>
      <c r="Z185">
        <v>0.94346733668341709</v>
      </c>
    </row>
    <row r="186" spans="1:26" x14ac:dyDescent="0.2">
      <c r="A186" t="str">
        <f t="shared" si="8"/>
        <v>Yemen</v>
      </c>
      <c r="B186" t="s">
        <v>372</v>
      </c>
      <c r="C186">
        <v>0.23175000000000001</v>
      </c>
      <c r="D186">
        <f t="shared" si="9"/>
        <v>1840</v>
      </c>
      <c r="E186">
        <f t="shared" si="10"/>
        <v>34.4</v>
      </c>
      <c r="F186">
        <f t="shared" si="11"/>
        <v>0.29044999999999999</v>
      </c>
      <c r="H186" t="s">
        <v>342</v>
      </c>
      <c r="I186">
        <v>6.8500000000000005E-2</v>
      </c>
      <c r="K186" t="s">
        <v>372</v>
      </c>
      <c r="L186">
        <v>0.13774</v>
      </c>
      <c r="N186" t="s">
        <v>360</v>
      </c>
      <c r="O186">
        <v>0.26429999999999998</v>
      </c>
      <c r="Q186" t="s">
        <v>377</v>
      </c>
      <c r="R186">
        <v>0.14324000000000001</v>
      </c>
      <c r="T186" t="s">
        <v>372</v>
      </c>
      <c r="U186" s="8">
        <v>1840</v>
      </c>
      <c r="V186">
        <v>34.4</v>
      </c>
      <c r="W186">
        <v>186</v>
      </c>
      <c r="X186">
        <v>0.94723618090452266</v>
      </c>
      <c r="Y186">
        <v>186</v>
      </c>
      <c r="Z186">
        <v>0.94723618090452266</v>
      </c>
    </row>
    <row r="187" spans="1:26" x14ac:dyDescent="0.2">
      <c r="A187" t="str">
        <f t="shared" si="8"/>
        <v>Haiti</v>
      </c>
      <c r="B187" t="s">
        <v>373</v>
      </c>
      <c r="C187">
        <v>0.21165</v>
      </c>
      <c r="D187">
        <f t="shared" si="9"/>
        <v>2110</v>
      </c>
      <c r="E187">
        <f t="shared" si="10"/>
        <v>11.7</v>
      </c>
      <c r="F187">
        <f t="shared" si="11"/>
        <v>0.20874000000000001</v>
      </c>
      <c r="H187" t="s">
        <v>296</v>
      </c>
      <c r="I187">
        <v>6.8500000000000005E-2</v>
      </c>
      <c r="K187" t="s">
        <v>363</v>
      </c>
      <c r="L187">
        <v>0.1293</v>
      </c>
      <c r="N187" t="s">
        <v>331</v>
      </c>
      <c r="O187">
        <v>0.25931999999999999</v>
      </c>
      <c r="Q187" t="s">
        <v>376</v>
      </c>
      <c r="R187">
        <v>0.14054</v>
      </c>
      <c r="T187" t="s">
        <v>373</v>
      </c>
      <c r="U187" s="5">
        <v>2110</v>
      </c>
      <c r="V187">
        <v>11.7</v>
      </c>
      <c r="W187">
        <v>187</v>
      </c>
      <c r="X187">
        <v>0.95100502512562812</v>
      </c>
      <c r="Y187">
        <v>187</v>
      </c>
      <c r="Z187">
        <v>0.95100502512562812</v>
      </c>
    </row>
    <row r="188" spans="1:26" x14ac:dyDescent="0.2">
      <c r="A188" t="str">
        <f t="shared" si="8"/>
        <v>Niger</v>
      </c>
      <c r="B188" t="s">
        <v>374</v>
      </c>
      <c r="C188">
        <v>0.21157000000000001</v>
      </c>
      <c r="D188">
        <f t="shared" si="9"/>
        <v>1830</v>
      </c>
      <c r="E188">
        <f t="shared" si="10"/>
        <v>27.2</v>
      </c>
      <c r="F188">
        <f t="shared" si="11"/>
        <v>0.15783</v>
      </c>
      <c r="H188" t="s">
        <v>208</v>
      </c>
      <c r="I188">
        <v>5.4800000000000001E-2</v>
      </c>
      <c r="K188" t="s">
        <v>352</v>
      </c>
      <c r="L188">
        <v>0.12703</v>
      </c>
      <c r="N188" t="s">
        <v>370</v>
      </c>
      <c r="O188">
        <v>0.17130000000000001</v>
      </c>
      <c r="Q188" t="s">
        <v>347</v>
      </c>
      <c r="R188">
        <v>0.13502</v>
      </c>
      <c r="T188" t="s">
        <v>374</v>
      </c>
      <c r="U188" s="5">
        <v>1830</v>
      </c>
      <c r="V188">
        <v>27.2</v>
      </c>
      <c r="W188">
        <v>188</v>
      </c>
      <c r="X188">
        <v>0.95477386934673358</v>
      </c>
      <c r="Y188">
        <v>188</v>
      </c>
      <c r="Z188">
        <v>0.95477386934673358</v>
      </c>
    </row>
    <row r="189" spans="1:26" x14ac:dyDescent="0.2">
      <c r="A189" t="str">
        <f t="shared" si="8"/>
        <v>Afghanistan</v>
      </c>
      <c r="B189" t="s">
        <v>360</v>
      </c>
      <c r="C189">
        <v>0.20827000000000001</v>
      </c>
      <c r="D189">
        <f t="shared" si="9"/>
        <v>1500</v>
      </c>
      <c r="E189">
        <f t="shared" si="10"/>
        <v>41.1</v>
      </c>
      <c r="F189">
        <f t="shared" si="11"/>
        <v>0.21672</v>
      </c>
      <c r="H189" t="s">
        <v>207</v>
      </c>
      <c r="I189">
        <v>5.4800000000000001E-2</v>
      </c>
      <c r="K189" t="s">
        <v>378</v>
      </c>
      <c r="L189">
        <v>0.1128</v>
      </c>
      <c r="N189" t="s">
        <v>340</v>
      </c>
      <c r="O189">
        <v>0.16850999999999999</v>
      </c>
      <c r="Q189" t="s">
        <v>369</v>
      </c>
      <c r="R189">
        <v>0.12379</v>
      </c>
      <c r="T189" t="s">
        <v>360</v>
      </c>
      <c r="U189" s="8">
        <v>1500</v>
      </c>
      <c r="V189">
        <v>41.1</v>
      </c>
      <c r="W189">
        <v>189</v>
      </c>
      <c r="X189">
        <v>0.95854271356783916</v>
      </c>
      <c r="Y189">
        <v>189</v>
      </c>
      <c r="Z189">
        <v>0.95854271356783916</v>
      </c>
    </row>
    <row r="190" spans="1:26" x14ac:dyDescent="0.2">
      <c r="A190" t="str">
        <f t="shared" si="8"/>
        <v>Chad</v>
      </c>
      <c r="B190" t="s">
        <v>375</v>
      </c>
      <c r="C190">
        <v>0.17852999999999999</v>
      </c>
      <c r="D190">
        <f t="shared" si="9"/>
        <v>920</v>
      </c>
      <c r="E190">
        <f t="shared" si="10"/>
        <v>17.8</v>
      </c>
      <c r="F190">
        <f t="shared" si="11"/>
        <v>0.11945</v>
      </c>
      <c r="H190" t="s">
        <v>236</v>
      </c>
      <c r="I190">
        <v>4.1099999999999998E-2</v>
      </c>
      <c r="K190" t="s">
        <v>367</v>
      </c>
      <c r="L190">
        <v>9.5509999999999998E-2</v>
      </c>
      <c r="N190" t="s">
        <v>326</v>
      </c>
      <c r="O190">
        <v>0.16677</v>
      </c>
      <c r="Q190" t="s">
        <v>375</v>
      </c>
      <c r="R190">
        <v>0.11945</v>
      </c>
      <c r="T190" t="s">
        <v>375</v>
      </c>
      <c r="U190" s="5">
        <v>920</v>
      </c>
      <c r="V190">
        <v>17.8</v>
      </c>
      <c r="W190">
        <v>190</v>
      </c>
      <c r="X190">
        <v>0.96231155778894473</v>
      </c>
      <c r="Y190">
        <v>190</v>
      </c>
      <c r="Z190">
        <v>0.96231155778894473</v>
      </c>
    </row>
    <row r="191" spans="1:26" x14ac:dyDescent="0.2">
      <c r="A191" t="str">
        <f t="shared" si="8"/>
        <v>Eritrea</v>
      </c>
      <c r="B191" t="s">
        <v>376</v>
      </c>
      <c r="C191">
        <v>0.15762000000000001</v>
      </c>
      <c r="D191">
        <f t="shared" si="9"/>
        <v>980</v>
      </c>
      <c r="E191">
        <f t="shared" si="10"/>
        <v>3.7</v>
      </c>
      <c r="F191">
        <f t="shared" si="11"/>
        <v>0.14054</v>
      </c>
      <c r="H191" t="s">
        <v>80</v>
      </c>
      <c r="I191">
        <v>1.37E-2</v>
      </c>
      <c r="K191" t="s">
        <v>80</v>
      </c>
      <c r="L191">
        <v>8.0759999999999998E-2</v>
      </c>
      <c r="N191" t="s">
        <v>364</v>
      </c>
      <c r="O191">
        <v>0.15212000000000001</v>
      </c>
      <c r="Q191" t="s">
        <v>361</v>
      </c>
      <c r="R191">
        <v>6.3210000000000002E-2</v>
      </c>
      <c r="T191" t="s">
        <v>376</v>
      </c>
      <c r="U191" s="5">
        <v>980</v>
      </c>
      <c r="V191">
        <v>3.7</v>
      </c>
      <c r="W191">
        <v>191</v>
      </c>
      <c r="X191">
        <v>0.9660804020100503</v>
      </c>
      <c r="Y191">
        <v>191</v>
      </c>
      <c r="Z191">
        <v>0.9660804020100503</v>
      </c>
    </row>
    <row r="192" spans="1:26" x14ac:dyDescent="0.2">
      <c r="A192" t="str">
        <f t="shared" si="8"/>
        <v>Somalia</v>
      </c>
      <c r="B192" t="s">
        <v>377</v>
      </c>
      <c r="C192">
        <v>0.14677000000000001</v>
      </c>
      <c r="E192">
        <f t="shared" si="10"/>
        <v>17.600000000000001</v>
      </c>
      <c r="F192">
        <f t="shared" si="11"/>
        <v>0.14324000000000001</v>
      </c>
      <c r="H192" t="s">
        <v>358</v>
      </c>
      <c r="I192">
        <v>1.37E-2</v>
      </c>
      <c r="K192" t="s">
        <v>368</v>
      </c>
      <c r="L192">
        <v>2.9080000000000002E-2</v>
      </c>
      <c r="N192" t="s">
        <v>283</v>
      </c>
      <c r="O192">
        <v>0.14879000000000001</v>
      </c>
      <c r="Q192" t="s">
        <v>364</v>
      </c>
      <c r="R192">
        <v>5.4730000000000001E-2</v>
      </c>
      <c r="T192" t="s">
        <v>377</v>
      </c>
      <c r="V192">
        <v>17.600000000000001</v>
      </c>
      <c r="W192">
        <v>192</v>
      </c>
      <c r="X192">
        <v>0.96984924623115587</v>
      </c>
      <c r="Y192">
        <v>192</v>
      </c>
      <c r="Z192">
        <v>0.96984924623115587</v>
      </c>
    </row>
    <row r="193" spans="1:26" x14ac:dyDescent="0.2">
      <c r="A193" t="str">
        <f t="shared" si="8"/>
        <v>South Sudan</v>
      </c>
      <c r="B193" t="s">
        <v>364</v>
      </c>
      <c r="C193">
        <v>0.11907</v>
      </c>
      <c r="D193">
        <f t="shared" si="9"/>
        <v>1200</v>
      </c>
      <c r="E193">
        <f t="shared" si="10"/>
        <v>10.9</v>
      </c>
      <c r="F193">
        <f t="shared" si="11"/>
        <v>5.4730000000000001E-2</v>
      </c>
      <c r="H193" t="s">
        <v>348</v>
      </c>
      <c r="I193">
        <v>0</v>
      </c>
      <c r="K193" t="s">
        <v>366</v>
      </c>
      <c r="L193">
        <v>2.299E-2</v>
      </c>
      <c r="N193" t="s">
        <v>307</v>
      </c>
      <c r="O193">
        <v>0.12497999999999999</v>
      </c>
      <c r="Q193" t="s">
        <v>371</v>
      </c>
      <c r="R193">
        <v>3.3050000000000003E-2</v>
      </c>
      <c r="T193" t="s">
        <v>364</v>
      </c>
      <c r="U193" s="8">
        <v>1200</v>
      </c>
      <c r="V193">
        <v>10.9</v>
      </c>
      <c r="W193">
        <v>193</v>
      </c>
      <c r="X193">
        <v>0.97361809045226133</v>
      </c>
      <c r="Y193">
        <v>193</v>
      </c>
      <c r="Z193">
        <v>0.97361809045226133</v>
      </c>
    </row>
    <row r="194" spans="1:26" x14ac:dyDescent="0.2">
      <c r="A194" t="str">
        <f t="shared" si="8"/>
        <v>C.A.R.</v>
      </c>
      <c r="B194" t="s">
        <v>378</v>
      </c>
      <c r="C194">
        <v>9.4700000000000006E-2</v>
      </c>
      <c r="D194">
        <f>INDEX($U$2:$U$194, MATCH(B194,$T$2:$T$194,0))</f>
        <v>980</v>
      </c>
      <c r="E194">
        <f>INDEX($V$2:$V$194, MATCH(B194,$T$2:$T$194,0))</f>
        <v>5.5</v>
      </c>
      <c r="F194">
        <f t="shared" si="11"/>
        <v>0</v>
      </c>
      <c r="H194" t="s">
        <v>322</v>
      </c>
      <c r="I194">
        <v>0</v>
      </c>
      <c r="K194" t="s">
        <v>376</v>
      </c>
      <c r="L194">
        <v>0</v>
      </c>
      <c r="N194" t="s">
        <v>301</v>
      </c>
      <c r="O194">
        <v>0</v>
      </c>
      <c r="Q194" t="s">
        <v>378</v>
      </c>
      <c r="R194">
        <v>0</v>
      </c>
      <c r="T194" t="s">
        <v>378</v>
      </c>
      <c r="U194" s="8">
        <v>980</v>
      </c>
      <c r="V194">
        <v>5.5</v>
      </c>
      <c r="W194">
        <v>194</v>
      </c>
      <c r="X194">
        <v>0.97738693467336679</v>
      </c>
      <c r="Y194">
        <v>194</v>
      </c>
      <c r="Z194">
        <v>0.97738693467336679</v>
      </c>
    </row>
    <row r="195" spans="1:26" x14ac:dyDescent="0.2">
      <c r="W195">
        <v>195</v>
      </c>
      <c r="X195">
        <v>0.98115577889447236</v>
      </c>
      <c r="Y195">
        <v>195</v>
      </c>
      <c r="Z195">
        <v>0.98115577889447236</v>
      </c>
    </row>
    <row r="196" spans="1:26" x14ac:dyDescent="0.2">
      <c r="W196">
        <v>196</v>
      </c>
      <c r="X196">
        <v>0.98492462311557794</v>
      </c>
      <c r="Y196">
        <v>196</v>
      </c>
      <c r="Z196">
        <v>0.98492462311557794</v>
      </c>
    </row>
    <row r="197" spans="1:26" x14ac:dyDescent="0.2">
      <c r="W197">
        <v>197</v>
      </c>
      <c r="X197">
        <v>0.9886934673366834</v>
      </c>
      <c r="Y197">
        <v>197</v>
      </c>
      <c r="Z197">
        <v>0.9886934673366834</v>
      </c>
    </row>
    <row r="198" spans="1:26" x14ac:dyDescent="0.2">
      <c r="W198">
        <v>198</v>
      </c>
      <c r="X198">
        <v>0.99246231155778886</v>
      </c>
      <c r="Y198">
        <v>198</v>
      </c>
      <c r="Z198">
        <v>0.99246231155778886</v>
      </c>
    </row>
    <row r="199" spans="1:26" x14ac:dyDescent="0.2">
      <c r="W199">
        <v>199</v>
      </c>
      <c r="X199">
        <v>0.99623115577889443</v>
      </c>
      <c r="Y199">
        <v>199</v>
      </c>
      <c r="Z199">
        <v>0.99623115577889443</v>
      </c>
    </row>
    <row r="200" spans="1:26" x14ac:dyDescent="0.2">
      <c r="W200">
        <v>200</v>
      </c>
      <c r="X200">
        <v>1</v>
      </c>
      <c r="Y200">
        <v>200</v>
      </c>
      <c r="Z200">
        <v>1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F2BF1-D99B-9E4C-B3BA-50000AAFDF6F}">
  <sheetPr codeName="Sheet3">
    <tabColor rgb="FF002060"/>
  </sheetPr>
  <dimension ref="A1:Z200"/>
  <sheetViews>
    <sheetView zoomScaleNormal="100" workbookViewId="0">
      <selection activeCell="B4" sqref="B4"/>
    </sheetView>
  </sheetViews>
  <sheetFormatPr baseColWidth="10" defaultRowHeight="16" x14ac:dyDescent="0.2"/>
  <cols>
    <col min="1" max="2" width="30.6640625" customWidth="1"/>
    <col min="3" max="7" width="20.6640625" customWidth="1"/>
    <col min="8" max="8" width="23" customWidth="1"/>
    <col min="11" max="11" width="23.33203125" customWidth="1"/>
    <col min="13" max="13" width="38.1640625" customWidth="1"/>
    <col min="14" max="14" width="24" customWidth="1"/>
    <col min="17" max="17" width="19.83203125" customWidth="1"/>
    <col min="18" max="18" width="17" customWidth="1"/>
    <col min="20" max="20" width="18.83203125" customWidth="1"/>
    <col min="21" max="21" width="25.6640625" style="5" customWidth="1"/>
  </cols>
  <sheetData>
    <row r="1" spans="1:26" x14ac:dyDescent="0.2">
      <c r="A1" s="1" t="s">
        <v>0</v>
      </c>
      <c r="B1" s="9" t="s">
        <v>0</v>
      </c>
      <c r="C1" s="9" t="s">
        <v>379</v>
      </c>
      <c r="D1" s="1" t="s">
        <v>2</v>
      </c>
      <c r="E1" s="1" t="s">
        <v>3</v>
      </c>
      <c r="F1" s="1" t="s">
        <v>4</v>
      </c>
      <c r="G1" s="2"/>
      <c r="H1" s="2" t="s">
        <v>0</v>
      </c>
      <c r="I1" s="2" t="s">
        <v>5</v>
      </c>
      <c r="J1" s="2"/>
      <c r="K1" s="2" t="s">
        <v>0</v>
      </c>
      <c r="L1" s="2" t="s">
        <v>6</v>
      </c>
      <c r="M1" s="2"/>
      <c r="N1" s="2" t="s">
        <v>0</v>
      </c>
      <c r="O1" s="2" t="s">
        <v>7</v>
      </c>
      <c r="P1" s="2"/>
      <c r="Q1" s="2" t="s">
        <v>0</v>
      </c>
      <c r="R1" s="2" t="s">
        <v>8</v>
      </c>
      <c r="T1" s="3" t="s">
        <v>9</v>
      </c>
      <c r="U1" s="4" t="s">
        <v>10</v>
      </c>
      <c r="V1" s="3" t="s">
        <v>11</v>
      </c>
      <c r="W1">
        <v>1</v>
      </c>
      <c r="X1">
        <v>0.25</v>
      </c>
      <c r="Y1">
        <v>1</v>
      </c>
      <c r="Z1">
        <v>0.25</v>
      </c>
    </row>
    <row r="2" spans="1:26" x14ac:dyDescent="0.2">
      <c r="A2" t="str">
        <f>IF(E2&gt;1, B2, "")</f>
        <v>South Korea</v>
      </c>
      <c r="B2" t="s">
        <v>25</v>
      </c>
      <c r="C2">
        <v>1</v>
      </c>
      <c r="D2">
        <f>INDEX($U$2:$U$194, MATCH(B2,$T$2:$T$194,0))</f>
        <v>44740</v>
      </c>
      <c r="E2">
        <f>INDEX($V$2:$V$194, MATCH(B2,$T$2:$T$194,0))</f>
        <v>51.8</v>
      </c>
      <c r="F2">
        <f>INDEX($I$2:$I$194, MATCH(B2,$H$2:$H$194,0))</f>
        <v>0.97260000000000002</v>
      </c>
      <c r="H2" t="s">
        <v>13</v>
      </c>
      <c r="I2">
        <v>1</v>
      </c>
      <c r="K2" t="s">
        <v>25</v>
      </c>
      <c r="L2">
        <v>1</v>
      </c>
      <c r="N2" t="s">
        <v>15</v>
      </c>
      <c r="O2">
        <v>1</v>
      </c>
      <c r="Q2" t="s">
        <v>16</v>
      </c>
      <c r="R2">
        <v>1</v>
      </c>
      <c r="T2" t="s">
        <v>12</v>
      </c>
      <c r="U2" s="5">
        <v>68300</v>
      </c>
      <c r="V2">
        <v>5.9</v>
      </c>
      <c r="W2">
        <v>2</v>
      </c>
      <c r="X2">
        <v>0.25376884422110552</v>
      </c>
      <c r="Y2">
        <v>2</v>
      </c>
      <c r="Z2">
        <v>0.25376884422110552</v>
      </c>
    </row>
    <row r="3" spans="1:26" x14ac:dyDescent="0.2">
      <c r="A3" t="str">
        <f t="shared" ref="A3:A66" si="0">IF(E3&gt;1, B3, "")</f>
        <v>Denmark</v>
      </c>
      <c r="B3" t="s">
        <v>12</v>
      </c>
      <c r="C3">
        <v>0.99924000000000002</v>
      </c>
      <c r="D3">
        <f t="shared" ref="D3:D66" si="1">INDEX($U$2:$U$194, MATCH(B3,$T$2:$T$194,0))</f>
        <v>68300</v>
      </c>
      <c r="E3">
        <f t="shared" ref="E3:E66" si="2">INDEX($V$2:$V$194, MATCH(B3,$T$2:$T$194,0))</f>
        <v>5.9</v>
      </c>
      <c r="F3">
        <f t="shared" ref="F3:F66" si="3">INDEX($I$2:$I$194, MATCH(B3,$H$2:$H$194,0))</f>
        <v>0.98629999999999995</v>
      </c>
      <c r="H3" t="s">
        <v>49</v>
      </c>
      <c r="I3">
        <v>0.98629999999999995</v>
      </c>
      <c r="K3" t="s">
        <v>12</v>
      </c>
      <c r="L3">
        <v>0.99924000000000002</v>
      </c>
      <c r="N3" t="s">
        <v>20</v>
      </c>
      <c r="O3">
        <v>0.99531000000000003</v>
      </c>
      <c r="Q3" t="s">
        <v>160</v>
      </c>
      <c r="R3">
        <v>0.99883</v>
      </c>
      <c r="T3" t="s">
        <v>17</v>
      </c>
      <c r="U3" s="5">
        <v>38110</v>
      </c>
      <c r="V3">
        <v>1.3</v>
      </c>
      <c r="W3">
        <v>3</v>
      </c>
      <c r="X3">
        <v>0.25753768844221103</v>
      </c>
      <c r="Y3">
        <v>3</v>
      </c>
      <c r="Z3">
        <v>0.25753768844221103</v>
      </c>
    </row>
    <row r="4" spans="1:26" x14ac:dyDescent="0.2">
      <c r="A4" t="str">
        <f t="shared" si="0"/>
        <v>Estonia</v>
      </c>
      <c r="B4" t="s">
        <v>17</v>
      </c>
      <c r="C4">
        <v>0.99534999999999996</v>
      </c>
      <c r="D4">
        <f t="shared" si="1"/>
        <v>38110</v>
      </c>
      <c r="E4">
        <f t="shared" si="2"/>
        <v>1.3</v>
      </c>
      <c r="F4">
        <f t="shared" si="3"/>
        <v>0.95889999999999997</v>
      </c>
      <c r="H4" t="s">
        <v>12</v>
      </c>
      <c r="I4">
        <v>0.98629999999999995</v>
      </c>
      <c r="K4" t="s">
        <v>17</v>
      </c>
      <c r="L4">
        <v>0.99534999999999996</v>
      </c>
      <c r="N4" t="s">
        <v>24</v>
      </c>
      <c r="O4">
        <v>0.98358999999999996</v>
      </c>
      <c r="Q4" t="s">
        <v>28</v>
      </c>
      <c r="R4">
        <v>0.99829000000000001</v>
      </c>
      <c r="T4" t="s">
        <v>22</v>
      </c>
      <c r="U4" s="5">
        <v>116500</v>
      </c>
      <c r="V4">
        <v>5.6</v>
      </c>
      <c r="W4">
        <v>4</v>
      </c>
      <c r="X4">
        <v>0.2613065326633166</v>
      </c>
      <c r="Y4">
        <v>4</v>
      </c>
      <c r="Z4">
        <v>0.2613065326633166</v>
      </c>
    </row>
    <row r="5" spans="1:26" x14ac:dyDescent="0.2">
      <c r="A5" t="str">
        <f t="shared" si="0"/>
        <v>Saudi Arabia</v>
      </c>
      <c r="B5" t="s">
        <v>31</v>
      </c>
      <c r="C5">
        <v>0.98995</v>
      </c>
      <c r="D5">
        <f t="shared" si="1"/>
        <v>46120</v>
      </c>
      <c r="E5">
        <f t="shared" si="2"/>
        <v>35.799999999999997</v>
      </c>
      <c r="F5">
        <f t="shared" si="3"/>
        <v>0.95889999999999997</v>
      </c>
      <c r="H5" t="s">
        <v>25</v>
      </c>
      <c r="I5">
        <v>0.97260000000000002</v>
      </c>
      <c r="K5" t="s">
        <v>31</v>
      </c>
      <c r="L5">
        <v>0.98995</v>
      </c>
      <c r="N5" t="s">
        <v>27</v>
      </c>
      <c r="O5">
        <v>0.96880999999999995</v>
      </c>
      <c r="Q5" t="s">
        <v>12</v>
      </c>
      <c r="R5">
        <v>0.99661999999999995</v>
      </c>
      <c r="T5" t="s">
        <v>25</v>
      </c>
      <c r="U5" s="5">
        <v>44740</v>
      </c>
      <c r="V5">
        <v>51.8</v>
      </c>
      <c r="W5">
        <v>5</v>
      </c>
      <c r="X5">
        <v>0.26507537688442212</v>
      </c>
      <c r="Y5">
        <v>5</v>
      </c>
      <c r="Z5">
        <v>0.26507537688442212</v>
      </c>
    </row>
    <row r="6" spans="1:26" x14ac:dyDescent="0.2">
      <c r="A6" t="str">
        <f t="shared" si="0"/>
        <v>Ukraine</v>
      </c>
      <c r="B6" t="s">
        <v>13</v>
      </c>
      <c r="C6">
        <v>0.98536000000000001</v>
      </c>
      <c r="D6">
        <f t="shared" si="1"/>
        <v>14480</v>
      </c>
      <c r="E6">
        <f t="shared" si="2"/>
        <v>41.2</v>
      </c>
      <c r="F6">
        <f t="shared" si="3"/>
        <v>1</v>
      </c>
      <c r="H6" t="s">
        <v>46</v>
      </c>
      <c r="I6">
        <v>0.97260000000000002</v>
      </c>
      <c r="K6" t="s">
        <v>13</v>
      </c>
      <c r="L6">
        <v>0.98536000000000001</v>
      </c>
      <c r="N6" t="s">
        <v>29</v>
      </c>
      <c r="O6">
        <v>0.96723999999999999</v>
      </c>
      <c r="Q6" t="s">
        <v>137</v>
      </c>
      <c r="R6">
        <v>0.99634</v>
      </c>
      <c r="T6" t="s">
        <v>28</v>
      </c>
      <c r="U6" s="5">
        <v>55220</v>
      </c>
      <c r="V6">
        <v>0.4</v>
      </c>
      <c r="W6">
        <v>6</v>
      </c>
      <c r="X6">
        <v>0.26884422110552764</v>
      </c>
      <c r="Y6">
        <v>6</v>
      </c>
      <c r="Z6">
        <v>0.26884422110552764</v>
      </c>
    </row>
    <row r="7" spans="1:26" x14ac:dyDescent="0.2">
      <c r="A7" t="str">
        <f t="shared" si="0"/>
        <v>Singapore</v>
      </c>
      <c r="B7" t="s">
        <v>22</v>
      </c>
      <c r="C7">
        <v>0.98306000000000004</v>
      </c>
      <c r="D7">
        <f t="shared" si="1"/>
        <v>116500</v>
      </c>
      <c r="E7">
        <f t="shared" si="2"/>
        <v>5.6</v>
      </c>
      <c r="F7">
        <f t="shared" si="3"/>
        <v>0.95889999999999997</v>
      </c>
      <c r="H7" t="s">
        <v>32</v>
      </c>
      <c r="I7">
        <v>0.97260000000000002</v>
      </c>
      <c r="K7" t="s">
        <v>22</v>
      </c>
      <c r="L7">
        <v>0.98306000000000004</v>
      </c>
      <c r="N7" t="s">
        <v>34</v>
      </c>
      <c r="O7">
        <v>0.96152000000000004</v>
      </c>
      <c r="Q7" t="s">
        <v>25</v>
      </c>
      <c r="R7">
        <v>0.99170000000000003</v>
      </c>
      <c r="T7" t="s">
        <v>31</v>
      </c>
      <c r="U7" s="5">
        <v>46120</v>
      </c>
      <c r="V7">
        <v>35.799999999999997</v>
      </c>
      <c r="W7">
        <v>7</v>
      </c>
      <c r="X7">
        <v>0.27261306532663315</v>
      </c>
      <c r="Y7">
        <v>7</v>
      </c>
      <c r="Z7">
        <v>0.27261306532663315</v>
      </c>
    </row>
    <row r="8" spans="1:26" x14ac:dyDescent="0.2">
      <c r="A8" t="str">
        <f t="shared" si="0"/>
        <v>U.K.</v>
      </c>
      <c r="B8" t="s">
        <v>32</v>
      </c>
      <c r="C8">
        <v>0.95348999999999995</v>
      </c>
      <c r="D8">
        <f t="shared" si="1"/>
        <v>53070</v>
      </c>
      <c r="E8">
        <f t="shared" si="2"/>
        <v>67.3</v>
      </c>
      <c r="F8">
        <f t="shared" si="3"/>
        <v>0.97260000000000002</v>
      </c>
      <c r="H8" t="s">
        <v>17</v>
      </c>
      <c r="I8">
        <v>0.95889999999999997</v>
      </c>
      <c r="K8" t="s">
        <v>32</v>
      </c>
      <c r="L8">
        <v>0.95348999999999995</v>
      </c>
      <c r="N8" t="s">
        <v>19</v>
      </c>
      <c r="O8">
        <v>0.95840999999999998</v>
      </c>
      <c r="Q8" t="s">
        <v>35</v>
      </c>
      <c r="R8">
        <v>0.99063999999999997</v>
      </c>
      <c r="T8" t="s">
        <v>32</v>
      </c>
      <c r="U8" s="5">
        <v>53070</v>
      </c>
      <c r="V8">
        <v>67.3</v>
      </c>
      <c r="W8">
        <v>8</v>
      </c>
      <c r="X8">
        <v>0.27638190954773867</v>
      </c>
      <c r="Y8">
        <v>8</v>
      </c>
      <c r="Z8">
        <v>0.27638190954773867</v>
      </c>
    </row>
    <row r="9" spans="1:26" x14ac:dyDescent="0.2">
      <c r="A9" t="str">
        <f t="shared" si="0"/>
        <v>New Zealand</v>
      </c>
      <c r="B9" t="s">
        <v>57</v>
      </c>
      <c r="C9">
        <v>0.94530000000000003</v>
      </c>
      <c r="D9">
        <f t="shared" si="1"/>
        <v>48830</v>
      </c>
      <c r="E9">
        <f t="shared" si="2"/>
        <v>5.0999999999999996</v>
      </c>
      <c r="F9">
        <f t="shared" si="3"/>
        <v>0.93149999999999999</v>
      </c>
      <c r="H9" t="s">
        <v>28</v>
      </c>
      <c r="I9">
        <v>0.95889999999999997</v>
      </c>
      <c r="K9" t="s">
        <v>57</v>
      </c>
      <c r="L9">
        <v>0.94530000000000003</v>
      </c>
      <c r="N9" t="s">
        <v>23</v>
      </c>
      <c r="O9">
        <v>0.94972000000000001</v>
      </c>
      <c r="Q9" t="s">
        <v>37</v>
      </c>
      <c r="R9">
        <v>0.98875999999999997</v>
      </c>
      <c r="T9" t="s">
        <v>36</v>
      </c>
      <c r="U9" s="5">
        <v>55100</v>
      </c>
      <c r="V9">
        <v>25.7</v>
      </c>
      <c r="W9">
        <v>9</v>
      </c>
      <c r="X9">
        <v>0.28015075376884424</v>
      </c>
      <c r="Y9">
        <v>9</v>
      </c>
      <c r="Z9">
        <v>0.28015075376884424</v>
      </c>
    </row>
    <row r="10" spans="1:26" x14ac:dyDescent="0.2">
      <c r="A10" t="str">
        <f t="shared" si="0"/>
        <v>Japan</v>
      </c>
      <c r="B10" t="s">
        <v>49</v>
      </c>
      <c r="C10">
        <v>0.94274000000000002</v>
      </c>
      <c r="D10">
        <f t="shared" si="1"/>
        <v>44600</v>
      </c>
      <c r="E10">
        <f t="shared" si="2"/>
        <v>125.1</v>
      </c>
      <c r="F10">
        <f t="shared" si="3"/>
        <v>0.98629999999999995</v>
      </c>
      <c r="H10" t="s">
        <v>31</v>
      </c>
      <c r="I10">
        <v>0.95889999999999997</v>
      </c>
      <c r="K10" t="s">
        <v>49</v>
      </c>
      <c r="L10">
        <v>0.94274000000000002</v>
      </c>
      <c r="N10" t="s">
        <v>32</v>
      </c>
      <c r="O10">
        <v>0.94498000000000004</v>
      </c>
      <c r="Q10" t="s">
        <v>22</v>
      </c>
      <c r="R10">
        <v>0.98806000000000005</v>
      </c>
      <c r="T10" t="s">
        <v>38</v>
      </c>
      <c r="U10" s="5">
        <v>53040</v>
      </c>
      <c r="V10">
        <v>5.5</v>
      </c>
      <c r="W10">
        <v>10</v>
      </c>
      <c r="X10">
        <v>0.28391959798994976</v>
      </c>
      <c r="Y10">
        <v>10</v>
      </c>
      <c r="Z10">
        <v>0.28391959798994976</v>
      </c>
    </row>
    <row r="11" spans="1:26" x14ac:dyDescent="0.2">
      <c r="A11" t="str">
        <f t="shared" si="0"/>
        <v>Kazakhstan</v>
      </c>
      <c r="B11" t="s">
        <v>76</v>
      </c>
      <c r="C11">
        <v>0.93903000000000003</v>
      </c>
      <c r="D11">
        <f t="shared" si="1"/>
        <v>26940</v>
      </c>
      <c r="E11">
        <f t="shared" si="2"/>
        <v>19.399999999999999</v>
      </c>
      <c r="F11">
        <f t="shared" si="3"/>
        <v>0.84930000000000005</v>
      </c>
      <c r="H11" t="s">
        <v>22</v>
      </c>
      <c r="I11">
        <v>0.95889999999999997</v>
      </c>
      <c r="K11" t="s">
        <v>76</v>
      </c>
      <c r="L11">
        <v>0.93903000000000003</v>
      </c>
      <c r="N11" t="s">
        <v>41</v>
      </c>
      <c r="O11">
        <v>0.94355</v>
      </c>
      <c r="Q11" t="s">
        <v>63</v>
      </c>
      <c r="R11">
        <v>0.98773</v>
      </c>
      <c r="T11" t="s">
        <v>39</v>
      </c>
      <c r="U11" s="5">
        <v>61000</v>
      </c>
      <c r="V11">
        <v>17.5</v>
      </c>
      <c r="W11">
        <v>11</v>
      </c>
      <c r="X11">
        <v>0.28768844221105527</v>
      </c>
      <c r="Y11">
        <v>11</v>
      </c>
      <c r="Z11">
        <v>0.28768844221105527</v>
      </c>
    </row>
    <row r="12" spans="1:26" x14ac:dyDescent="0.2">
      <c r="A12" t="str">
        <f t="shared" si="0"/>
        <v>China</v>
      </c>
      <c r="B12" t="s">
        <v>97</v>
      </c>
      <c r="C12">
        <v>0.92576000000000003</v>
      </c>
      <c r="D12">
        <f t="shared" si="1"/>
        <v>18140</v>
      </c>
      <c r="E12">
        <f t="shared" si="2"/>
        <v>1412.2</v>
      </c>
      <c r="F12">
        <f t="shared" si="3"/>
        <v>0.93149999999999999</v>
      </c>
      <c r="H12" t="s">
        <v>64</v>
      </c>
      <c r="I12">
        <v>0.94520000000000004</v>
      </c>
      <c r="K12" t="s">
        <v>97</v>
      </c>
      <c r="L12">
        <v>0.92576000000000003</v>
      </c>
      <c r="N12" t="s">
        <v>33</v>
      </c>
      <c r="O12">
        <v>0.93615000000000004</v>
      </c>
      <c r="Q12" t="s">
        <v>179</v>
      </c>
      <c r="R12">
        <v>0.98680000000000001</v>
      </c>
      <c r="T12" t="s">
        <v>16</v>
      </c>
      <c r="U12" s="5">
        <v>74410</v>
      </c>
      <c r="V12">
        <v>9.3000000000000007</v>
      </c>
      <c r="W12">
        <v>12</v>
      </c>
      <c r="X12">
        <v>0.29145728643216079</v>
      </c>
      <c r="Y12">
        <v>12</v>
      </c>
      <c r="Z12">
        <v>0.29145728643216079</v>
      </c>
    </row>
    <row r="13" spans="1:26" x14ac:dyDescent="0.2">
      <c r="A13" t="str">
        <f t="shared" si="0"/>
        <v>Germany</v>
      </c>
      <c r="B13" t="s">
        <v>46</v>
      </c>
      <c r="C13">
        <v>0.92383999999999999</v>
      </c>
      <c r="D13">
        <f t="shared" si="1"/>
        <v>58370</v>
      </c>
      <c r="E13">
        <f t="shared" si="2"/>
        <v>83.2</v>
      </c>
      <c r="F13">
        <f t="shared" si="3"/>
        <v>0.97260000000000002</v>
      </c>
      <c r="H13" t="s">
        <v>39</v>
      </c>
      <c r="I13">
        <v>0.93149999999999999</v>
      </c>
      <c r="K13" t="s">
        <v>46</v>
      </c>
      <c r="L13">
        <v>0.92383999999999999</v>
      </c>
      <c r="N13" t="s">
        <v>47</v>
      </c>
      <c r="O13">
        <v>0.93298000000000003</v>
      </c>
      <c r="Q13" t="s">
        <v>52</v>
      </c>
      <c r="R13">
        <v>0.98678999999999994</v>
      </c>
      <c r="T13" t="s">
        <v>46</v>
      </c>
      <c r="U13" s="5">
        <v>58370</v>
      </c>
      <c r="V13">
        <v>83.2</v>
      </c>
      <c r="W13">
        <v>13</v>
      </c>
      <c r="X13">
        <v>0.29522613065326631</v>
      </c>
      <c r="Y13">
        <v>13</v>
      </c>
      <c r="Z13">
        <v>0.29522613065326631</v>
      </c>
    </row>
    <row r="14" spans="1:26" x14ac:dyDescent="0.2">
      <c r="A14" t="str">
        <f t="shared" si="0"/>
        <v>Turkiye</v>
      </c>
      <c r="B14" t="s">
        <v>50</v>
      </c>
      <c r="C14">
        <v>0.92252999999999996</v>
      </c>
      <c r="D14">
        <f t="shared" si="1"/>
        <v>32730</v>
      </c>
      <c r="E14">
        <f t="shared" si="2"/>
        <v>85.3</v>
      </c>
      <c r="F14">
        <f t="shared" si="3"/>
        <v>0.86299999999999999</v>
      </c>
      <c r="H14" t="s">
        <v>57</v>
      </c>
      <c r="I14">
        <v>0.93149999999999999</v>
      </c>
      <c r="K14" t="s">
        <v>50</v>
      </c>
      <c r="L14">
        <v>0.92252999999999996</v>
      </c>
      <c r="N14" t="s">
        <v>48</v>
      </c>
      <c r="O14">
        <v>0.92745</v>
      </c>
      <c r="Q14" t="s">
        <v>51</v>
      </c>
      <c r="R14">
        <v>0.98617999999999995</v>
      </c>
      <c r="T14" t="s">
        <v>49</v>
      </c>
      <c r="U14" s="5">
        <v>44600</v>
      </c>
      <c r="V14">
        <v>125.1</v>
      </c>
      <c r="W14">
        <v>14</v>
      </c>
      <c r="X14">
        <v>0.29899497487437188</v>
      </c>
      <c r="Y14">
        <v>14</v>
      </c>
      <c r="Z14">
        <v>0.29899497487437188</v>
      </c>
    </row>
    <row r="15" spans="1:26" x14ac:dyDescent="0.2">
      <c r="A15" t="str">
        <f t="shared" si="0"/>
        <v>Australia</v>
      </c>
      <c r="B15" t="s">
        <v>36</v>
      </c>
      <c r="C15">
        <v>0.92218999999999995</v>
      </c>
      <c r="D15">
        <f t="shared" si="1"/>
        <v>55100</v>
      </c>
      <c r="E15">
        <f t="shared" si="2"/>
        <v>25.7</v>
      </c>
      <c r="F15">
        <f t="shared" si="3"/>
        <v>0.86299999999999999</v>
      </c>
      <c r="H15" t="s">
        <v>97</v>
      </c>
      <c r="I15">
        <v>0.93149999999999999</v>
      </c>
      <c r="K15" t="s">
        <v>36</v>
      </c>
      <c r="L15">
        <v>0.92218999999999995</v>
      </c>
      <c r="N15" t="s">
        <v>53</v>
      </c>
      <c r="O15">
        <v>0.92190000000000005</v>
      </c>
      <c r="Q15" t="s">
        <v>31</v>
      </c>
      <c r="R15">
        <v>0.98411000000000004</v>
      </c>
      <c r="T15" t="s">
        <v>52</v>
      </c>
      <c r="U15" s="5">
        <v>58780</v>
      </c>
      <c r="V15">
        <v>10.4</v>
      </c>
      <c r="W15">
        <v>15</v>
      </c>
      <c r="X15">
        <v>0.30276381909547739</v>
      </c>
      <c r="Y15">
        <v>15</v>
      </c>
      <c r="Z15">
        <v>0.30276381909547739</v>
      </c>
    </row>
    <row r="16" spans="1:26" x14ac:dyDescent="0.2">
      <c r="A16" t="str">
        <f t="shared" si="0"/>
        <v>Netherlands</v>
      </c>
      <c r="B16" t="s">
        <v>39</v>
      </c>
      <c r="C16">
        <v>0.92118</v>
      </c>
      <c r="D16">
        <f t="shared" si="1"/>
        <v>61000</v>
      </c>
      <c r="E16">
        <f t="shared" si="2"/>
        <v>17.5</v>
      </c>
      <c r="F16">
        <f t="shared" si="3"/>
        <v>0.93149999999999999</v>
      </c>
      <c r="H16" t="s">
        <v>66</v>
      </c>
      <c r="I16">
        <v>0.91779999999999995</v>
      </c>
      <c r="K16" t="s">
        <v>39</v>
      </c>
      <c r="L16">
        <v>0.92118</v>
      </c>
      <c r="N16" t="s">
        <v>50</v>
      </c>
      <c r="O16">
        <v>0.91922999999999999</v>
      </c>
      <c r="Q16" t="s">
        <v>56</v>
      </c>
      <c r="R16">
        <v>0.98096000000000005</v>
      </c>
      <c r="T16" t="s">
        <v>54</v>
      </c>
      <c r="U16" s="5">
        <v>74940</v>
      </c>
      <c r="V16">
        <v>5.4</v>
      </c>
      <c r="W16">
        <v>16</v>
      </c>
      <c r="X16">
        <v>0.30653266331658291</v>
      </c>
      <c r="Y16">
        <v>16</v>
      </c>
      <c r="Z16">
        <v>0.30653266331658291</v>
      </c>
    </row>
    <row r="17" spans="1:26" x14ac:dyDescent="0.2">
      <c r="A17" t="str">
        <f t="shared" si="0"/>
        <v>U.A.E.</v>
      </c>
      <c r="B17" t="s">
        <v>16</v>
      </c>
      <c r="C17">
        <v>0.91627000000000003</v>
      </c>
      <c r="D17">
        <f t="shared" si="1"/>
        <v>74410</v>
      </c>
      <c r="E17">
        <f t="shared" si="2"/>
        <v>9.3000000000000007</v>
      </c>
      <c r="F17">
        <f t="shared" si="3"/>
        <v>0.78080000000000005</v>
      </c>
      <c r="H17" t="s">
        <v>122</v>
      </c>
      <c r="I17">
        <v>0.91779999999999995</v>
      </c>
      <c r="K17" t="s">
        <v>16</v>
      </c>
      <c r="L17">
        <v>0.91627000000000003</v>
      </c>
      <c r="N17" t="s">
        <v>59</v>
      </c>
      <c r="O17">
        <v>0.91747999999999996</v>
      </c>
      <c r="Q17" t="s">
        <v>38</v>
      </c>
      <c r="R17">
        <v>0.97909000000000002</v>
      </c>
      <c r="T17" t="s">
        <v>57</v>
      </c>
      <c r="U17" s="5">
        <v>48830</v>
      </c>
      <c r="V17">
        <v>5.0999999999999996</v>
      </c>
      <c r="W17">
        <v>17</v>
      </c>
      <c r="X17">
        <v>0.31030150753768843</v>
      </c>
      <c r="Y17">
        <v>17</v>
      </c>
      <c r="Z17">
        <v>0.31030150753768843</v>
      </c>
    </row>
    <row r="18" spans="1:26" x14ac:dyDescent="0.2">
      <c r="A18" t="str">
        <f t="shared" si="0"/>
        <v>U.S.A.</v>
      </c>
      <c r="B18" t="s">
        <v>64</v>
      </c>
      <c r="C18">
        <v>0.91357999999999995</v>
      </c>
      <c r="D18">
        <f t="shared" si="1"/>
        <v>70480</v>
      </c>
      <c r="E18">
        <f t="shared" si="2"/>
        <v>333.3</v>
      </c>
      <c r="F18">
        <f t="shared" si="3"/>
        <v>0.94520000000000004</v>
      </c>
      <c r="H18" t="s">
        <v>91</v>
      </c>
      <c r="I18">
        <v>0.91779999999999995</v>
      </c>
      <c r="K18" t="s">
        <v>64</v>
      </c>
      <c r="L18">
        <v>0.91357999999999995</v>
      </c>
      <c r="N18" t="s">
        <v>14</v>
      </c>
      <c r="O18">
        <v>0.91198000000000001</v>
      </c>
      <c r="Q18" t="s">
        <v>74</v>
      </c>
      <c r="R18">
        <v>0.97633000000000003</v>
      </c>
      <c r="T18" t="s">
        <v>60</v>
      </c>
      <c r="U18" s="5">
        <v>42520</v>
      </c>
      <c r="V18">
        <v>47.4</v>
      </c>
      <c r="W18">
        <v>18</v>
      </c>
      <c r="X18">
        <v>0.31407035175879394</v>
      </c>
      <c r="Y18">
        <v>18</v>
      </c>
      <c r="Z18">
        <v>0.31407035175879394</v>
      </c>
    </row>
    <row r="19" spans="1:26" x14ac:dyDescent="0.2">
      <c r="A19" t="str">
        <f t="shared" si="0"/>
        <v>Norway</v>
      </c>
      <c r="B19" t="s">
        <v>54</v>
      </c>
      <c r="C19">
        <v>0.91171999999999997</v>
      </c>
      <c r="D19">
        <f t="shared" si="1"/>
        <v>74940</v>
      </c>
      <c r="E19">
        <f t="shared" si="2"/>
        <v>5.4</v>
      </c>
      <c r="F19">
        <f t="shared" si="3"/>
        <v>0.86299999999999999</v>
      </c>
      <c r="H19" t="s">
        <v>63</v>
      </c>
      <c r="I19">
        <v>0.90410000000000001</v>
      </c>
      <c r="K19" t="s">
        <v>54</v>
      </c>
      <c r="L19">
        <v>0.91171999999999997</v>
      </c>
      <c r="N19" t="s">
        <v>18</v>
      </c>
      <c r="O19">
        <v>0.91169999999999995</v>
      </c>
      <c r="Q19" t="s">
        <v>32</v>
      </c>
      <c r="R19">
        <v>0.97467000000000004</v>
      </c>
      <c r="T19" t="s">
        <v>63</v>
      </c>
      <c r="U19" s="5">
        <v>47850</v>
      </c>
      <c r="V19">
        <v>1.5</v>
      </c>
      <c r="W19">
        <v>19</v>
      </c>
      <c r="X19">
        <v>0.31783919597989951</v>
      </c>
      <c r="Y19">
        <v>19</v>
      </c>
      <c r="Z19">
        <v>0.31783919597989951</v>
      </c>
    </row>
    <row r="20" spans="1:26" x14ac:dyDescent="0.2">
      <c r="A20" t="str">
        <f t="shared" si="0"/>
        <v>Finland</v>
      </c>
      <c r="B20" t="s">
        <v>38</v>
      </c>
      <c r="C20">
        <v>0.90973000000000004</v>
      </c>
      <c r="D20">
        <f t="shared" si="1"/>
        <v>53040</v>
      </c>
      <c r="E20">
        <f t="shared" si="2"/>
        <v>5.5</v>
      </c>
      <c r="F20">
        <f t="shared" si="3"/>
        <v>0.89039999999999997</v>
      </c>
      <c r="H20" t="s">
        <v>38</v>
      </c>
      <c r="I20">
        <v>0.89039999999999997</v>
      </c>
      <c r="K20" t="s">
        <v>38</v>
      </c>
      <c r="L20">
        <v>0.90973000000000004</v>
      </c>
      <c r="N20" t="s">
        <v>26</v>
      </c>
      <c r="O20">
        <v>0.90666000000000002</v>
      </c>
      <c r="Q20" t="s">
        <v>83</v>
      </c>
      <c r="R20">
        <v>0.97465999999999997</v>
      </c>
      <c r="T20" t="s">
        <v>64</v>
      </c>
      <c r="U20" s="5">
        <v>70480</v>
      </c>
      <c r="V20">
        <v>333.3</v>
      </c>
      <c r="W20">
        <v>20</v>
      </c>
      <c r="X20">
        <v>0.32160804020100503</v>
      </c>
      <c r="Y20">
        <v>20</v>
      </c>
      <c r="Z20">
        <v>0.32160804020100503</v>
      </c>
    </row>
    <row r="21" spans="1:26" x14ac:dyDescent="0.2">
      <c r="A21" t="str">
        <f t="shared" si="0"/>
        <v/>
      </c>
      <c r="B21" t="s">
        <v>28</v>
      </c>
      <c r="C21">
        <v>0.90754999999999997</v>
      </c>
      <c r="D21">
        <f t="shared" si="1"/>
        <v>55220</v>
      </c>
      <c r="E21">
        <f t="shared" si="2"/>
        <v>0.4</v>
      </c>
      <c r="F21">
        <f t="shared" si="3"/>
        <v>0.95889999999999997</v>
      </c>
      <c r="H21" t="s">
        <v>67</v>
      </c>
      <c r="I21">
        <v>0.89039999999999997</v>
      </c>
      <c r="K21" t="s">
        <v>28</v>
      </c>
      <c r="L21">
        <v>0.90754999999999997</v>
      </c>
      <c r="N21" t="s">
        <v>55</v>
      </c>
      <c r="O21">
        <v>0.90459999999999996</v>
      </c>
      <c r="Q21" t="s">
        <v>17</v>
      </c>
      <c r="R21">
        <v>0.97309000000000001</v>
      </c>
      <c r="T21" t="s">
        <v>66</v>
      </c>
      <c r="U21" s="5">
        <v>99240</v>
      </c>
      <c r="V21">
        <v>5</v>
      </c>
      <c r="W21">
        <v>21</v>
      </c>
      <c r="X21">
        <v>0.32537688442211055</v>
      </c>
      <c r="Y21">
        <v>21</v>
      </c>
      <c r="Z21">
        <v>0.32537688442211055</v>
      </c>
    </row>
    <row r="22" spans="1:26" x14ac:dyDescent="0.2">
      <c r="A22" t="str">
        <f t="shared" si="0"/>
        <v>Brazil</v>
      </c>
      <c r="B22" t="s">
        <v>130</v>
      </c>
      <c r="C22">
        <v>0.90630999999999995</v>
      </c>
      <c r="D22">
        <f t="shared" si="1"/>
        <v>15600</v>
      </c>
      <c r="E22">
        <f t="shared" si="2"/>
        <v>215.3</v>
      </c>
      <c r="F22">
        <f t="shared" si="3"/>
        <v>0.86299999999999999</v>
      </c>
      <c r="H22" t="s">
        <v>161</v>
      </c>
      <c r="I22">
        <v>0.87670000000000003</v>
      </c>
      <c r="K22" t="s">
        <v>130</v>
      </c>
      <c r="L22">
        <v>0.90630999999999995</v>
      </c>
      <c r="N22" t="s">
        <v>71</v>
      </c>
      <c r="O22">
        <v>0.90264</v>
      </c>
      <c r="Q22" t="s">
        <v>39</v>
      </c>
      <c r="R22">
        <v>0.97150999999999998</v>
      </c>
      <c r="T22" t="s">
        <v>68</v>
      </c>
      <c r="U22" s="5">
        <v>42510</v>
      </c>
      <c r="V22">
        <v>2.8</v>
      </c>
      <c r="W22">
        <v>22</v>
      </c>
      <c r="X22">
        <v>0.32914572864321606</v>
      </c>
      <c r="Y22">
        <v>22</v>
      </c>
      <c r="Z22">
        <v>0.32914572864321606</v>
      </c>
    </row>
    <row r="23" spans="1:26" x14ac:dyDescent="0.2">
      <c r="A23" t="str">
        <f t="shared" si="0"/>
        <v>Spain</v>
      </c>
      <c r="B23" t="s">
        <v>60</v>
      </c>
      <c r="C23">
        <v>0.90542</v>
      </c>
      <c r="D23">
        <f t="shared" si="1"/>
        <v>42520</v>
      </c>
      <c r="E23">
        <f t="shared" si="2"/>
        <v>47.4</v>
      </c>
      <c r="F23">
        <f t="shared" si="3"/>
        <v>0.80820000000000003</v>
      </c>
      <c r="H23" t="s">
        <v>54</v>
      </c>
      <c r="I23">
        <v>0.86299999999999999</v>
      </c>
      <c r="K23" t="s">
        <v>60</v>
      </c>
      <c r="L23">
        <v>0.90542</v>
      </c>
      <c r="N23" t="s">
        <v>56</v>
      </c>
      <c r="O23">
        <v>0.90027999999999997</v>
      </c>
      <c r="Q23" t="s">
        <v>110</v>
      </c>
      <c r="R23">
        <v>0.96738999999999997</v>
      </c>
      <c r="T23" t="s">
        <v>56</v>
      </c>
      <c r="U23" s="5">
        <v>60840</v>
      </c>
      <c r="V23">
        <v>9</v>
      </c>
      <c r="W23">
        <v>23</v>
      </c>
      <c r="X23">
        <v>0.33291457286432158</v>
      </c>
      <c r="Y23">
        <v>23</v>
      </c>
      <c r="Z23">
        <v>0.33291457286432158</v>
      </c>
    </row>
    <row r="24" spans="1:26" x14ac:dyDescent="0.2">
      <c r="A24" t="str">
        <f t="shared" si="0"/>
        <v>Bahrain</v>
      </c>
      <c r="B24" t="s">
        <v>63</v>
      </c>
      <c r="C24">
        <v>0.90305000000000002</v>
      </c>
      <c r="D24">
        <f t="shared" si="1"/>
        <v>47850</v>
      </c>
      <c r="E24">
        <f t="shared" si="2"/>
        <v>1.5</v>
      </c>
      <c r="F24">
        <f t="shared" si="3"/>
        <v>0.90410000000000001</v>
      </c>
      <c r="H24" t="s">
        <v>36</v>
      </c>
      <c r="I24">
        <v>0.86299999999999999</v>
      </c>
      <c r="K24" t="s">
        <v>63</v>
      </c>
      <c r="L24">
        <v>0.90305000000000002</v>
      </c>
      <c r="N24" t="s">
        <v>72</v>
      </c>
      <c r="O24">
        <v>0.89610000000000001</v>
      </c>
      <c r="Q24" t="s">
        <v>86</v>
      </c>
      <c r="R24">
        <v>0.96597</v>
      </c>
      <c r="T24" t="s">
        <v>74</v>
      </c>
      <c r="U24" s="5">
        <v>44740</v>
      </c>
      <c r="V24">
        <v>9.3000000000000007</v>
      </c>
      <c r="W24">
        <v>24</v>
      </c>
      <c r="X24">
        <v>0.33668341708542715</v>
      </c>
      <c r="Y24">
        <v>24</v>
      </c>
      <c r="Z24">
        <v>0.33668341708542715</v>
      </c>
    </row>
    <row r="25" spans="1:26" x14ac:dyDescent="0.2">
      <c r="A25" t="str">
        <f t="shared" si="0"/>
        <v>South Africa</v>
      </c>
      <c r="B25" t="s">
        <v>107</v>
      </c>
      <c r="C25">
        <v>0.88721000000000005</v>
      </c>
      <c r="D25">
        <f t="shared" si="1"/>
        <v>13360</v>
      </c>
      <c r="E25">
        <f t="shared" si="2"/>
        <v>60</v>
      </c>
      <c r="F25">
        <f t="shared" si="3"/>
        <v>0.83560000000000001</v>
      </c>
      <c r="H25" t="s">
        <v>130</v>
      </c>
      <c r="I25">
        <v>0.86299999999999999</v>
      </c>
      <c r="K25" t="s">
        <v>107</v>
      </c>
      <c r="L25">
        <v>0.88721000000000005</v>
      </c>
      <c r="N25" t="s">
        <v>78</v>
      </c>
      <c r="O25">
        <v>0.88612999999999997</v>
      </c>
      <c r="Q25" t="s">
        <v>54</v>
      </c>
      <c r="R25">
        <v>0.96538999999999997</v>
      </c>
      <c r="T25" t="s">
        <v>76</v>
      </c>
      <c r="U25" s="5">
        <v>26940</v>
      </c>
      <c r="V25">
        <v>19.399999999999999</v>
      </c>
      <c r="W25">
        <v>25</v>
      </c>
      <c r="X25">
        <v>0.34045226130653267</v>
      </c>
      <c r="Y25">
        <v>25</v>
      </c>
      <c r="Z25">
        <v>0.34045226130653267</v>
      </c>
    </row>
    <row r="26" spans="1:26" x14ac:dyDescent="0.2">
      <c r="A26" t="str">
        <f t="shared" si="0"/>
        <v>Ecuador</v>
      </c>
      <c r="B26" t="s">
        <v>161</v>
      </c>
      <c r="C26">
        <v>0.88507000000000002</v>
      </c>
      <c r="D26">
        <f t="shared" si="1"/>
        <v>11500</v>
      </c>
      <c r="E26">
        <f t="shared" si="2"/>
        <v>18.100000000000001</v>
      </c>
      <c r="F26">
        <f t="shared" si="3"/>
        <v>0.87670000000000003</v>
      </c>
      <c r="H26" t="s">
        <v>50</v>
      </c>
      <c r="I26">
        <v>0.86299999999999999</v>
      </c>
      <c r="K26" t="s">
        <v>161</v>
      </c>
      <c r="L26">
        <v>0.88507000000000002</v>
      </c>
      <c r="N26" t="s">
        <v>43</v>
      </c>
      <c r="O26">
        <v>0.88424000000000003</v>
      </c>
      <c r="Q26" t="s">
        <v>80</v>
      </c>
      <c r="R26">
        <v>0.96389999999999998</v>
      </c>
      <c r="T26" t="s">
        <v>79</v>
      </c>
      <c r="U26" s="5">
        <v>25660</v>
      </c>
      <c r="V26">
        <v>3.5</v>
      </c>
      <c r="W26">
        <v>26</v>
      </c>
      <c r="X26">
        <v>0.34422110552763818</v>
      </c>
      <c r="Y26">
        <v>26</v>
      </c>
      <c r="Z26">
        <v>0.34422110552763818</v>
      </c>
    </row>
    <row r="27" spans="1:26" x14ac:dyDescent="0.2">
      <c r="A27" t="str">
        <f t="shared" si="0"/>
        <v>Lithuania</v>
      </c>
      <c r="B27" t="s">
        <v>68</v>
      </c>
      <c r="C27">
        <v>0.88390000000000002</v>
      </c>
      <c r="D27">
        <f t="shared" si="1"/>
        <v>42510</v>
      </c>
      <c r="E27">
        <f t="shared" si="2"/>
        <v>2.8</v>
      </c>
      <c r="F27">
        <f t="shared" si="3"/>
        <v>0.83560000000000001</v>
      </c>
      <c r="H27" t="s">
        <v>79</v>
      </c>
      <c r="I27">
        <v>0.86299999999999999</v>
      </c>
      <c r="K27" t="s">
        <v>68</v>
      </c>
      <c r="L27">
        <v>0.88390000000000002</v>
      </c>
      <c r="N27" t="s">
        <v>75</v>
      </c>
      <c r="O27">
        <v>0.88046999999999997</v>
      </c>
      <c r="Q27" t="s">
        <v>68</v>
      </c>
      <c r="R27">
        <v>0.96309</v>
      </c>
      <c r="T27" t="s">
        <v>81</v>
      </c>
      <c r="U27" s="5">
        <v>74250</v>
      </c>
      <c r="V27">
        <v>8.6999999999999993</v>
      </c>
      <c r="W27">
        <v>27</v>
      </c>
      <c r="X27">
        <v>0.34798994974874375</v>
      </c>
      <c r="Y27">
        <v>27</v>
      </c>
      <c r="Z27">
        <v>0.34798994974874375</v>
      </c>
    </row>
    <row r="28" spans="1:26" x14ac:dyDescent="0.2">
      <c r="A28" t="str">
        <f t="shared" si="0"/>
        <v>Sweden</v>
      </c>
      <c r="B28" t="s">
        <v>52</v>
      </c>
      <c r="C28">
        <v>0.88361000000000001</v>
      </c>
      <c r="D28">
        <f t="shared" si="1"/>
        <v>58780</v>
      </c>
      <c r="E28">
        <f t="shared" si="2"/>
        <v>10.4</v>
      </c>
      <c r="F28">
        <f t="shared" si="3"/>
        <v>0.79449999999999998</v>
      </c>
      <c r="H28" t="s">
        <v>76</v>
      </c>
      <c r="I28">
        <v>0.84930000000000005</v>
      </c>
      <c r="K28" t="s">
        <v>52</v>
      </c>
      <c r="L28">
        <v>0.88361000000000001</v>
      </c>
      <c r="N28" t="s">
        <v>82</v>
      </c>
      <c r="O28">
        <v>0.87487999999999999</v>
      </c>
      <c r="Q28" t="s">
        <v>64</v>
      </c>
      <c r="R28">
        <v>0.96052000000000004</v>
      </c>
      <c r="T28" t="s">
        <v>50</v>
      </c>
      <c r="U28" s="5">
        <v>32730</v>
      </c>
      <c r="V28">
        <v>85.3</v>
      </c>
      <c r="W28">
        <v>28</v>
      </c>
      <c r="X28">
        <v>0.35175879396984921</v>
      </c>
      <c r="Y28">
        <v>28</v>
      </c>
      <c r="Z28">
        <v>0.35175879396984921</v>
      </c>
    </row>
    <row r="29" spans="1:26" x14ac:dyDescent="0.2">
      <c r="A29" t="str">
        <f t="shared" si="0"/>
        <v>Uruguay</v>
      </c>
      <c r="B29" t="s">
        <v>79</v>
      </c>
      <c r="C29">
        <v>0.88321000000000005</v>
      </c>
      <c r="D29">
        <f t="shared" si="1"/>
        <v>25660</v>
      </c>
      <c r="E29">
        <f t="shared" si="2"/>
        <v>3.5</v>
      </c>
      <c r="F29">
        <f t="shared" si="3"/>
        <v>0.86299999999999999</v>
      </c>
      <c r="H29" t="s">
        <v>124</v>
      </c>
      <c r="I29">
        <v>0.84930000000000005</v>
      </c>
      <c r="K29" t="s">
        <v>79</v>
      </c>
      <c r="L29">
        <v>0.88321000000000005</v>
      </c>
      <c r="N29" t="s">
        <v>62</v>
      </c>
      <c r="O29">
        <v>0.87390000000000001</v>
      </c>
      <c r="Q29" t="s">
        <v>101</v>
      </c>
      <c r="R29">
        <v>0.96033999999999997</v>
      </c>
      <c r="T29" t="s">
        <v>83</v>
      </c>
      <c r="U29" s="5">
        <v>54910</v>
      </c>
      <c r="V29">
        <v>0.5</v>
      </c>
      <c r="W29">
        <v>29</v>
      </c>
      <c r="X29">
        <v>0.35552763819095479</v>
      </c>
      <c r="Y29">
        <v>29</v>
      </c>
      <c r="Z29">
        <v>0.35552763819095479</v>
      </c>
    </row>
    <row r="30" spans="1:26" x14ac:dyDescent="0.2">
      <c r="A30" t="str">
        <f t="shared" si="0"/>
        <v>Ireland</v>
      </c>
      <c r="B30" t="s">
        <v>66</v>
      </c>
      <c r="C30">
        <v>0.87678</v>
      </c>
      <c r="D30">
        <f t="shared" si="1"/>
        <v>99240</v>
      </c>
      <c r="E30">
        <f t="shared" si="2"/>
        <v>5</v>
      </c>
      <c r="F30">
        <f t="shared" si="3"/>
        <v>0.91779999999999995</v>
      </c>
      <c r="H30" t="s">
        <v>68</v>
      </c>
      <c r="I30">
        <v>0.83560000000000001</v>
      </c>
      <c r="K30" t="s">
        <v>66</v>
      </c>
      <c r="L30">
        <v>0.87678</v>
      </c>
      <c r="N30" t="s">
        <v>58</v>
      </c>
      <c r="O30">
        <v>0.87248999999999999</v>
      </c>
      <c r="Q30" t="s">
        <v>60</v>
      </c>
      <c r="R30">
        <v>0.96031</v>
      </c>
      <c r="T30" t="s">
        <v>86</v>
      </c>
      <c r="U30" s="5">
        <v>35230</v>
      </c>
      <c r="V30">
        <v>1.8</v>
      </c>
      <c r="W30">
        <v>30</v>
      </c>
      <c r="X30">
        <v>0.3592964824120603</v>
      </c>
      <c r="Y30">
        <v>30</v>
      </c>
      <c r="Z30">
        <v>0.3592964824120603</v>
      </c>
    </row>
    <row r="31" spans="1:26" x14ac:dyDescent="0.2">
      <c r="A31" t="str">
        <f t="shared" si="0"/>
        <v/>
      </c>
      <c r="B31" t="s">
        <v>83</v>
      </c>
      <c r="C31">
        <v>0.87492000000000003</v>
      </c>
      <c r="D31">
        <f t="shared" si="1"/>
        <v>54910</v>
      </c>
      <c r="E31">
        <f t="shared" si="2"/>
        <v>0.5</v>
      </c>
      <c r="F31">
        <f t="shared" si="3"/>
        <v>0.73970000000000002</v>
      </c>
      <c r="H31" t="s">
        <v>89</v>
      </c>
      <c r="I31">
        <v>0.83560000000000001</v>
      </c>
      <c r="K31" t="s">
        <v>83</v>
      </c>
      <c r="L31">
        <v>0.87492000000000003</v>
      </c>
      <c r="N31" t="s">
        <v>88</v>
      </c>
      <c r="O31">
        <v>0.87029999999999996</v>
      </c>
      <c r="Q31" t="s">
        <v>66</v>
      </c>
      <c r="R31">
        <v>0.95987</v>
      </c>
      <c r="T31" t="s">
        <v>13</v>
      </c>
      <c r="U31" s="5">
        <v>14480</v>
      </c>
      <c r="V31">
        <v>41.2</v>
      </c>
      <c r="W31">
        <v>31</v>
      </c>
      <c r="X31">
        <v>0.36306532663316582</v>
      </c>
      <c r="Y31">
        <v>31</v>
      </c>
      <c r="Z31">
        <v>0.36306532663316582</v>
      </c>
    </row>
    <row r="32" spans="1:26" x14ac:dyDescent="0.2">
      <c r="A32" t="str">
        <f t="shared" si="0"/>
        <v>Croatia</v>
      </c>
      <c r="B32" t="s">
        <v>91</v>
      </c>
      <c r="C32">
        <v>0.87346999999999997</v>
      </c>
      <c r="D32">
        <f t="shared" si="1"/>
        <v>34740</v>
      </c>
      <c r="E32">
        <f t="shared" si="2"/>
        <v>3.9</v>
      </c>
      <c r="F32">
        <f t="shared" si="3"/>
        <v>0.91779999999999995</v>
      </c>
      <c r="H32" t="s">
        <v>107</v>
      </c>
      <c r="I32">
        <v>0.83560000000000001</v>
      </c>
      <c r="K32" t="s">
        <v>91</v>
      </c>
      <c r="L32">
        <v>0.87346999999999997</v>
      </c>
      <c r="N32" t="s">
        <v>90</v>
      </c>
      <c r="O32">
        <v>0.86980000000000002</v>
      </c>
      <c r="Q32" t="s">
        <v>81</v>
      </c>
      <c r="R32">
        <v>0.95757000000000003</v>
      </c>
      <c r="T32" t="s">
        <v>89</v>
      </c>
      <c r="U32" s="5">
        <v>25670</v>
      </c>
      <c r="V32">
        <v>19.5</v>
      </c>
      <c r="W32">
        <v>32</v>
      </c>
      <c r="X32">
        <v>0.36683417085427139</v>
      </c>
      <c r="Y32">
        <v>32</v>
      </c>
      <c r="Z32">
        <v>0.36683417085427139</v>
      </c>
    </row>
    <row r="33" spans="1:26" x14ac:dyDescent="0.2">
      <c r="A33" t="str">
        <f t="shared" si="0"/>
        <v>Slovenia</v>
      </c>
      <c r="B33" t="s">
        <v>94</v>
      </c>
      <c r="C33">
        <v>0.86395999999999995</v>
      </c>
      <c r="D33">
        <f t="shared" si="1"/>
        <v>43770</v>
      </c>
      <c r="E33">
        <f t="shared" si="2"/>
        <v>2.1</v>
      </c>
      <c r="F33">
        <f t="shared" si="3"/>
        <v>0.78080000000000005</v>
      </c>
      <c r="H33" t="s">
        <v>81</v>
      </c>
      <c r="I33">
        <v>0.82189999999999996</v>
      </c>
      <c r="K33" t="s">
        <v>94</v>
      </c>
      <c r="L33">
        <v>0.86395999999999995</v>
      </c>
      <c r="N33" t="s">
        <v>42</v>
      </c>
      <c r="O33">
        <v>0.86804000000000003</v>
      </c>
      <c r="Q33" t="s">
        <v>93</v>
      </c>
      <c r="R33">
        <v>0.95118000000000003</v>
      </c>
      <c r="T33" t="s">
        <v>91</v>
      </c>
      <c r="U33" s="5">
        <v>34740</v>
      </c>
      <c r="V33">
        <v>3.9</v>
      </c>
      <c r="W33">
        <v>33</v>
      </c>
      <c r="X33">
        <v>0.37060301507537685</v>
      </c>
      <c r="Y33">
        <v>33</v>
      </c>
      <c r="Z33">
        <v>0.37060301507537685</v>
      </c>
    </row>
    <row r="34" spans="1:26" x14ac:dyDescent="0.2">
      <c r="A34" t="str">
        <f t="shared" si="0"/>
        <v>Chile</v>
      </c>
      <c r="B34" t="s">
        <v>89</v>
      </c>
      <c r="C34">
        <v>0.86119000000000001</v>
      </c>
      <c r="D34">
        <f t="shared" si="1"/>
        <v>25670</v>
      </c>
      <c r="E34">
        <f t="shared" si="2"/>
        <v>19.5</v>
      </c>
      <c r="F34">
        <f t="shared" si="3"/>
        <v>0.83560000000000001</v>
      </c>
      <c r="H34" t="s">
        <v>60</v>
      </c>
      <c r="I34">
        <v>0.80820000000000003</v>
      </c>
      <c r="K34" t="s">
        <v>89</v>
      </c>
      <c r="L34">
        <v>0.86119000000000001</v>
      </c>
      <c r="N34" t="s">
        <v>95</v>
      </c>
      <c r="O34">
        <v>0.86538999999999999</v>
      </c>
      <c r="Q34" s="6" t="s">
        <v>36</v>
      </c>
      <c r="R34" s="6">
        <v>0.95091999999999999</v>
      </c>
      <c r="T34" t="s">
        <v>94</v>
      </c>
      <c r="U34" s="5">
        <v>43770</v>
      </c>
      <c r="V34">
        <v>2.1</v>
      </c>
      <c r="W34">
        <v>34</v>
      </c>
      <c r="X34">
        <v>0.37437185929648242</v>
      </c>
      <c r="Y34">
        <v>34</v>
      </c>
      <c r="Z34">
        <v>0.37437185929648242</v>
      </c>
    </row>
    <row r="35" spans="1:26" x14ac:dyDescent="0.2">
      <c r="A35" t="str">
        <f t="shared" si="0"/>
        <v>Canada</v>
      </c>
      <c r="B35" t="s">
        <v>122</v>
      </c>
      <c r="C35">
        <v>0.85516000000000003</v>
      </c>
      <c r="D35">
        <f t="shared" si="1"/>
        <v>55970</v>
      </c>
      <c r="E35">
        <f t="shared" si="2"/>
        <v>38.200000000000003</v>
      </c>
      <c r="F35">
        <f t="shared" si="3"/>
        <v>0.91779999999999995</v>
      </c>
      <c r="H35" t="s">
        <v>96</v>
      </c>
      <c r="I35">
        <v>0.80820000000000003</v>
      </c>
      <c r="K35" t="s">
        <v>122</v>
      </c>
      <c r="L35">
        <v>0.85516000000000003</v>
      </c>
      <c r="N35" t="s">
        <v>96</v>
      </c>
      <c r="O35">
        <v>0.85645000000000004</v>
      </c>
      <c r="Q35" t="s">
        <v>49</v>
      </c>
      <c r="R35">
        <v>0.95091000000000003</v>
      </c>
      <c r="T35" t="s">
        <v>96</v>
      </c>
      <c r="U35" s="5">
        <v>50660</v>
      </c>
      <c r="V35">
        <v>67.8</v>
      </c>
      <c r="W35">
        <v>35</v>
      </c>
      <c r="X35">
        <v>0.37814070351758794</v>
      </c>
      <c r="Y35">
        <v>35</v>
      </c>
      <c r="Z35">
        <v>0.37814070351758794</v>
      </c>
    </row>
    <row r="36" spans="1:26" x14ac:dyDescent="0.2">
      <c r="A36" t="str">
        <f t="shared" si="0"/>
        <v>Israel</v>
      </c>
      <c r="B36" t="s">
        <v>74</v>
      </c>
      <c r="C36">
        <v>0.85411999999999999</v>
      </c>
      <c r="D36">
        <f t="shared" si="1"/>
        <v>44740</v>
      </c>
      <c r="E36">
        <f t="shared" si="2"/>
        <v>9.3000000000000007</v>
      </c>
      <c r="F36">
        <f t="shared" si="3"/>
        <v>0.6986</v>
      </c>
      <c r="H36" t="s">
        <v>156</v>
      </c>
      <c r="I36">
        <v>0.79449999999999998</v>
      </c>
      <c r="K36" t="s">
        <v>74</v>
      </c>
      <c r="L36">
        <v>0.85411999999999999</v>
      </c>
      <c r="N36" t="s">
        <v>84</v>
      </c>
      <c r="O36">
        <v>0.85609999999999997</v>
      </c>
      <c r="Q36" t="s">
        <v>233</v>
      </c>
      <c r="R36">
        <v>0.94911999999999996</v>
      </c>
      <c r="T36" t="s">
        <v>97</v>
      </c>
      <c r="U36" s="5">
        <v>18140</v>
      </c>
      <c r="V36" s="7">
        <v>1412.2</v>
      </c>
      <c r="W36">
        <v>36</v>
      </c>
      <c r="X36">
        <v>0.38190954773869346</v>
      </c>
      <c r="Y36">
        <v>36</v>
      </c>
      <c r="Z36">
        <v>0.38190954773869346</v>
      </c>
    </row>
    <row r="37" spans="1:26" x14ac:dyDescent="0.2">
      <c r="A37" t="str">
        <f t="shared" si="0"/>
        <v>Serbia</v>
      </c>
      <c r="B37" t="s">
        <v>67</v>
      </c>
      <c r="C37">
        <v>0.85397000000000001</v>
      </c>
      <c r="D37">
        <f t="shared" si="1"/>
        <v>23170</v>
      </c>
      <c r="E37">
        <f t="shared" si="2"/>
        <v>6.7</v>
      </c>
      <c r="F37">
        <f t="shared" si="3"/>
        <v>0.89039999999999997</v>
      </c>
      <c r="H37" t="s">
        <v>52</v>
      </c>
      <c r="I37">
        <v>0.79449999999999998</v>
      </c>
      <c r="K37" t="s">
        <v>67</v>
      </c>
      <c r="L37">
        <v>0.85397000000000001</v>
      </c>
      <c r="N37" t="s">
        <v>61</v>
      </c>
      <c r="O37">
        <v>0.85375999999999996</v>
      </c>
      <c r="Q37" t="s">
        <v>89</v>
      </c>
      <c r="R37">
        <v>0.94552999999999998</v>
      </c>
      <c r="T37" t="s">
        <v>100</v>
      </c>
      <c r="U37" s="5">
        <v>32160</v>
      </c>
      <c r="V37">
        <v>10.4</v>
      </c>
      <c r="W37">
        <v>37</v>
      </c>
      <c r="X37">
        <v>0.38567839195979903</v>
      </c>
      <c r="Y37">
        <v>37</v>
      </c>
      <c r="Z37">
        <v>0.38567839195979903</v>
      </c>
    </row>
    <row r="38" spans="1:26" x14ac:dyDescent="0.2">
      <c r="A38" t="str">
        <f t="shared" si="0"/>
        <v>France</v>
      </c>
      <c r="B38" t="s">
        <v>96</v>
      </c>
      <c r="C38">
        <v>0.84399999999999997</v>
      </c>
      <c r="D38">
        <f t="shared" si="1"/>
        <v>50660</v>
      </c>
      <c r="E38">
        <f t="shared" si="2"/>
        <v>67.8</v>
      </c>
      <c r="F38">
        <f t="shared" si="3"/>
        <v>0.80820000000000003</v>
      </c>
      <c r="H38" t="s">
        <v>86</v>
      </c>
      <c r="I38">
        <v>0.78080000000000005</v>
      </c>
      <c r="K38" t="s">
        <v>96</v>
      </c>
      <c r="L38">
        <v>0.84399999999999997</v>
      </c>
      <c r="N38" t="s">
        <v>92</v>
      </c>
      <c r="O38">
        <v>0.85297999999999996</v>
      </c>
      <c r="Q38" t="s">
        <v>79</v>
      </c>
      <c r="R38">
        <v>0.94374000000000002</v>
      </c>
      <c r="T38" t="s">
        <v>101</v>
      </c>
      <c r="U38" s="5">
        <v>37710</v>
      </c>
      <c r="V38">
        <v>37.799999999999997</v>
      </c>
      <c r="W38">
        <v>38</v>
      </c>
      <c r="X38">
        <v>0.38944723618090449</v>
      </c>
      <c r="Y38">
        <v>38</v>
      </c>
      <c r="Z38">
        <v>0.38944723618090449</v>
      </c>
    </row>
    <row r="39" spans="1:26" x14ac:dyDescent="0.2">
      <c r="A39" t="str">
        <f t="shared" si="0"/>
        <v>Switzerland</v>
      </c>
      <c r="B39" t="s">
        <v>81</v>
      </c>
      <c r="C39">
        <v>0.84079999999999999</v>
      </c>
      <c r="D39">
        <f t="shared" si="1"/>
        <v>74250</v>
      </c>
      <c r="E39">
        <f t="shared" si="2"/>
        <v>8.6999999999999993</v>
      </c>
      <c r="F39">
        <f t="shared" si="3"/>
        <v>0.82189999999999996</v>
      </c>
      <c r="H39" t="s">
        <v>119</v>
      </c>
      <c r="I39">
        <v>0.78080000000000005</v>
      </c>
      <c r="K39" t="s">
        <v>81</v>
      </c>
      <c r="L39">
        <v>0.84079999999999999</v>
      </c>
      <c r="N39" t="s">
        <v>104</v>
      </c>
      <c r="O39">
        <v>0.85082000000000002</v>
      </c>
      <c r="Q39" t="s">
        <v>135</v>
      </c>
      <c r="R39">
        <v>0.94101000000000001</v>
      </c>
      <c r="T39" t="s">
        <v>102</v>
      </c>
      <c r="U39" s="5">
        <v>42230</v>
      </c>
      <c r="V39">
        <v>1.2</v>
      </c>
      <c r="W39">
        <v>39</v>
      </c>
      <c r="X39">
        <v>0.39321608040201006</v>
      </c>
      <c r="Y39">
        <v>39</v>
      </c>
      <c r="Z39">
        <v>0.39321608040201006</v>
      </c>
    </row>
    <row r="40" spans="1:26" x14ac:dyDescent="0.2">
      <c r="A40" t="str">
        <f t="shared" si="0"/>
        <v>Austria</v>
      </c>
      <c r="B40" t="s">
        <v>56</v>
      </c>
      <c r="C40">
        <v>0.83828999999999998</v>
      </c>
      <c r="D40">
        <f t="shared" si="1"/>
        <v>60840</v>
      </c>
      <c r="E40">
        <f t="shared" si="2"/>
        <v>9</v>
      </c>
      <c r="F40">
        <f t="shared" si="3"/>
        <v>0.78080000000000005</v>
      </c>
      <c r="H40" t="s">
        <v>56</v>
      </c>
      <c r="I40">
        <v>0.78080000000000005</v>
      </c>
      <c r="K40" t="s">
        <v>56</v>
      </c>
      <c r="L40">
        <v>0.83828999999999998</v>
      </c>
      <c r="N40" t="s">
        <v>106</v>
      </c>
      <c r="O40">
        <v>0.84416000000000002</v>
      </c>
      <c r="Q40" t="s">
        <v>119</v>
      </c>
      <c r="R40">
        <v>0.93740999999999997</v>
      </c>
      <c r="T40" t="s">
        <v>67</v>
      </c>
      <c r="U40" s="5">
        <v>23170</v>
      </c>
      <c r="V40">
        <v>6.7</v>
      </c>
      <c r="W40">
        <v>40</v>
      </c>
      <c r="X40">
        <v>0.39698492462311558</v>
      </c>
      <c r="Y40">
        <v>40</v>
      </c>
      <c r="Z40">
        <v>0.39698492462311558</v>
      </c>
    </row>
    <row r="41" spans="1:26" x14ac:dyDescent="0.2">
      <c r="A41" t="str">
        <f t="shared" si="0"/>
        <v>Peru</v>
      </c>
      <c r="B41" t="s">
        <v>144</v>
      </c>
      <c r="C41">
        <v>0.8377</v>
      </c>
      <c r="D41">
        <f t="shared" si="1"/>
        <v>12480</v>
      </c>
      <c r="E41">
        <f t="shared" si="2"/>
        <v>33.700000000000003</v>
      </c>
      <c r="F41">
        <f t="shared" si="3"/>
        <v>0.75339999999999996</v>
      </c>
      <c r="H41" t="s">
        <v>94</v>
      </c>
      <c r="I41">
        <v>0.78080000000000005</v>
      </c>
      <c r="K41" t="s">
        <v>144</v>
      </c>
      <c r="L41">
        <v>0.8377</v>
      </c>
      <c r="N41" t="s">
        <v>109</v>
      </c>
      <c r="O41">
        <v>0.84262000000000004</v>
      </c>
      <c r="Q41" t="s">
        <v>46</v>
      </c>
      <c r="R41">
        <v>0.92359000000000002</v>
      </c>
      <c r="T41" t="s">
        <v>107</v>
      </c>
      <c r="U41" s="5">
        <v>13360</v>
      </c>
      <c r="V41">
        <v>60</v>
      </c>
      <c r="W41">
        <v>41</v>
      </c>
      <c r="X41">
        <v>0.40075376884422109</v>
      </c>
      <c r="Y41">
        <v>41</v>
      </c>
      <c r="Z41">
        <v>0.40075376884422109</v>
      </c>
    </row>
    <row r="42" spans="1:26" x14ac:dyDescent="0.2">
      <c r="A42" t="str">
        <f t="shared" si="0"/>
        <v>Mongolia</v>
      </c>
      <c r="B42" t="s">
        <v>119</v>
      </c>
      <c r="C42">
        <v>0.82218999999999998</v>
      </c>
      <c r="D42">
        <f t="shared" si="1"/>
        <v>13350</v>
      </c>
      <c r="E42">
        <f t="shared" si="2"/>
        <v>3.4</v>
      </c>
      <c r="F42">
        <f t="shared" si="3"/>
        <v>0.78080000000000005</v>
      </c>
      <c r="H42" t="s">
        <v>16</v>
      </c>
      <c r="I42">
        <v>0.78080000000000005</v>
      </c>
      <c r="K42" t="s">
        <v>119</v>
      </c>
      <c r="L42">
        <v>0.82218999999999998</v>
      </c>
      <c r="N42" t="s">
        <v>87</v>
      </c>
      <c r="O42">
        <v>0.84128999999999998</v>
      </c>
      <c r="Q42" t="s">
        <v>76</v>
      </c>
      <c r="R42">
        <v>0.92352999999999996</v>
      </c>
      <c r="T42" t="s">
        <v>110</v>
      </c>
      <c r="U42" s="5">
        <v>39840</v>
      </c>
      <c r="V42">
        <v>4.5</v>
      </c>
      <c r="W42">
        <v>42</v>
      </c>
      <c r="X42">
        <v>0.40452261306532666</v>
      </c>
      <c r="Y42">
        <v>42</v>
      </c>
      <c r="Z42">
        <v>0.40452261306532666</v>
      </c>
    </row>
    <row r="43" spans="1:26" x14ac:dyDescent="0.2">
      <c r="A43" t="str">
        <f t="shared" si="0"/>
        <v>Cyprus</v>
      </c>
      <c r="B43" t="s">
        <v>102</v>
      </c>
      <c r="C43">
        <v>0.82164999999999999</v>
      </c>
      <c r="D43">
        <f t="shared" si="1"/>
        <v>42230</v>
      </c>
      <c r="E43">
        <f t="shared" si="2"/>
        <v>1.2</v>
      </c>
      <c r="F43">
        <f t="shared" si="3"/>
        <v>0.6986</v>
      </c>
      <c r="H43" t="s">
        <v>144</v>
      </c>
      <c r="I43">
        <v>0.75339999999999996</v>
      </c>
      <c r="K43" t="s">
        <v>102</v>
      </c>
      <c r="L43">
        <v>0.82164999999999999</v>
      </c>
      <c r="N43" t="s">
        <v>40</v>
      </c>
      <c r="O43">
        <v>0.84028999999999998</v>
      </c>
      <c r="Q43" t="s">
        <v>206</v>
      </c>
      <c r="R43">
        <v>0.92306999999999995</v>
      </c>
      <c r="T43" t="s">
        <v>111</v>
      </c>
      <c r="U43" s="5">
        <v>22270</v>
      </c>
      <c r="V43">
        <v>45.8</v>
      </c>
      <c r="W43">
        <v>43</v>
      </c>
      <c r="X43">
        <v>0.40829145728643212</v>
      </c>
      <c r="Y43">
        <v>43</v>
      </c>
      <c r="Z43">
        <v>0.40829145728643212</v>
      </c>
    </row>
    <row r="44" spans="1:26" x14ac:dyDescent="0.2">
      <c r="A44" t="str">
        <f t="shared" si="0"/>
        <v>Rwanda</v>
      </c>
      <c r="B44" t="s">
        <v>264</v>
      </c>
      <c r="C44">
        <v>0.82064999999999999</v>
      </c>
      <c r="D44">
        <f t="shared" si="1"/>
        <v>2370</v>
      </c>
      <c r="E44">
        <f t="shared" si="2"/>
        <v>13.5</v>
      </c>
      <c r="F44">
        <f t="shared" si="3"/>
        <v>0.75339999999999996</v>
      </c>
      <c r="H44" t="s">
        <v>101</v>
      </c>
      <c r="I44">
        <v>0.75339999999999996</v>
      </c>
      <c r="K44" t="s">
        <v>264</v>
      </c>
      <c r="L44">
        <v>0.82064999999999999</v>
      </c>
      <c r="N44" t="s">
        <v>114</v>
      </c>
      <c r="O44">
        <v>0.83887999999999996</v>
      </c>
      <c r="Q44" t="s">
        <v>115</v>
      </c>
      <c r="R44">
        <v>0.92291000000000001</v>
      </c>
      <c r="T44" t="s">
        <v>93</v>
      </c>
      <c r="U44" s="5">
        <v>28710</v>
      </c>
      <c r="V44">
        <v>143.6</v>
      </c>
      <c r="W44">
        <v>44</v>
      </c>
      <c r="X44">
        <v>0.4120603015075377</v>
      </c>
      <c r="Y44">
        <v>44</v>
      </c>
      <c r="Z44">
        <v>0.4120603015075377</v>
      </c>
    </row>
    <row r="45" spans="1:26" x14ac:dyDescent="0.2">
      <c r="A45" t="str">
        <f t="shared" si="0"/>
        <v>India</v>
      </c>
      <c r="B45" t="s">
        <v>222</v>
      </c>
      <c r="C45">
        <v>0.81842000000000004</v>
      </c>
      <c r="D45">
        <f t="shared" si="1"/>
        <v>7130</v>
      </c>
      <c r="E45">
        <f t="shared" si="2"/>
        <v>1417.2</v>
      </c>
      <c r="F45">
        <f t="shared" si="3"/>
        <v>0.65749999999999997</v>
      </c>
      <c r="H45" t="s">
        <v>135</v>
      </c>
      <c r="I45">
        <v>0.75339999999999996</v>
      </c>
      <c r="K45" t="s">
        <v>222</v>
      </c>
      <c r="L45">
        <v>0.81842000000000004</v>
      </c>
      <c r="N45" t="s">
        <v>117</v>
      </c>
      <c r="O45">
        <v>0.83194000000000001</v>
      </c>
      <c r="Q45" t="s">
        <v>96</v>
      </c>
      <c r="R45">
        <v>0.92281000000000002</v>
      </c>
      <c r="T45" t="s">
        <v>35</v>
      </c>
      <c r="U45" s="8" t="s">
        <v>118</v>
      </c>
      <c r="V45">
        <v>0.04</v>
      </c>
      <c r="W45">
        <v>45</v>
      </c>
      <c r="X45">
        <v>0.41582914572864321</v>
      </c>
      <c r="Y45">
        <v>45</v>
      </c>
      <c r="Z45">
        <v>0.41582914572864321</v>
      </c>
    </row>
    <row r="46" spans="1:26" x14ac:dyDescent="0.2">
      <c r="A46" t="str">
        <f t="shared" si="0"/>
        <v>Greece</v>
      </c>
      <c r="B46" t="s">
        <v>100</v>
      </c>
      <c r="C46">
        <v>0.81452999999999998</v>
      </c>
      <c r="D46">
        <f t="shared" si="1"/>
        <v>32160</v>
      </c>
      <c r="E46">
        <f t="shared" si="2"/>
        <v>10.4</v>
      </c>
      <c r="F46">
        <f t="shared" si="3"/>
        <v>0.67120000000000002</v>
      </c>
      <c r="H46" t="s">
        <v>264</v>
      </c>
      <c r="I46">
        <v>0.75339999999999996</v>
      </c>
      <c r="K46" t="s">
        <v>100</v>
      </c>
      <c r="L46">
        <v>0.81452999999999998</v>
      </c>
      <c r="N46" t="s">
        <v>85</v>
      </c>
      <c r="O46">
        <v>0.83038999999999996</v>
      </c>
      <c r="Q46" t="s">
        <v>67</v>
      </c>
      <c r="R46">
        <v>0.92205999999999999</v>
      </c>
      <c r="T46" t="s">
        <v>37</v>
      </c>
      <c r="U46" s="5">
        <v>82230</v>
      </c>
      <c r="V46">
        <v>0.6</v>
      </c>
      <c r="W46">
        <v>46</v>
      </c>
      <c r="X46">
        <v>0.41959798994974873</v>
      </c>
      <c r="Y46">
        <v>46</v>
      </c>
      <c r="Z46">
        <v>0.41959798994974873</v>
      </c>
    </row>
    <row r="47" spans="1:26" x14ac:dyDescent="0.2">
      <c r="A47" t="str">
        <f t="shared" si="0"/>
        <v>Albania</v>
      </c>
      <c r="B47" t="s">
        <v>151</v>
      </c>
      <c r="C47">
        <v>0.81440999999999997</v>
      </c>
      <c r="D47">
        <f t="shared" si="1"/>
        <v>16000</v>
      </c>
      <c r="E47">
        <f t="shared" si="2"/>
        <v>2.8</v>
      </c>
      <c r="F47">
        <f t="shared" si="3"/>
        <v>0.72599999999999998</v>
      </c>
      <c r="H47" t="s">
        <v>83</v>
      </c>
      <c r="I47">
        <v>0.73970000000000002</v>
      </c>
      <c r="K47" t="s">
        <v>151</v>
      </c>
      <c r="L47">
        <v>0.81440999999999997</v>
      </c>
      <c r="N47" t="s">
        <v>35</v>
      </c>
      <c r="O47">
        <v>0.82630999999999999</v>
      </c>
      <c r="Q47" t="s">
        <v>121</v>
      </c>
      <c r="R47">
        <v>0.92042999999999997</v>
      </c>
      <c r="T47" t="s">
        <v>119</v>
      </c>
      <c r="U47" s="5">
        <v>13350</v>
      </c>
      <c r="V47">
        <v>3.4</v>
      </c>
      <c r="W47">
        <v>47</v>
      </c>
      <c r="X47">
        <v>0.4233668341708543</v>
      </c>
      <c r="Y47">
        <v>47</v>
      </c>
      <c r="Z47">
        <v>0.4233668341708543</v>
      </c>
    </row>
    <row r="48" spans="1:26" x14ac:dyDescent="0.2">
      <c r="A48" t="str">
        <f t="shared" si="0"/>
        <v>Latvia</v>
      </c>
      <c r="B48" t="s">
        <v>86</v>
      </c>
      <c r="C48">
        <v>0.80915000000000004</v>
      </c>
      <c r="D48">
        <f t="shared" si="1"/>
        <v>35230</v>
      </c>
      <c r="E48">
        <f t="shared" si="2"/>
        <v>1.8</v>
      </c>
      <c r="F48">
        <f t="shared" si="3"/>
        <v>0.78080000000000005</v>
      </c>
      <c r="H48" t="s">
        <v>158</v>
      </c>
      <c r="I48">
        <v>0.73970000000000002</v>
      </c>
      <c r="K48" t="s">
        <v>86</v>
      </c>
      <c r="L48">
        <v>0.80915000000000004</v>
      </c>
      <c r="N48" t="s">
        <v>13</v>
      </c>
      <c r="O48">
        <v>0.82401999999999997</v>
      </c>
      <c r="Q48" t="s">
        <v>91</v>
      </c>
      <c r="R48">
        <v>0.91798999999999997</v>
      </c>
      <c r="T48" t="s">
        <v>122</v>
      </c>
      <c r="U48" s="5">
        <v>55970</v>
      </c>
      <c r="V48">
        <v>38.200000000000003</v>
      </c>
      <c r="W48">
        <v>48</v>
      </c>
      <c r="X48">
        <v>0.42713567839195976</v>
      </c>
      <c r="Y48">
        <v>48</v>
      </c>
      <c r="Z48">
        <v>0.42713567839195976</v>
      </c>
    </row>
    <row r="49" spans="1:26" x14ac:dyDescent="0.2">
      <c r="A49" t="str">
        <f t="shared" si="0"/>
        <v>Oman</v>
      </c>
      <c r="B49" t="s">
        <v>110</v>
      </c>
      <c r="C49">
        <v>0.80774000000000001</v>
      </c>
      <c r="D49">
        <f t="shared" si="1"/>
        <v>39840</v>
      </c>
      <c r="E49">
        <f t="shared" si="2"/>
        <v>4.5</v>
      </c>
      <c r="F49">
        <f t="shared" si="3"/>
        <v>0.65749999999999997</v>
      </c>
      <c r="H49" t="s">
        <v>165</v>
      </c>
      <c r="I49">
        <v>0.73970000000000002</v>
      </c>
      <c r="K49" t="s">
        <v>110</v>
      </c>
      <c r="L49">
        <v>0.80774000000000001</v>
      </c>
      <c r="N49" t="s">
        <v>65</v>
      </c>
      <c r="O49">
        <v>0.81620000000000004</v>
      </c>
      <c r="Q49" t="s">
        <v>193</v>
      </c>
      <c r="R49">
        <v>0.91710999999999998</v>
      </c>
      <c r="T49" t="s">
        <v>124</v>
      </c>
      <c r="U49" s="5">
        <v>16950</v>
      </c>
      <c r="V49">
        <v>2.8</v>
      </c>
      <c r="W49">
        <v>49</v>
      </c>
      <c r="X49">
        <v>0.43090452261306533</v>
      </c>
      <c r="Y49">
        <v>49</v>
      </c>
      <c r="Z49">
        <v>0.43090452261306533</v>
      </c>
    </row>
    <row r="50" spans="1:26" x14ac:dyDescent="0.2">
      <c r="A50" t="str">
        <f t="shared" si="0"/>
        <v>Philippines</v>
      </c>
      <c r="B50" t="s">
        <v>175</v>
      </c>
      <c r="C50">
        <v>0.80542999999999998</v>
      </c>
      <c r="D50">
        <f t="shared" si="1"/>
        <v>9820</v>
      </c>
      <c r="E50">
        <f t="shared" si="2"/>
        <v>115.6</v>
      </c>
      <c r="F50">
        <f t="shared" si="3"/>
        <v>0.72599999999999998</v>
      </c>
      <c r="H50" t="s">
        <v>151</v>
      </c>
      <c r="I50">
        <v>0.72599999999999998</v>
      </c>
      <c r="K50" t="s">
        <v>175</v>
      </c>
      <c r="L50">
        <v>0.80542999999999998</v>
      </c>
      <c r="N50" t="s">
        <v>120</v>
      </c>
      <c r="O50">
        <v>0.81059000000000003</v>
      </c>
      <c r="Q50" t="s">
        <v>139</v>
      </c>
      <c r="R50">
        <v>0.91707000000000005</v>
      </c>
      <c r="T50" t="s">
        <v>127</v>
      </c>
      <c r="U50" s="5">
        <v>38730</v>
      </c>
      <c r="V50">
        <v>10.3</v>
      </c>
      <c r="W50">
        <v>50</v>
      </c>
      <c r="X50">
        <v>0.43467336683417085</v>
      </c>
      <c r="Y50">
        <v>50</v>
      </c>
      <c r="Z50">
        <v>0.43467336683417085</v>
      </c>
    </row>
    <row r="51" spans="1:26" x14ac:dyDescent="0.2">
      <c r="A51" t="str">
        <f t="shared" si="0"/>
        <v>Poland</v>
      </c>
      <c r="B51" t="s">
        <v>101</v>
      </c>
      <c r="C51">
        <v>0.80371000000000004</v>
      </c>
      <c r="D51">
        <f t="shared" si="1"/>
        <v>37710</v>
      </c>
      <c r="E51">
        <f t="shared" si="2"/>
        <v>37.799999999999997</v>
      </c>
      <c r="F51">
        <f t="shared" si="3"/>
        <v>0.75339999999999996</v>
      </c>
      <c r="H51" t="s">
        <v>175</v>
      </c>
      <c r="I51">
        <v>0.72599999999999998</v>
      </c>
      <c r="K51" t="s">
        <v>101</v>
      </c>
      <c r="L51">
        <v>0.80371000000000004</v>
      </c>
      <c r="N51" t="s">
        <v>67</v>
      </c>
      <c r="O51">
        <v>0.80940999999999996</v>
      </c>
      <c r="Q51" t="s">
        <v>181</v>
      </c>
      <c r="R51">
        <v>0.91586000000000001</v>
      </c>
      <c r="T51" t="s">
        <v>130</v>
      </c>
      <c r="U51" s="5">
        <v>15600</v>
      </c>
      <c r="V51">
        <v>215.3</v>
      </c>
      <c r="W51">
        <v>51</v>
      </c>
      <c r="X51">
        <v>0.43844221105527637</v>
      </c>
      <c r="Y51">
        <v>51</v>
      </c>
      <c r="Z51">
        <v>0.43844221105527637</v>
      </c>
    </row>
    <row r="52" spans="1:26" x14ac:dyDescent="0.2">
      <c r="A52" t="str">
        <f t="shared" si="0"/>
        <v>Indonesia</v>
      </c>
      <c r="B52" t="s">
        <v>156</v>
      </c>
      <c r="C52">
        <v>0.80345999999999995</v>
      </c>
      <c r="D52">
        <f t="shared" si="1"/>
        <v>12310</v>
      </c>
      <c r="E52">
        <f t="shared" si="2"/>
        <v>275.5</v>
      </c>
      <c r="F52">
        <f t="shared" si="3"/>
        <v>0.79449999999999998</v>
      </c>
      <c r="H52" t="s">
        <v>168</v>
      </c>
      <c r="I52">
        <v>0.72599999999999998</v>
      </c>
      <c r="K52" t="s">
        <v>156</v>
      </c>
      <c r="L52">
        <v>0.80345999999999995</v>
      </c>
      <c r="N52" t="s">
        <v>70</v>
      </c>
      <c r="O52">
        <v>0.80767999999999995</v>
      </c>
      <c r="Q52" t="s">
        <v>185</v>
      </c>
      <c r="R52">
        <v>0.91561000000000003</v>
      </c>
      <c r="T52" t="s">
        <v>132</v>
      </c>
      <c r="U52" s="5">
        <v>47190</v>
      </c>
      <c r="V52">
        <v>59</v>
      </c>
      <c r="W52">
        <v>52</v>
      </c>
      <c r="X52">
        <v>0.44221105527638194</v>
      </c>
      <c r="Y52">
        <v>52</v>
      </c>
      <c r="Z52">
        <v>0.44221105527638194</v>
      </c>
    </row>
    <row r="53" spans="1:26" x14ac:dyDescent="0.2">
      <c r="A53" t="str">
        <f t="shared" si="0"/>
        <v>Argentina</v>
      </c>
      <c r="B53" t="s">
        <v>111</v>
      </c>
      <c r="C53">
        <v>0.79649000000000003</v>
      </c>
      <c r="D53">
        <f t="shared" si="1"/>
        <v>22270</v>
      </c>
      <c r="E53">
        <f t="shared" si="2"/>
        <v>45.8</v>
      </c>
      <c r="F53">
        <f t="shared" si="3"/>
        <v>0.63009999999999999</v>
      </c>
      <c r="H53" t="s">
        <v>150</v>
      </c>
      <c r="I53">
        <v>0.72599999999999998</v>
      </c>
      <c r="K53" t="s">
        <v>111</v>
      </c>
      <c r="L53">
        <v>0.79649000000000003</v>
      </c>
      <c r="N53" t="s">
        <v>105</v>
      </c>
      <c r="O53">
        <v>0.80320000000000003</v>
      </c>
      <c r="Q53" t="s">
        <v>94</v>
      </c>
      <c r="R53">
        <v>0.91071999999999997</v>
      </c>
      <c r="T53" t="s">
        <v>135</v>
      </c>
      <c r="U53" s="5">
        <v>19110</v>
      </c>
      <c r="V53">
        <v>71.7</v>
      </c>
      <c r="W53">
        <v>53</v>
      </c>
      <c r="X53">
        <v>0.44597989949748745</v>
      </c>
      <c r="Y53">
        <v>53</v>
      </c>
      <c r="Z53">
        <v>0.44597989949748745</v>
      </c>
    </row>
    <row r="54" spans="1:26" x14ac:dyDescent="0.2">
      <c r="A54" t="str">
        <f t="shared" si="0"/>
        <v>Armenia</v>
      </c>
      <c r="B54" t="s">
        <v>124</v>
      </c>
      <c r="C54">
        <v>0.79220000000000002</v>
      </c>
      <c r="D54">
        <f t="shared" si="1"/>
        <v>16950</v>
      </c>
      <c r="E54">
        <f t="shared" si="2"/>
        <v>2.8</v>
      </c>
      <c r="F54">
        <f t="shared" si="3"/>
        <v>0.84930000000000005</v>
      </c>
      <c r="H54" t="s">
        <v>74</v>
      </c>
      <c r="I54">
        <v>0.6986</v>
      </c>
      <c r="K54" t="s">
        <v>124</v>
      </c>
      <c r="L54">
        <v>0.79220000000000002</v>
      </c>
      <c r="N54" t="s">
        <v>77</v>
      </c>
      <c r="O54">
        <v>0.80257000000000001</v>
      </c>
      <c r="Q54" t="s">
        <v>95</v>
      </c>
      <c r="R54">
        <v>0.90712999999999999</v>
      </c>
      <c r="T54" t="s">
        <v>137</v>
      </c>
      <c r="U54" s="5">
        <v>88070</v>
      </c>
      <c r="V54">
        <v>2.9</v>
      </c>
      <c r="W54">
        <v>54</v>
      </c>
      <c r="X54">
        <v>0.44974874371859297</v>
      </c>
      <c r="Y54">
        <v>54</v>
      </c>
      <c r="Z54">
        <v>0.44974874371859297</v>
      </c>
    </row>
    <row r="55" spans="1:26" x14ac:dyDescent="0.2">
      <c r="A55" t="str">
        <f t="shared" si="0"/>
        <v>Portugal</v>
      </c>
      <c r="B55" t="s">
        <v>127</v>
      </c>
      <c r="C55">
        <v>0.78774999999999995</v>
      </c>
      <c r="D55">
        <f t="shared" si="1"/>
        <v>38730</v>
      </c>
      <c r="E55">
        <f t="shared" si="2"/>
        <v>10.3</v>
      </c>
      <c r="F55">
        <f t="shared" si="3"/>
        <v>0.64380000000000004</v>
      </c>
      <c r="H55" t="s">
        <v>51</v>
      </c>
      <c r="I55">
        <v>0.6986</v>
      </c>
      <c r="K55" t="s">
        <v>127</v>
      </c>
      <c r="L55">
        <v>0.78774999999999995</v>
      </c>
      <c r="N55" t="s">
        <v>138</v>
      </c>
      <c r="O55">
        <v>0.79823</v>
      </c>
      <c r="Q55" t="s">
        <v>132</v>
      </c>
      <c r="R55">
        <v>0.90166999999999997</v>
      </c>
      <c r="T55" t="s">
        <v>121</v>
      </c>
      <c r="U55" s="5">
        <v>45130</v>
      </c>
      <c r="V55">
        <v>10.7</v>
      </c>
      <c r="W55">
        <v>55</v>
      </c>
      <c r="X55">
        <v>0.45351758793969849</v>
      </c>
      <c r="Y55">
        <v>55</v>
      </c>
      <c r="Z55">
        <v>0.45351758793969849</v>
      </c>
    </row>
    <row r="56" spans="1:26" x14ac:dyDescent="0.2">
      <c r="A56" t="str">
        <f t="shared" si="0"/>
        <v>Kenya</v>
      </c>
      <c r="B56" t="s">
        <v>249</v>
      </c>
      <c r="C56">
        <v>0.77703999999999995</v>
      </c>
      <c r="D56">
        <f t="shared" si="1"/>
        <v>5150</v>
      </c>
      <c r="E56">
        <f t="shared" si="2"/>
        <v>54</v>
      </c>
      <c r="F56">
        <f t="shared" si="3"/>
        <v>0.52049999999999996</v>
      </c>
      <c r="H56" t="s">
        <v>102</v>
      </c>
      <c r="I56">
        <v>0.6986</v>
      </c>
      <c r="K56" t="s">
        <v>249</v>
      </c>
      <c r="L56">
        <v>0.77703999999999995</v>
      </c>
      <c r="N56" t="s">
        <v>73</v>
      </c>
      <c r="O56">
        <v>0.79766999999999999</v>
      </c>
      <c r="Q56" t="s">
        <v>97</v>
      </c>
      <c r="R56">
        <v>0.89954000000000001</v>
      </c>
      <c r="T56" t="s">
        <v>139</v>
      </c>
      <c r="U56" s="5">
        <v>27800</v>
      </c>
      <c r="V56">
        <v>6.5</v>
      </c>
      <c r="W56">
        <v>56</v>
      </c>
      <c r="X56">
        <v>0.457286432160804</v>
      </c>
      <c r="Y56">
        <v>56</v>
      </c>
      <c r="Z56">
        <v>0.457286432160804</v>
      </c>
    </row>
    <row r="57" spans="1:26" x14ac:dyDescent="0.2">
      <c r="A57" t="str">
        <f t="shared" si="0"/>
        <v>Russia</v>
      </c>
      <c r="B57" t="s">
        <v>93</v>
      </c>
      <c r="C57">
        <v>0.77659999999999996</v>
      </c>
      <c r="D57">
        <f t="shared" si="1"/>
        <v>28710</v>
      </c>
      <c r="E57">
        <f t="shared" si="2"/>
        <v>143.6</v>
      </c>
      <c r="F57">
        <f t="shared" si="3"/>
        <v>0.64380000000000004</v>
      </c>
      <c r="H57" t="s">
        <v>152</v>
      </c>
      <c r="I57">
        <v>0.6986</v>
      </c>
      <c r="K57" t="s">
        <v>93</v>
      </c>
      <c r="L57">
        <v>0.77659999999999996</v>
      </c>
      <c r="N57" t="s">
        <v>37</v>
      </c>
      <c r="O57">
        <v>0.79547999999999996</v>
      </c>
      <c r="Q57" t="s">
        <v>143</v>
      </c>
      <c r="R57">
        <v>0.89868999999999999</v>
      </c>
      <c r="T57" t="s">
        <v>141</v>
      </c>
      <c r="U57" s="5">
        <v>54640</v>
      </c>
      <c r="V57">
        <v>11.7</v>
      </c>
      <c r="W57">
        <v>57</v>
      </c>
      <c r="X57">
        <v>0.46105527638190957</v>
      </c>
      <c r="Y57">
        <v>57</v>
      </c>
      <c r="Z57">
        <v>0.46105527638190957</v>
      </c>
    </row>
    <row r="58" spans="1:26" x14ac:dyDescent="0.2">
      <c r="A58" t="str">
        <f t="shared" si="0"/>
        <v>Bulgaria</v>
      </c>
      <c r="B58" t="s">
        <v>139</v>
      </c>
      <c r="C58">
        <v>0.77271000000000001</v>
      </c>
      <c r="D58">
        <f t="shared" si="1"/>
        <v>27800</v>
      </c>
      <c r="E58">
        <f t="shared" si="2"/>
        <v>6.5</v>
      </c>
      <c r="F58">
        <f t="shared" si="3"/>
        <v>0.67120000000000002</v>
      </c>
      <c r="H58" t="s">
        <v>148</v>
      </c>
      <c r="I58">
        <v>0.6986</v>
      </c>
      <c r="K58" t="s">
        <v>139</v>
      </c>
      <c r="L58">
        <v>0.77271000000000001</v>
      </c>
      <c r="N58" t="s">
        <v>44</v>
      </c>
      <c r="O58">
        <v>0.79022999999999999</v>
      </c>
      <c r="Q58" t="s">
        <v>148</v>
      </c>
      <c r="R58">
        <v>0.89851000000000003</v>
      </c>
      <c r="T58" t="s">
        <v>51</v>
      </c>
      <c r="U58" s="5">
        <v>28650</v>
      </c>
      <c r="V58">
        <v>33.6</v>
      </c>
      <c r="W58">
        <v>58</v>
      </c>
      <c r="X58">
        <v>0.46482412060301509</v>
      </c>
      <c r="Y58">
        <v>58</v>
      </c>
      <c r="Z58">
        <v>0.46482412060301509</v>
      </c>
    </row>
    <row r="59" spans="1:26" x14ac:dyDescent="0.2">
      <c r="A59" t="str">
        <f t="shared" si="0"/>
        <v>Qatar</v>
      </c>
      <c r="B59" t="s">
        <v>137</v>
      </c>
      <c r="C59">
        <v>0.76549</v>
      </c>
      <c r="D59">
        <f t="shared" si="1"/>
        <v>88070</v>
      </c>
      <c r="E59">
        <f t="shared" si="2"/>
        <v>2.9</v>
      </c>
      <c r="F59">
        <f t="shared" si="3"/>
        <v>0.47949999999999998</v>
      </c>
      <c r="H59" t="s">
        <v>172</v>
      </c>
      <c r="I59">
        <v>0.68489999999999995</v>
      </c>
      <c r="K59" t="s">
        <v>137</v>
      </c>
      <c r="L59">
        <v>0.76549</v>
      </c>
      <c r="N59" t="s">
        <v>136</v>
      </c>
      <c r="O59">
        <v>0.78766000000000003</v>
      </c>
      <c r="Q59" t="s">
        <v>127</v>
      </c>
      <c r="R59">
        <v>0.89790999999999999</v>
      </c>
      <c r="T59" t="s">
        <v>144</v>
      </c>
      <c r="U59" s="5">
        <v>12480</v>
      </c>
      <c r="V59">
        <v>33.700000000000003</v>
      </c>
      <c r="W59">
        <v>59</v>
      </c>
      <c r="X59">
        <v>0.46859296482412061</v>
      </c>
      <c r="Y59">
        <v>59</v>
      </c>
      <c r="Z59">
        <v>0.46859296482412061</v>
      </c>
    </row>
    <row r="60" spans="1:26" x14ac:dyDescent="0.2">
      <c r="A60" t="str">
        <f t="shared" si="0"/>
        <v>Uzbekistan</v>
      </c>
      <c r="B60" t="s">
        <v>152</v>
      </c>
      <c r="C60">
        <v>0.76483999999999996</v>
      </c>
      <c r="D60">
        <f t="shared" si="1"/>
        <v>9470</v>
      </c>
      <c r="E60">
        <f t="shared" si="2"/>
        <v>35.299999999999997</v>
      </c>
      <c r="F60">
        <f t="shared" si="3"/>
        <v>0.6986</v>
      </c>
      <c r="H60" t="s">
        <v>139</v>
      </c>
      <c r="I60">
        <v>0.67120000000000002</v>
      </c>
      <c r="K60" t="s">
        <v>152</v>
      </c>
      <c r="L60">
        <v>0.76483999999999996</v>
      </c>
      <c r="N60" t="s">
        <v>147</v>
      </c>
      <c r="O60">
        <v>0.78449999999999998</v>
      </c>
      <c r="Q60" t="s">
        <v>107</v>
      </c>
      <c r="R60">
        <v>0.89512000000000003</v>
      </c>
      <c r="T60" t="s">
        <v>146</v>
      </c>
      <c r="U60" s="5">
        <v>35540</v>
      </c>
      <c r="V60">
        <v>9.6</v>
      </c>
      <c r="W60">
        <v>60</v>
      </c>
      <c r="X60">
        <v>0.47236180904522612</v>
      </c>
      <c r="Y60">
        <v>60</v>
      </c>
      <c r="Z60">
        <v>0.47236180904522612</v>
      </c>
    </row>
    <row r="61" spans="1:26" x14ac:dyDescent="0.2">
      <c r="A61" t="str">
        <f t="shared" si="0"/>
        <v>Mexico</v>
      </c>
      <c r="B61" t="s">
        <v>158</v>
      </c>
      <c r="C61">
        <v>0.76366000000000001</v>
      </c>
      <c r="D61">
        <f t="shared" si="1"/>
        <v>20960</v>
      </c>
      <c r="E61">
        <f t="shared" si="2"/>
        <v>127.5</v>
      </c>
      <c r="F61">
        <f t="shared" si="3"/>
        <v>0.73970000000000002</v>
      </c>
      <c r="H61" t="s">
        <v>100</v>
      </c>
      <c r="I61">
        <v>0.67120000000000002</v>
      </c>
      <c r="K61" t="s">
        <v>158</v>
      </c>
      <c r="L61">
        <v>0.76366000000000001</v>
      </c>
      <c r="N61" t="s">
        <v>149</v>
      </c>
      <c r="O61">
        <v>0.78356000000000003</v>
      </c>
      <c r="Q61" t="s">
        <v>102</v>
      </c>
      <c r="R61">
        <v>0.89405999999999997</v>
      </c>
      <c r="T61" t="s">
        <v>148</v>
      </c>
      <c r="U61" s="5">
        <v>38540</v>
      </c>
      <c r="V61">
        <v>5.4</v>
      </c>
      <c r="W61">
        <v>61</v>
      </c>
      <c r="X61">
        <v>0.47613065326633164</v>
      </c>
      <c r="Y61">
        <v>61</v>
      </c>
      <c r="Z61">
        <v>0.47613065326633164</v>
      </c>
    </row>
    <row r="62" spans="1:26" x14ac:dyDescent="0.2">
      <c r="A62" t="str">
        <f t="shared" si="0"/>
        <v>Italy</v>
      </c>
      <c r="B62" t="s">
        <v>132</v>
      </c>
      <c r="C62">
        <v>0.76239000000000001</v>
      </c>
      <c r="D62">
        <f t="shared" si="1"/>
        <v>47190</v>
      </c>
      <c r="E62">
        <f t="shared" si="2"/>
        <v>59</v>
      </c>
      <c r="F62">
        <f t="shared" si="3"/>
        <v>0.65749999999999997</v>
      </c>
      <c r="H62" t="s">
        <v>132</v>
      </c>
      <c r="I62">
        <v>0.65749999999999997</v>
      </c>
      <c r="K62" t="s">
        <v>132</v>
      </c>
      <c r="L62">
        <v>0.76239000000000001</v>
      </c>
      <c r="N62" t="s">
        <v>125</v>
      </c>
      <c r="O62">
        <v>0.77930999999999995</v>
      </c>
      <c r="Q62" t="s">
        <v>150</v>
      </c>
      <c r="R62">
        <v>0.89327000000000001</v>
      </c>
      <c r="T62" t="s">
        <v>150</v>
      </c>
      <c r="U62" s="5">
        <v>23340</v>
      </c>
      <c r="V62">
        <v>5.2</v>
      </c>
      <c r="W62">
        <v>62</v>
      </c>
      <c r="X62">
        <v>0.47989949748743721</v>
      </c>
      <c r="Y62">
        <v>62</v>
      </c>
      <c r="Z62">
        <v>0.47989949748743721</v>
      </c>
    </row>
    <row r="63" spans="1:26" x14ac:dyDescent="0.2">
      <c r="A63" t="str">
        <f t="shared" si="0"/>
        <v>Thailand</v>
      </c>
      <c r="B63" t="s">
        <v>135</v>
      </c>
      <c r="C63">
        <v>0.76105</v>
      </c>
      <c r="D63">
        <f t="shared" si="1"/>
        <v>19110</v>
      </c>
      <c r="E63">
        <f t="shared" si="2"/>
        <v>71.7</v>
      </c>
      <c r="F63">
        <f t="shared" si="3"/>
        <v>0.75339999999999996</v>
      </c>
      <c r="H63" t="s">
        <v>35</v>
      </c>
      <c r="I63">
        <v>0.65749999999999997</v>
      </c>
      <c r="K63" t="s">
        <v>135</v>
      </c>
      <c r="L63">
        <v>0.76105</v>
      </c>
      <c r="N63" t="s">
        <v>133</v>
      </c>
      <c r="O63">
        <v>0.77764</v>
      </c>
      <c r="Q63" t="s">
        <v>172</v>
      </c>
      <c r="R63">
        <v>0.89224000000000003</v>
      </c>
      <c r="T63" t="s">
        <v>151</v>
      </c>
      <c r="U63" s="5">
        <v>16000</v>
      </c>
      <c r="V63">
        <v>2.8</v>
      </c>
      <c r="W63">
        <v>63</v>
      </c>
      <c r="X63">
        <v>0.48366834170854273</v>
      </c>
      <c r="Y63">
        <v>63</v>
      </c>
      <c r="Z63">
        <v>0.48366834170854273</v>
      </c>
    </row>
    <row r="64" spans="1:26" x14ac:dyDescent="0.2">
      <c r="A64" t="str">
        <f t="shared" si="0"/>
        <v>Jordan</v>
      </c>
      <c r="B64" t="s">
        <v>209</v>
      </c>
      <c r="C64">
        <v>0.75905</v>
      </c>
      <c r="D64">
        <f t="shared" si="1"/>
        <v>11980</v>
      </c>
      <c r="E64">
        <f t="shared" si="2"/>
        <v>11.1</v>
      </c>
      <c r="F64">
        <f t="shared" si="3"/>
        <v>0.61639999999999995</v>
      </c>
      <c r="H64" t="s">
        <v>197</v>
      </c>
      <c r="I64">
        <v>0.65749999999999997</v>
      </c>
      <c r="K64" t="s">
        <v>209</v>
      </c>
      <c r="L64">
        <v>0.75905</v>
      </c>
      <c r="N64" t="s">
        <v>103</v>
      </c>
      <c r="O64">
        <v>0.77747999999999995</v>
      </c>
      <c r="Q64" t="s">
        <v>214</v>
      </c>
      <c r="R64">
        <v>0.89126000000000005</v>
      </c>
      <c r="T64" t="s">
        <v>152</v>
      </c>
      <c r="U64" s="5">
        <v>9470</v>
      </c>
      <c r="V64">
        <v>35.299999999999997</v>
      </c>
      <c r="W64">
        <v>64</v>
      </c>
      <c r="X64">
        <v>0.48743718592964824</v>
      </c>
      <c r="Y64">
        <v>64</v>
      </c>
      <c r="Z64">
        <v>0.48743718592964824</v>
      </c>
    </row>
    <row r="65" spans="1:26" x14ac:dyDescent="0.2">
      <c r="A65" t="str">
        <f t="shared" si="0"/>
        <v/>
      </c>
      <c r="B65" t="s">
        <v>37</v>
      </c>
      <c r="C65">
        <v>0.75553999999999999</v>
      </c>
      <c r="D65">
        <f t="shared" si="1"/>
        <v>82230</v>
      </c>
      <c r="E65">
        <f t="shared" si="2"/>
        <v>0.6</v>
      </c>
      <c r="F65">
        <f t="shared" si="3"/>
        <v>0.63009999999999999</v>
      </c>
      <c r="H65" t="s">
        <v>110</v>
      </c>
      <c r="I65">
        <v>0.65749999999999997</v>
      </c>
      <c r="K65" t="s">
        <v>37</v>
      </c>
      <c r="L65">
        <v>0.75553999999999999</v>
      </c>
      <c r="N65" t="s">
        <v>69</v>
      </c>
      <c r="O65">
        <v>0.77149999999999996</v>
      </c>
      <c r="Q65" t="s">
        <v>211</v>
      </c>
      <c r="R65">
        <v>0.88273000000000001</v>
      </c>
      <c r="T65" t="s">
        <v>156</v>
      </c>
      <c r="U65" s="5">
        <v>12310</v>
      </c>
      <c r="V65">
        <v>275.5</v>
      </c>
      <c r="W65">
        <v>65</v>
      </c>
      <c r="X65">
        <v>0.49120603015075376</v>
      </c>
      <c r="Y65">
        <v>65</v>
      </c>
      <c r="Z65">
        <v>0.49120603015075376</v>
      </c>
    </row>
    <row r="66" spans="1:26" x14ac:dyDescent="0.2">
      <c r="A66" t="str">
        <f t="shared" si="0"/>
        <v>Colombia</v>
      </c>
      <c r="B66" t="s">
        <v>165</v>
      </c>
      <c r="C66">
        <v>0.75209999999999999</v>
      </c>
      <c r="D66">
        <f t="shared" si="1"/>
        <v>16580</v>
      </c>
      <c r="E66">
        <f t="shared" si="2"/>
        <v>51.5</v>
      </c>
      <c r="F66">
        <f t="shared" si="3"/>
        <v>0.73970000000000002</v>
      </c>
      <c r="H66" t="s">
        <v>222</v>
      </c>
      <c r="I66">
        <v>0.65749999999999997</v>
      </c>
      <c r="K66" t="s">
        <v>165</v>
      </c>
      <c r="L66">
        <v>0.75209999999999999</v>
      </c>
      <c r="N66" t="s">
        <v>123</v>
      </c>
      <c r="O66">
        <v>0.76027</v>
      </c>
      <c r="Q66" t="s">
        <v>187</v>
      </c>
      <c r="R66">
        <v>0.88153999999999999</v>
      </c>
      <c r="T66" t="s">
        <v>158</v>
      </c>
      <c r="U66" s="5">
        <v>20960</v>
      </c>
      <c r="V66">
        <v>127.5</v>
      </c>
      <c r="W66">
        <v>66</v>
      </c>
      <c r="X66">
        <v>0.49497487437185933</v>
      </c>
      <c r="Y66">
        <v>66</v>
      </c>
      <c r="Z66">
        <v>0.49497487437185933</v>
      </c>
    </row>
    <row r="67" spans="1:26" x14ac:dyDescent="0.2">
      <c r="A67" t="str">
        <f t="shared" ref="A67:A130" si="4">IF(E67&gt;1, B67, "")</f>
        <v/>
      </c>
      <c r="B67" t="s">
        <v>35</v>
      </c>
      <c r="C67">
        <v>0.74156999999999995</v>
      </c>
      <c r="E67">
        <f t="shared" ref="E67:E130" si="5">INDEX($V$2:$V$194, MATCH(B67,$T$2:$T$194,0))</f>
        <v>0.04</v>
      </c>
      <c r="F67">
        <f t="shared" ref="F67:F130" si="6">INDEX($I$2:$I$194, MATCH(B67,$H$2:$H$194,0))</f>
        <v>0.65749999999999997</v>
      </c>
      <c r="H67" t="s">
        <v>127</v>
      </c>
      <c r="I67">
        <v>0.64380000000000004</v>
      </c>
      <c r="K67" t="s">
        <v>35</v>
      </c>
      <c r="L67">
        <v>0.74156999999999995</v>
      </c>
      <c r="N67" t="s">
        <v>142</v>
      </c>
      <c r="O67">
        <v>0.75800999999999996</v>
      </c>
      <c r="Q67" t="s">
        <v>124</v>
      </c>
      <c r="R67">
        <v>0.87824000000000002</v>
      </c>
      <c r="T67" t="s">
        <v>160</v>
      </c>
      <c r="U67" s="5">
        <v>74630</v>
      </c>
      <c r="V67">
        <v>4.3</v>
      </c>
      <c r="W67">
        <v>67</v>
      </c>
      <c r="X67">
        <v>0.49874371859296485</v>
      </c>
      <c r="Y67">
        <v>67</v>
      </c>
      <c r="Z67">
        <v>0.49874371859296485</v>
      </c>
    </row>
    <row r="68" spans="1:26" x14ac:dyDescent="0.2">
      <c r="A68" t="str">
        <f t="shared" si="4"/>
        <v>Azerbaijan</v>
      </c>
      <c r="B68" t="s">
        <v>176</v>
      </c>
      <c r="C68">
        <v>0.73863000000000001</v>
      </c>
      <c r="D68">
        <f t="shared" ref="D67:D130" si="7">INDEX($U$2:$U$194, MATCH(B68,$T$2:$T$194,0))</f>
        <v>14540</v>
      </c>
      <c r="E68">
        <f t="shared" si="5"/>
        <v>10.199999999999999</v>
      </c>
      <c r="F68">
        <f t="shared" si="6"/>
        <v>0.49320000000000003</v>
      </c>
      <c r="H68" t="s">
        <v>93</v>
      </c>
      <c r="I68">
        <v>0.64380000000000004</v>
      </c>
      <c r="K68" t="s">
        <v>176</v>
      </c>
      <c r="L68">
        <v>0.73863000000000001</v>
      </c>
      <c r="N68" t="s">
        <v>163</v>
      </c>
      <c r="O68">
        <v>0.75500999999999996</v>
      </c>
      <c r="Q68" t="s">
        <v>170</v>
      </c>
      <c r="R68">
        <v>0.87797000000000003</v>
      </c>
      <c r="T68" t="s">
        <v>161</v>
      </c>
      <c r="U68" s="5">
        <v>11500</v>
      </c>
      <c r="V68">
        <v>18.100000000000001</v>
      </c>
      <c r="W68">
        <v>68</v>
      </c>
      <c r="X68">
        <v>0.50251256281407031</v>
      </c>
      <c r="Y68">
        <v>68</v>
      </c>
      <c r="Z68">
        <v>0.50251256281407031</v>
      </c>
    </row>
    <row r="69" spans="1:26" x14ac:dyDescent="0.2">
      <c r="A69" t="str">
        <f t="shared" si="4"/>
        <v>Bangladesh</v>
      </c>
      <c r="B69" t="s">
        <v>230</v>
      </c>
      <c r="C69">
        <v>0.73743999999999998</v>
      </c>
      <c r="D69">
        <f t="shared" si="7"/>
        <v>6530</v>
      </c>
      <c r="E69">
        <f t="shared" si="5"/>
        <v>171.2</v>
      </c>
      <c r="F69">
        <f t="shared" si="6"/>
        <v>0.61639999999999995</v>
      </c>
      <c r="H69" t="s">
        <v>37</v>
      </c>
      <c r="I69">
        <v>0.63009999999999999</v>
      </c>
      <c r="K69" t="s">
        <v>230</v>
      </c>
      <c r="L69">
        <v>0.73743999999999998</v>
      </c>
      <c r="N69" t="s">
        <v>129</v>
      </c>
      <c r="O69">
        <v>0.75378000000000001</v>
      </c>
      <c r="Q69" t="s">
        <v>152</v>
      </c>
      <c r="R69">
        <v>0.87687000000000004</v>
      </c>
      <c r="T69" t="s">
        <v>165</v>
      </c>
      <c r="U69" s="5">
        <v>16580</v>
      </c>
      <c r="V69">
        <v>51.5</v>
      </c>
      <c r="W69">
        <v>69</v>
      </c>
      <c r="X69">
        <v>0.50628140703517588</v>
      </c>
      <c r="Y69">
        <v>69</v>
      </c>
      <c r="Z69">
        <v>0.50628140703517588</v>
      </c>
    </row>
    <row r="70" spans="1:26" x14ac:dyDescent="0.2">
      <c r="A70" t="str">
        <f t="shared" si="4"/>
        <v>Malaysia</v>
      </c>
      <c r="B70" t="s">
        <v>51</v>
      </c>
      <c r="C70">
        <v>0.72796000000000005</v>
      </c>
      <c r="D70">
        <f t="shared" si="7"/>
        <v>28650</v>
      </c>
      <c r="E70">
        <f t="shared" si="5"/>
        <v>33.6</v>
      </c>
      <c r="F70">
        <f t="shared" si="6"/>
        <v>0.6986</v>
      </c>
      <c r="H70" t="s">
        <v>111</v>
      </c>
      <c r="I70">
        <v>0.63009999999999999</v>
      </c>
      <c r="K70" t="s">
        <v>51</v>
      </c>
      <c r="L70">
        <v>0.72796000000000005</v>
      </c>
      <c r="N70" t="s">
        <v>167</v>
      </c>
      <c r="O70">
        <v>0.75202999999999998</v>
      </c>
      <c r="Q70" t="s">
        <v>57</v>
      </c>
      <c r="R70">
        <v>0.87280999999999997</v>
      </c>
      <c r="T70" t="s">
        <v>95</v>
      </c>
      <c r="U70" s="5">
        <v>18170</v>
      </c>
      <c r="V70">
        <v>3.7</v>
      </c>
      <c r="W70">
        <v>70</v>
      </c>
      <c r="X70">
        <v>0.51005025125628145</v>
      </c>
      <c r="Y70">
        <v>70</v>
      </c>
      <c r="Z70">
        <v>0.51005025125628145</v>
      </c>
    </row>
    <row r="71" spans="1:26" x14ac:dyDescent="0.2">
      <c r="A71" t="str">
        <f t="shared" si="4"/>
        <v>Moldova</v>
      </c>
      <c r="B71" t="s">
        <v>168</v>
      </c>
      <c r="C71">
        <v>0.72636000000000001</v>
      </c>
      <c r="D71">
        <f t="shared" si="7"/>
        <v>14260</v>
      </c>
      <c r="E71">
        <f t="shared" si="5"/>
        <v>2.6</v>
      </c>
      <c r="F71">
        <f t="shared" si="6"/>
        <v>0.72599999999999998</v>
      </c>
      <c r="H71" t="s">
        <v>209</v>
      </c>
      <c r="I71">
        <v>0.61639999999999995</v>
      </c>
      <c r="K71" t="s">
        <v>168</v>
      </c>
      <c r="L71">
        <v>0.72636000000000001</v>
      </c>
      <c r="N71" t="s">
        <v>126</v>
      </c>
      <c r="O71">
        <v>0.75149999999999995</v>
      </c>
      <c r="Q71" t="s">
        <v>241</v>
      </c>
      <c r="R71">
        <v>0.87141000000000002</v>
      </c>
      <c r="T71" t="s">
        <v>168</v>
      </c>
      <c r="U71" s="5">
        <v>14260</v>
      </c>
      <c r="V71">
        <v>2.6</v>
      </c>
      <c r="W71">
        <v>71</v>
      </c>
      <c r="X71">
        <v>0.51381909547738691</v>
      </c>
      <c r="Y71">
        <v>71</v>
      </c>
      <c r="Z71">
        <v>0.51381909547738691</v>
      </c>
    </row>
    <row r="72" spans="1:26" x14ac:dyDescent="0.2">
      <c r="A72" t="str">
        <f t="shared" si="4"/>
        <v>Belgium</v>
      </c>
      <c r="B72" t="s">
        <v>141</v>
      </c>
      <c r="C72">
        <v>0.72243999999999997</v>
      </c>
      <c r="D72">
        <f t="shared" si="7"/>
        <v>54640</v>
      </c>
      <c r="E72">
        <f t="shared" si="5"/>
        <v>11.7</v>
      </c>
      <c r="F72">
        <f t="shared" si="6"/>
        <v>0.50680000000000003</v>
      </c>
      <c r="H72" t="s">
        <v>230</v>
      </c>
      <c r="I72">
        <v>0.61639999999999995</v>
      </c>
      <c r="K72" t="s">
        <v>141</v>
      </c>
      <c r="L72">
        <v>0.72243999999999997</v>
      </c>
      <c r="N72" t="s">
        <v>171</v>
      </c>
      <c r="O72">
        <v>0.74877000000000005</v>
      </c>
      <c r="Q72" t="s">
        <v>141</v>
      </c>
      <c r="R72">
        <v>0.86983999999999995</v>
      </c>
      <c r="T72" t="s">
        <v>170</v>
      </c>
      <c r="U72" s="5">
        <v>11260</v>
      </c>
      <c r="V72">
        <v>98.2</v>
      </c>
      <c r="W72">
        <v>72</v>
      </c>
      <c r="X72">
        <v>0.51758793969849248</v>
      </c>
      <c r="Y72">
        <v>72</v>
      </c>
      <c r="Z72">
        <v>0.51758793969849248</v>
      </c>
    </row>
    <row r="73" spans="1:26" x14ac:dyDescent="0.2">
      <c r="A73" t="str">
        <f t="shared" si="4"/>
        <v>Costa Rica</v>
      </c>
      <c r="B73" t="s">
        <v>150</v>
      </c>
      <c r="C73">
        <v>0.72169000000000005</v>
      </c>
      <c r="D73">
        <f t="shared" si="7"/>
        <v>23340</v>
      </c>
      <c r="E73">
        <f t="shared" si="5"/>
        <v>5.2</v>
      </c>
      <c r="F73">
        <f t="shared" si="6"/>
        <v>0.72599999999999998</v>
      </c>
      <c r="H73" t="s">
        <v>191</v>
      </c>
      <c r="I73">
        <v>0.60270000000000001</v>
      </c>
      <c r="K73" t="s">
        <v>150</v>
      </c>
      <c r="L73">
        <v>0.72169000000000005</v>
      </c>
      <c r="N73" t="s">
        <v>108</v>
      </c>
      <c r="O73">
        <v>0.74690000000000001</v>
      </c>
      <c r="Q73" t="s">
        <v>251</v>
      </c>
      <c r="R73">
        <v>0.86745000000000005</v>
      </c>
      <c r="T73" t="s">
        <v>172</v>
      </c>
      <c r="U73" s="5">
        <v>34520</v>
      </c>
      <c r="V73">
        <v>19</v>
      </c>
      <c r="W73">
        <v>73</v>
      </c>
      <c r="X73">
        <v>0.52135678391959805</v>
      </c>
      <c r="Y73">
        <v>73</v>
      </c>
      <c r="Z73">
        <v>0.52135678391959805</v>
      </c>
    </row>
    <row r="74" spans="1:26" x14ac:dyDescent="0.2">
      <c r="A74" t="str">
        <f t="shared" si="4"/>
        <v>Hungary</v>
      </c>
      <c r="B74" t="s">
        <v>146</v>
      </c>
      <c r="C74">
        <v>0.71436999999999995</v>
      </c>
      <c r="D74">
        <f t="shared" si="7"/>
        <v>35540</v>
      </c>
      <c r="E74">
        <f t="shared" si="5"/>
        <v>9.6</v>
      </c>
      <c r="F74">
        <f t="shared" si="6"/>
        <v>0.54790000000000005</v>
      </c>
      <c r="H74" t="s">
        <v>170</v>
      </c>
      <c r="I74">
        <v>0.60270000000000001</v>
      </c>
      <c r="K74" t="s">
        <v>146</v>
      </c>
      <c r="L74">
        <v>0.71436999999999995</v>
      </c>
      <c r="N74" t="s">
        <v>131</v>
      </c>
      <c r="O74">
        <v>0.74563999999999997</v>
      </c>
      <c r="Q74" t="s">
        <v>100</v>
      </c>
      <c r="R74">
        <v>0.86568000000000001</v>
      </c>
      <c r="T74" t="s">
        <v>175</v>
      </c>
      <c r="U74" s="5">
        <v>9820</v>
      </c>
      <c r="V74">
        <v>115.6</v>
      </c>
      <c r="W74">
        <v>74</v>
      </c>
      <c r="X74">
        <v>0.52512562814070352</v>
      </c>
      <c r="Y74">
        <v>74</v>
      </c>
      <c r="Z74">
        <v>0.52512562814070352</v>
      </c>
    </row>
    <row r="75" spans="1:26" x14ac:dyDescent="0.2">
      <c r="A75" t="str">
        <f t="shared" si="4"/>
        <v>Slovakia</v>
      </c>
      <c r="B75" t="s">
        <v>148</v>
      </c>
      <c r="C75">
        <v>0.70969000000000004</v>
      </c>
      <c r="D75">
        <f t="shared" si="7"/>
        <v>38540</v>
      </c>
      <c r="E75">
        <f t="shared" si="5"/>
        <v>5.4</v>
      </c>
      <c r="F75">
        <f t="shared" si="6"/>
        <v>0.6986</v>
      </c>
      <c r="H75" t="s">
        <v>218</v>
      </c>
      <c r="I75">
        <v>0.58899999999999997</v>
      </c>
      <c r="K75" t="s">
        <v>148</v>
      </c>
      <c r="L75">
        <v>0.70969000000000004</v>
      </c>
      <c r="N75" t="s">
        <v>145</v>
      </c>
      <c r="O75">
        <v>0.74392000000000003</v>
      </c>
      <c r="Q75" t="s">
        <v>195</v>
      </c>
      <c r="R75">
        <v>0.86521999999999999</v>
      </c>
      <c r="T75" t="s">
        <v>176</v>
      </c>
      <c r="U75" s="5">
        <v>14540</v>
      </c>
      <c r="V75">
        <v>10.199999999999999</v>
      </c>
      <c r="W75">
        <v>75</v>
      </c>
      <c r="X75">
        <v>0.52889447236180898</v>
      </c>
      <c r="Y75">
        <v>75</v>
      </c>
      <c r="Z75">
        <v>0.52889447236180898</v>
      </c>
    </row>
    <row r="76" spans="1:26" x14ac:dyDescent="0.2">
      <c r="A76" t="str">
        <f t="shared" si="4"/>
        <v>Vietnam</v>
      </c>
      <c r="B76" t="s">
        <v>170</v>
      </c>
      <c r="C76">
        <v>0.70811000000000002</v>
      </c>
      <c r="D76">
        <f t="shared" si="7"/>
        <v>11260</v>
      </c>
      <c r="E76">
        <f t="shared" si="5"/>
        <v>98.2</v>
      </c>
      <c r="F76">
        <f t="shared" si="6"/>
        <v>0.60270000000000001</v>
      </c>
      <c r="H76" t="s">
        <v>121</v>
      </c>
      <c r="I76">
        <v>0.58899999999999997</v>
      </c>
      <c r="K76" t="s">
        <v>170</v>
      </c>
      <c r="L76">
        <v>0.70811000000000002</v>
      </c>
      <c r="N76" t="s">
        <v>134</v>
      </c>
      <c r="O76">
        <v>0.74187999999999998</v>
      </c>
      <c r="Q76" t="s">
        <v>256</v>
      </c>
      <c r="R76">
        <v>0.86495</v>
      </c>
      <c r="T76" t="s">
        <v>179</v>
      </c>
      <c r="U76" s="5">
        <v>83530</v>
      </c>
      <c r="V76">
        <v>0.4</v>
      </c>
      <c r="W76">
        <v>76</v>
      </c>
      <c r="X76">
        <v>0.53266331658291466</v>
      </c>
      <c r="Y76">
        <v>76</v>
      </c>
      <c r="Z76">
        <v>0.53266331658291466</v>
      </c>
    </row>
    <row r="77" spans="1:26" x14ac:dyDescent="0.2">
      <c r="A77" t="str">
        <f t="shared" si="4"/>
        <v>Pakistan</v>
      </c>
      <c r="B77" t="s">
        <v>297</v>
      </c>
      <c r="C77">
        <v>0.70416999999999996</v>
      </c>
      <c r="D77">
        <f t="shared" si="7"/>
        <v>5860</v>
      </c>
      <c r="E77">
        <f t="shared" si="5"/>
        <v>235.8</v>
      </c>
      <c r="F77">
        <f t="shared" si="6"/>
        <v>0.49320000000000003</v>
      </c>
      <c r="H77" t="s">
        <v>182</v>
      </c>
      <c r="I77">
        <v>0.57530000000000003</v>
      </c>
      <c r="K77" t="s">
        <v>297</v>
      </c>
      <c r="L77">
        <v>0.70416999999999996</v>
      </c>
      <c r="N77" t="s">
        <v>184</v>
      </c>
      <c r="O77">
        <v>0.74131000000000002</v>
      </c>
      <c r="Q77" t="s">
        <v>156</v>
      </c>
      <c r="R77">
        <v>0.86448000000000003</v>
      </c>
      <c r="T77" t="s">
        <v>181</v>
      </c>
      <c r="U77" s="5">
        <v>24310</v>
      </c>
      <c r="V77">
        <v>1.3</v>
      </c>
      <c r="W77">
        <v>77</v>
      </c>
      <c r="X77">
        <v>0.53643216080402012</v>
      </c>
      <c r="Y77">
        <v>77</v>
      </c>
      <c r="Z77">
        <v>0.53643216080402012</v>
      </c>
    </row>
    <row r="78" spans="1:26" x14ac:dyDescent="0.2">
      <c r="A78" t="str">
        <f t="shared" si="4"/>
        <v>Czechia</v>
      </c>
      <c r="B78" t="s">
        <v>121</v>
      </c>
      <c r="C78">
        <v>0.70062999999999998</v>
      </c>
      <c r="D78">
        <f t="shared" si="7"/>
        <v>45130</v>
      </c>
      <c r="E78">
        <f t="shared" si="5"/>
        <v>10.7</v>
      </c>
      <c r="F78">
        <f t="shared" si="6"/>
        <v>0.58899999999999997</v>
      </c>
      <c r="H78" t="s">
        <v>95</v>
      </c>
      <c r="I78">
        <v>0.56159999999999999</v>
      </c>
      <c r="K78" t="s">
        <v>121</v>
      </c>
      <c r="L78">
        <v>0.70062999999999998</v>
      </c>
      <c r="N78" t="s">
        <v>178</v>
      </c>
      <c r="O78">
        <v>0.73762000000000005</v>
      </c>
      <c r="Q78" t="s">
        <v>188</v>
      </c>
      <c r="R78">
        <v>0.85229999999999995</v>
      </c>
      <c r="T78" t="s">
        <v>185</v>
      </c>
      <c r="U78" s="5">
        <v>20080</v>
      </c>
      <c r="V78">
        <v>9.3000000000000007</v>
      </c>
      <c r="W78">
        <v>78</v>
      </c>
      <c r="X78">
        <v>0.54020100502512558</v>
      </c>
      <c r="Y78">
        <v>78</v>
      </c>
      <c r="Z78">
        <v>0.54020100502512558</v>
      </c>
    </row>
    <row r="79" spans="1:26" x14ac:dyDescent="0.2">
      <c r="A79" t="str">
        <f t="shared" si="4"/>
        <v>Egypt</v>
      </c>
      <c r="B79" t="s">
        <v>218</v>
      </c>
      <c r="C79">
        <v>0.70016</v>
      </c>
      <c r="D79">
        <f t="shared" si="7"/>
        <v>14000</v>
      </c>
      <c r="E79">
        <f t="shared" si="5"/>
        <v>110.9</v>
      </c>
      <c r="F79">
        <f t="shared" si="6"/>
        <v>0.58899999999999997</v>
      </c>
      <c r="H79" t="s">
        <v>206</v>
      </c>
      <c r="I79">
        <v>0.54790000000000005</v>
      </c>
      <c r="K79" t="s">
        <v>218</v>
      </c>
      <c r="L79">
        <v>0.70016</v>
      </c>
      <c r="N79" t="s">
        <v>98</v>
      </c>
      <c r="O79">
        <v>0.72933999999999999</v>
      </c>
      <c r="Q79" t="s">
        <v>13</v>
      </c>
      <c r="R79">
        <v>0.84277999999999997</v>
      </c>
      <c r="T79" t="s">
        <v>187</v>
      </c>
      <c r="U79" s="5">
        <v>5300</v>
      </c>
      <c r="V79">
        <v>6.7</v>
      </c>
      <c r="W79">
        <v>79</v>
      </c>
      <c r="X79">
        <v>0.54396984924623115</v>
      </c>
      <c r="Y79">
        <v>79</v>
      </c>
      <c r="Z79">
        <v>0.54396984924623115</v>
      </c>
    </row>
    <row r="80" spans="1:26" x14ac:dyDescent="0.2">
      <c r="A80" t="str">
        <f t="shared" si="4"/>
        <v/>
      </c>
      <c r="B80" t="s">
        <v>252</v>
      </c>
      <c r="C80">
        <v>0.68916999999999995</v>
      </c>
      <c r="D80">
        <f t="shared" si="7"/>
        <v>7000</v>
      </c>
      <c r="E80">
        <f t="shared" si="5"/>
        <v>0.6</v>
      </c>
      <c r="F80">
        <f t="shared" si="6"/>
        <v>0.54790000000000005</v>
      </c>
      <c r="H80" t="s">
        <v>245</v>
      </c>
      <c r="I80">
        <v>0.54790000000000005</v>
      </c>
      <c r="K80" t="s">
        <v>252</v>
      </c>
      <c r="L80">
        <v>0.68916999999999995</v>
      </c>
      <c r="N80" t="s">
        <v>164</v>
      </c>
      <c r="O80">
        <v>0.72665000000000002</v>
      </c>
      <c r="Q80" t="s">
        <v>111</v>
      </c>
      <c r="R80">
        <v>0.84253999999999996</v>
      </c>
      <c r="T80" t="s">
        <v>188</v>
      </c>
      <c r="U80" s="5">
        <v>30990</v>
      </c>
      <c r="V80">
        <v>4.4000000000000004</v>
      </c>
      <c r="W80">
        <v>80</v>
      </c>
      <c r="X80">
        <v>0.54773869346733672</v>
      </c>
      <c r="Y80">
        <v>80</v>
      </c>
      <c r="Z80">
        <v>0.54773869346733672</v>
      </c>
    </row>
    <row r="81" spans="1:26" x14ac:dyDescent="0.2">
      <c r="A81" t="str">
        <f t="shared" si="4"/>
        <v>Paraguay</v>
      </c>
      <c r="B81" t="s">
        <v>191</v>
      </c>
      <c r="C81">
        <v>0.67115000000000002</v>
      </c>
      <c r="D81">
        <f t="shared" si="7"/>
        <v>13990</v>
      </c>
      <c r="E81">
        <f t="shared" si="5"/>
        <v>7.3</v>
      </c>
      <c r="F81">
        <f t="shared" si="6"/>
        <v>0.60270000000000001</v>
      </c>
      <c r="H81" t="s">
        <v>252</v>
      </c>
      <c r="I81">
        <v>0.54790000000000005</v>
      </c>
      <c r="K81" t="s">
        <v>191</v>
      </c>
      <c r="L81">
        <v>0.67115000000000002</v>
      </c>
      <c r="N81" t="s">
        <v>128</v>
      </c>
      <c r="O81">
        <v>0.72555999999999998</v>
      </c>
      <c r="Q81" t="s">
        <v>144</v>
      </c>
      <c r="R81">
        <v>0.83638000000000001</v>
      </c>
      <c r="T81" t="s">
        <v>191</v>
      </c>
      <c r="U81" s="5">
        <v>13990</v>
      </c>
      <c r="V81">
        <v>7.3</v>
      </c>
      <c r="W81">
        <v>81</v>
      </c>
      <c r="X81">
        <v>0.55150753768844218</v>
      </c>
      <c r="Y81">
        <v>81</v>
      </c>
      <c r="Z81">
        <v>0.55150753768844218</v>
      </c>
    </row>
    <row r="82" spans="1:26" x14ac:dyDescent="0.2">
      <c r="A82" t="str">
        <f t="shared" si="4"/>
        <v>North Macedonia</v>
      </c>
      <c r="B82" t="s">
        <v>182</v>
      </c>
      <c r="C82">
        <v>0.66415000000000002</v>
      </c>
      <c r="D82">
        <f t="shared" si="7"/>
        <v>18210</v>
      </c>
      <c r="E82">
        <f t="shared" si="5"/>
        <v>2.1</v>
      </c>
      <c r="F82">
        <f t="shared" si="6"/>
        <v>0.57530000000000003</v>
      </c>
      <c r="H82" t="s">
        <v>146</v>
      </c>
      <c r="I82">
        <v>0.54790000000000005</v>
      </c>
      <c r="K82" t="s">
        <v>182</v>
      </c>
      <c r="L82">
        <v>0.66415000000000002</v>
      </c>
      <c r="N82" t="s">
        <v>162</v>
      </c>
      <c r="O82">
        <v>0.72328999999999999</v>
      </c>
      <c r="Q82" t="s">
        <v>201</v>
      </c>
      <c r="R82">
        <v>0.83565999999999996</v>
      </c>
      <c r="T82" t="s">
        <v>115</v>
      </c>
      <c r="U82" s="5">
        <v>22940</v>
      </c>
      <c r="V82">
        <v>0.6</v>
      </c>
      <c r="W82">
        <v>82</v>
      </c>
      <c r="X82">
        <v>0.55527638190954776</v>
      </c>
      <c r="Y82">
        <v>82</v>
      </c>
      <c r="Z82">
        <v>0.55527638190954776</v>
      </c>
    </row>
    <row r="83" spans="1:26" x14ac:dyDescent="0.2">
      <c r="A83" t="str">
        <f t="shared" si="4"/>
        <v>Romania</v>
      </c>
      <c r="B83" t="s">
        <v>172</v>
      </c>
      <c r="C83">
        <v>0.65476999999999996</v>
      </c>
      <c r="D83">
        <f t="shared" si="7"/>
        <v>34520</v>
      </c>
      <c r="E83">
        <f t="shared" si="5"/>
        <v>19</v>
      </c>
      <c r="F83">
        <f t="shared" si="6"/>
        <v>0.68489999999999995</v>
      </c>
      <c r="H83" t="s">
        <v>248</v>
      </c>
      <c r="I83">
        <v>0.53420000000000001</v>
      </c>
      <c r="K83" t="s">
        <v>172</v>
      </c>
      <c r="L83">
        <v>0.65476999999999996</v>
      </c>
      <c r="N83" t="s">
        <v>174</v>
      </c>
      <c r="O83">
        <v>0.72021000000000002</v>
      </c>
      <c r="Q83" t="s">
        <v>50</v>
      </c>
      <c r="R83">
        <v>0.83221000000000001</v>
      </c>
      <c r="T83" t="s">
        <v>193</v>
      </c>
      <c r="U83" s="8" t="s">
        <v>118</v>
      </c>
      <c r="V83">
        <v>0.04</v>
      </c>
      <c r="W83">
        <v>83</v>
      </c>
      <c r="X83">
        <v>0.55904522613065333</v>
      </c>
      <c r="Y83">
        <v>83</v>
      </c>
      <c r="Z83">
        <v>0.55904522613065333</v>
      </c>
    </row>
    <row r="84" spans="1:26" x14ac:dyDescent="0.2">
      <c r="A84" t="str">
        <f t="shared" si="4"/>
        <v>Guatemala</v>
      </c>
      <c r="B84" t="s">
        <v>272</v>
      </c>
      <c r="C84">
        <v>0.65378999999999998</v>
      </c>
      <c r="D84">
        <f t="shared" si="7"/>
        <v>9110</v>
      </c>
      <c r="E84">
        <f t="shared" si="5"/>
        <v>18.100000000000001</v>
      </c>
      <c r="F84">
        <f t="shared" si="6"/>
        <v>0.46579999999999999</v>
      </c>
      <c r="H84" t="s">
        <v>249</v>
      </c>
      <c r="I84">
        <v>0.52049999999999996</v>
      </c>
      <c r="K84" t="s">
        <v>272</v>
      </c>
      <c r="L84">
        <v>0.65378999999999998</v>
      </c>
      <c r="N84" t="s">
        <v>51</v>
      </c>
      <c r="O84">
        <v>0.71921000000000002</v>
      </c>
      <c r="Q84" t="s">
        <v>158</v>
      </c>
      <c r="R84">
        <v>0.83101000000000003</v>
      </c>
      <c r="T84" t="s">
        <v>195</v>
      </c>
      <c r="U84" s="5">
        <v>34860</v>
      </c>
      <c r="V84">
        <v>0.4</v>
      </c>
      <c r="W84">
        <v>84</v>
      </c>
      <c r="X84">
        <v>0.56281407035175879</v>
      </c>
      <c r="Y84">
        <v>84</v>
      </c>
      <c r="Z84">
        <v>0.56281407035175879</v>
      </c>
    </row>
    <row r="85" spans="1:26" x14ac:dyDescent="0.2">
      <c r="A85" t="str">
        <f t="shared" si="4"/>
        <v>Panama</v>
      </c>
      <c r="B85" t="s">
        <v>188</v>
      </c>
      <c r="C85">
        <v>0.65049000000000001</v>
      </c>
      <c r="D85">
        <f t="shared" si="7"/>
        <v>30990</v>
      </c>
      <c r="E85">
        <f t="shared" si="5"/>
        <v>4.4000000000000004</v>
      </c>
      <c r="F85">
        <f t="shared" si="6"/>
        <v>0.52049999999999996</v>
      </c>
      <c r="H85" t="s">
        <v>188</v>
      </c>
      <c r="I85">
        <v>0.52049999999999996</v>
      </c>
      <c r="K85" t="s">
        <v>188</v>
      </c>
      <c r="L85">
        <v>0.65049000000000001</v>
      </c>
      <c r="N85" t="s">
        <v>115</v>
      </c>
      <c r="O85">
        <v>0.71904000000000001</v>
      </c>
      <c r="Q85" t="s">
        <v>146</v>
      </c>
      <c r="R85">
        <v>0.82821</v>
      </c>
      <c r="T85" t="s">
        <v>182</v>
      </c>
      <c r="U85" s="5">
        <v>18210</v>
      </c>
      <c r="V85">
        <v>2.1</v>
      </c>
      <c r="W85">
        <v>85</v>
      </c>
      <c r="X85">
        <v>0.56658291457286425</v>
      </c>
      <c r="Y85">
        <v>85</v>
      </c>
      <c r="Z85">
        <v>0.56658291457286425</v>
      </c>
    </row>
    <row r="86" spans="1:26" x14ac:dyDescent="0.2">
      <c r="A86" t="str">
        <f t="shared" si="4"/>
        <v>Dominican Republic</v>
      </c>
      <c r="B86" t="s">
        <v>197</v>
      </c>
      <c r="C86">
        <v>0.64046999999999998</v>
      </c>
      <c r="D86">
        <f t="shared" si="7"/>
        <v>20640</v>
      </c>
      <c r="E86">
        <f t="shared" si="5"/>
        <v>10.8</v>
      </c>
      <c r="F86">
        <f t="shared" si="6"/>
        <v>0.65749999999999997</v>
      </c>
      <c r="H86" t="s">
        <v>115</v>
      </c>
      <c r="I86">
        <v>0.50680000000000003</v>
      </c>
      <c r="K86" t="s">
        <v>197</v>
      </c>
      <c r="L86">
        <v>0.64046999999999998</v>
      </c>
      <c r="N86" t="s">
        <v>153</v>
      </c>
      <c r="O86">
        <v>0.71889999999999998</v>
      </c>
      <c r="Q86" t="s">
        <v>270</v>
      </c>
      <c r="R86">
        <v>0.82630000000000003</v>
      </c>
      <c r="T86" t="s">
        <v>197</v>
      </c>
      <c r="U86" s="5">
        <v>20640</v>
      </c>
      <c r="V86">
        <v>10.8</v>
      </c>
      <c r="W86">
        <v>86</v>
      </c>
      <c r="X86">
        <v>0.57035175879396993</v>
      </c>
      <c r="Y86">
        <v>86</v>
      </c>
      <c r="Z86">
        <v>0.57035175879396993</v>
      </c>
    </row>
    <row r="87" spans="1:26" x14ac:dyDescent="0.2">
      <c r="A87" t="str">
        <f t="shared" si="4"/>
        <v>Kuwait</v>
      </c>
      <c r="B87" t="s">
        <v>160</v>
      </c>
      <c r="C87">
        <v>0.63654999999999995</v>
      </c>
      <c r="D87">
        <f t="shared" si="7"/>
        <v>74630</v>
      </c>
      <c r="E87">
        <f t="shared" si="5"/>
        <v>4.3</v>
      </c>
      <c r="F87">
        <f t="shared" si="6"/>
        <v>0.3014</v>
      </c>
      <c r="H87" t="s">
        <v>141</v>
      </c>
      <c r="I87">
        <v>0.50680000000000003</v>
      </c>
      <c r="K87" t="s">
        <v>160</v>
      </c>
      <c r="L87">
        <v>0.63654999999999995</v>
      </c>
      <c r="N87" t="s">
        <v>200</v>
      </c>
      <c r="O87">
        <v>0.71757000000000004</v>
      </c>
      <c r="Q87" t="s">
        <v>176</v>
      </c>
      <c r="R87">
        <v>0.82033999999999996</v>
      </c>
      <c r="T87" t="s">
        <v>199</v>
      </c>
      <c r="U87" s="5">
        <v>26730</v>
      </c>
      <c r="V87">
        <v>1.4</v>
      </c>
      <c r="W87">
        <v>87</v>
      </c>
      <c r="X87">
        <v>0.57412060301507539</v>
      </c>
      <c r="Y87">
        <v>87</v>
      </c>
      <c r="Z87">
        <v>0.57412060301507539</v>
      </c>
    </row>
    <row r="88" spans="1:26" x14ac:dyDescent="0.2">
      <c r="A88" t="str">
        <f t="shared" si="4"/>
        <v/>
      </c>
      <c r="B88" t="s">
        <v>203</v>
      </c>
      <c r="C88">
        <v>0.62200999999999995</v>
      </c>
      <c r="D88">
        <f t="shared" si="7"/>
        <v>19150</v>
      </c>
      <c r="E88">
        <f t="shared" si="5"/>
        <v>0.5</v>
      </c>
      <c r="F88">
        <f t="shared" si="6"/>
        <v>0.47949999999999998</v>
      </c>
      <c r="H88" t="s">
        <v>338</v>
      </c>
      <c r="I88">
        <v>0.50680000000000003</v>
      </c>
      <c r="K88" t="s">
        <v>203</v>
      </c>
      <c r="L88">
        <v>0.62200999999999995</v>
      </c>
      <c r="N88" t="s">
        <v>204</v>
      </c>
      <c r="O88">
        <v>0.71738999999999997</v>
      </c>
      <c r="Q88" t="s">
        <v>234</v>
      </c>
      <c r="R88">
        <v>0.81694999999999995</v>
      </c>
      <c r="T88" t="s">
        <v>201</v>
      </c>
      <c r="U88" s="5">
        <v>11870</v>
      </c>
      <c r="V88">
        <v>12.3</v>
      </c>
      <c r="W88">
        <v>88</v>
      </c>
      <c r="X88">
        <v>0.57788944723618085</v>
      </c>
      <c r="Y88">
        <v>88</v>
      </c>
      <c r="Z88">
        <v>0.57788944723618085</v>
      </c>
    </row>
    <row r="89" spans="1:26" x14ac:dyDescent="0.2">
      <c r="A89" t="str">
        <f t="shared" si="4"/>
        <v>Ghana</v>
      </c>
      <c r="B89" t="s">
        <v>248</v>
      </c>
      <c r="C89">
        <v>0.60836999999999997</v>
      </c>
      <c r="D89">
        <f t="shared" si="7"/>
        <v>6220</v>
      </c>
      <c r="E89">
        <f t="shared" si="5"/>
        <v>32.799999999999997</v>
      </c>
      <c r="F89">
        <f t="shared" si="6"/>
        <v>0.53420000000000001</v>
      </c>
      <c r="H89" t="s">
        <v>297</v>
      </c>
      <c r="I89">
        <v>0.49320000000000003</v>
      </c>
      <c r="K89" t="s">
        <v>248</v>
      </c>
      <c r="L89">
        <v>0.60836999999999997</v>
      </c>
      <c r="N89" t="s">
        <v>207</v>
      </c>
      <c r="O89">
        <v>0.71480999999999995</v>
      </c>
      <c r="Q89" t="s">
        <v>261</v>
      </c>
      <c r="R89">
        <v>0.81289999999999996</v>
      </c>
      <c r="T89" t="s">
        <v>206</v>
      </c>
      <c r="U89" s="8" t="s">
        <v>118</v>
      </c>
      <c r="V89">
        <v>0.08</v>
      </c>
      <c r="W89">
        <v>89</v>
      </c>
      <c r="X89">
        <v>0.58165829145728642</v>
      </c>
      <c r="Y89">
        <v>89</v>
      </c>
      <c r="Z89">
        <v>0.58165829145728642</v>
      </c>
    </row>
    <row r="90" spans="1:26" x14ac:dyDescent="0.2">
      <c r="A90" t="str">
        <f t="shared" si="4"/>
        <v>Kyrgyzstan</v>
      </c>
      <c r="B90" t="s">
        <v>187</v>
      </c>
      <c r="C90">
        <v>0.60723000000000005</v>
      </c>
      <c r="D90">
        <f t="shared" si="7"/>
        <v>5300</v>
      </c>
      <c r="E90">
        <f t="shared" si="5"/>
        <v>6.7</v>
      </c>
      <c r="F90">
        <f t="shared" si="6"/>
        <v>0.46579999999999999</v>
      </c>
      <c r="H90" t="s">
        <v>176</v>
      </c>
      <c r="I90">
        <v>0.49320000000000003</v>
      </c>
      <c r="K90" t="s">
        <v>187</v>
      </c>
      <c r="L90">
        <v>0.60723000000000005</v>
      </c>
      <c r="N90" t="s">
        <v>210</v>
      </c>
      <c r="O90">
        <v>0.71148999999999996</v>
      </c>
      <c r="Q90" t="s">
        <v>168</v>
      </c>
      <c r="R90">
        <v>0.81179999999999997</v>
      </c>
      <c r="T90" t="s">
        <v>209</v>
      </c>
      <c r="U90" s="5">
        <v>11980</v>
      </c>
      <c r="V90">
        <v>11.1</v>
      </c>
      <c r="W90">
        <v>90</v>
      </c>
      <c r="X90">
        <v>0.585427135678392</v>
      </c>
      <c r="Y90">
        <v>90</v>
      </c>
      <c r="Z90">
        <v>0.585427135678392</v>
      </c>
    </row>
    <row r="91" spans="1:26" x14ac:dyDescent="0.2">
      <c r="A91" t="str">
        <f t="shared" si="4"/>
        <v>Uganda</v>
      </c>
      <c r="B91" t="s">
        <v>319</v>
      </c>
      <c r="C91">
        <v>0.60690999999999995</v>
      </c>
      <c r="D91">
        <f t="shared" si="7"/>
        <v>2370</v>
      </c>
      <c r="E91">
        <f t="shared" si="5"/>
        <v>45.9</v>
      </c>
      <c r="F91">
        <f t="shared" si="6"/>
        <v>0.43840000000000001</v>
      </c>
      <c r="H91" t="s">
        <v>185</v>
      </c>
      <c r="I91">
        <v>0.49320000000000003</v>
      </c>
      <c r="K91" t="s">
        <v>319</v>
      </c>
      <c r="L91">
        <v>0.60690999999999995</v>
      </c>
      <c r="N91" t="s">
        <v>30</v>
      </c>
      <c r="O91">
        <v>0.71135000000000004</v>
      </c>
      <c r="Q91" t="s">
        <v>122</v>
      </c>
      <c r="R91">
        <v>0.80781999999999998</v>
      </c>
      <c r="T91" t="s">
        <v>211</v>
      </c>
      <c r="U91" s="5">
        <v>9230</v>
      </c>
      <c r="V91">
        <v>37.799999999999997</v>
      </c>
      <c r="W91">
        <v>91</v>
      </c>
      <c r="X91">
        <v>0.58919597989949746</v>
      </c>
      <c r="Y91">
        <v>91</v>
      </c>
      <c r="Z91">
        <v>0.58919597989949746</v>
      </c>
    </row>
    <row r="92" spans="1:26" x14ac:dyDescent="0.2">
      <c r="A92" t="str">
        <f t="shared" si="4"/>
        <v>Trinidad and Tobago</v>
      </c>
      <c r="B92" t="s">
        <v>199</v>
      </c>
      <c r="C92">
        <v>0.59989000000000003</v>
      </c>
      <c r="D92">
        <f t="shared" si="7"/>
        <v>26730</v>
      </c>
      <c r="E92">
        <f t="shared" si="5"/>
        <v>1.4</v>
      </c>
      <c r="F92">
        <f t="shared" si="6"/>
        <v>0.32879999999999998</v>
      </c>
      <c r="H92" t="s">
        <v>234</v>
      </c>
      <c r="I92">
        <v>0.49320000000000003</v>
      </c>
      <c r="K92" t="s">
        <v>199</v>
      </c>
      <c r="L92">
        <v>0.59989000000000003</v>
      </c>
      <c r="N92" t="s">
        <v>173</v>
      </c>
      <c r="O92">
        <v>0.70931999999999995</v>
      </c>
      <c r="Q92" t="s">
        <v>130</v>
      </c>
      <c r="R92">
        <v>0.80684999999999996</v>
      </c>
      <c r="T92" t="s">
        <v>213</v>
      </c>
      <c r="U92" s="5">
        <v>17450</v>
      </c>
      <c r="V92">
        <v>0.3</v>
      </c>
      <c r="W92">
        <v>92</v>
      </c>
      <c r="X92">
        <v>0.59296482412060303</v>
      </c>
      <c r="Y92">
        <v>92</v>
      </c>
      <c r="Z92">
        <v>0.59296482412060303</v>
      </c>
    </row>
    <row r="93" spans="1:26" x14ac:dyDescent="0.2">
      <c r="A93" t="str">
        <f t="shared" si="4"/>
        <v>Bolivia</v>
      </c>
      <c r="B93" t="s">
        <v>228</v>
      </c>
      <c r="C93">
        <v>0.59869000000000006</v>
      </c>
      <c r="D93">
        <f t="shared" si="7"/>
        <v>8550</v>
      </c>
      <c r="E93">
        <f t="shared" si="5"/>
        <v>12.1</v>
      </c>
      <c r="F93">
        <f t="shared" si="6"/>
        <v>0.42470000000000002</v>
      </c>
      <c r="H93" t="s">
        <v>203</v>
      </c>
      <c r="I93">
        <v>0.47949999999999998</v>
      </c>
      <c r="K93" t="s">
        <v>228</v>
      </c>
      <c r="L93">
        <v>0.59869000000000006</v>
      </c>
      <c r="N93" t="s">
        <v>21</v>
      </c>
      <c r="O93">
        <v>0.70830000000000004</v>
      </c>
      <c r="Q93" t="s">
        <v>165</v>
      </c>
      <c r="R93">
        <v>0.80654000000000003</v>
      </c>
      <c r="T93" t="s">
        <v>214</v>
      </c>
      <c r="U93" s="5">
        <v>26320</v>
      </c>
      <c r="V93">
        <v>0.1</v>
      </c>
      <c r="W93">
        <v>93</v>
      </c>
      <c r="X93">
        <v>0.5967336683417086</v>
      </c>
      <c r="Y93">
        <v>93</v>
      </c>
      <c r="Z93">
        <v>0.5967336683417086</v>
      </c>
    </row>
    <row r="94" spans="1:26" x14ac:dyDescent="0.2">
      <c r="A94" t="str">
        <f t="shared" si="4"/>
        <v>Tunisia</v>
      </c>
      <c r="B94" t="s">
        <v>201</v>
      </c>
      <c r="C94">
        <v>0.59506999999999999</v>
      </c>
      <c r="D94">
        <f t="shared" si="7"/>
        <v>11870</v>
      </c>
      <c r="E94">
        <f t="shared" si="5"/>
        <v>12.3</v>
      </c>
      <c r="F94">
        <f t="shared" si="6"/>
        <v>0.4521</v>
      </c>
      <c r="H94" t="s">
        <v>137</v>
      </c>
      <c r="I94">
        <v>0.47949999999999998</v>
      </c>
      <c r="K94" t="s">
        <v>201</v>
      </c>
      <c r="L94">
        <v>0.59506999999999999</v>
      </c>
      <c r="N94" t="s">
        <v>159</v>
      </c>
      <c r="O94">
        <v>0.70609999999999995</v>
      </c>
      <c r="Q94" t="s">
        <v>191</v>
      </c>
      <c r="R94">
        <v>0.79468000000000005</v>
      </c>
      <c r="T94" t="s">
        <v>216</v>
      </c>
      <c r="U94" s="5">
        <v>12080</v>
      </c>
      <c r="V94">
        <v>0.9</v>
      </c>
      <c r="W94">
        <v>94</v>
      </c>
      <c r="X94">
        <v>0.60050251256281406</v>
      </c>
      <c r="Y94">
        <v>94</v>
      </c>
      <c r="Z94">
        <v>0.60050251256281406</v>
      </c>
    </row>
    <row r="95" spans="1:26" x14ac:dyDescent="0.2">
      <c r="A95" t="str">
        <f t="shared" si="4"/>
        <v>Mauritius</v>
      </c>
      <c r="B95" t="s">
        <v>181</v>
      </c>
      <c r="C95">
        <v>0.59031999999999996</v>
      </c>
      <c r="D95">
        <f t="shared" si="7"/>
        <v>24310</v>
      </c>
      <c r="E95">
        <f t="shared" si="5"/>
        <v>1.3</v>
      </c>
      <c r="F95">
        <f t="shared" si="6"/>
        <v>0.41099999999999998</v>
      </c>
      <c r="H95" t="s">
        <v>187</v>
      </c>
      <c r="I95">
        <v>0.46579999999999999</v>
      </c>
      <c r="K95" t="s">
        <v>181</v>
      </c>
      <c r="L95">
        <v>0.59031999999999996</v>
      </c>
      <c r="N95" t="s">
        <v>217</v>
      </c>
      <c r="O95">
        <v>0.70599999999999996</v>
      </c>
      <c r="Q95" t="s">
        <v>239</v>
      </c>
      <c r="R95">
        <v>0.79425999999999997</v>
      </c>
      <c r="T95" t="s">
        <v>203</v>
      </c>
      <c r="U95" s="5">
        <v>19150</v>
      </c>
      <c r="V95">
        <v>0.5</v>
      </c>
      <c r="W95">
        <v>95</v>
      </c>
      <c r="X95">
        <v>0.60427135678391952</v>
      </c>
      <c r="Y95">
        <v>95</v>
      </c>
      <c r="Z95">
        <v>0.60427135678391952</v>
      </c>
    </row>
    <row r="96" spans="1:26" x14ac:dyDescent="0.2">
      <c r="A96" t="str">
        <f t="shared" si="4"/>
        <v/>
      </c>
      <c r="B96" t="s">
        <v>234</v>
      </c>
      <c r="C96">
        <v>0.58862000000000003</v>
      </c>
      <c r="D96">
        <f t="shared" si="7"/>
        <v>10840</v>
      </c>
      <c r="E96">
        <f t="shared" si="5"/>
        <v>0.8</v>
      </c>
      <c r="F96">
        <f t="shared" si="6"/>
        <v>0.49320000000000003</v>
      </c>
      <c r="H96" t="s">
        <v>278</v>
      </c>
      <c r="I96">
        <v>0.46579999999999999</v>
      </c>
      <c r="K96" t="s">
        <v>234</v>
      </c>
      <c r="L96">
        <v>0.58862000000000003</v>
      </c>
      <c r="N96" t="s">
        <v>182</v>
      </c>
      <c r="O96">
        <v>0.70233000000000001</v>
      </c>
      <c r="Q96" t="s">
        <v>225</v>
      </c>
      <c r="R96">
        <v>0.79359000000000002</v>
      </c>
      <c r="T96" t="s">
        <v>218</v>
      </c>
      <c r="U96" s="5">
        <v>14000</v>
      </c>
      <c r="V96">
        <v>110.9</v>
      </c>
      <c r="W96">
        <v>96</v>
      </c>
      <c r="X96">
        <v>0.6080402010050252</v>
      </c>
      <c r="Y96">
        <v>96</v>
      </c>
      <c r="Z96">
        <v>0.6080402010050252</v>
      </c>
    </row>
    <row r="97" spans="1:26" x14ac:dyDescent="0.2">
      <c r="A97" t="str">
        <f t="shared" si="4"/>
        <v/>
      </c>
      <c r="B97" t="s">
        <v>179</v>
      </c>
      <c r="C97">
        <v>0.58020000000000005</v>
      </c>
      <c r="D97">
        <f t="shared" si="7"/>
        <v>83530</v>
      </c>
      <c r="E97">
        <f t="shared" si="5"/>
        <v>0.4</v>
      </c>
      <c r="F97">
        <f t="shared" si="6"/>
        <v>0.46579999999999999</v>
      </c>
      <c r="H97" t="s">
        <v>179</v>
      </c>
      <c r="I97">
        <v>0.46579999999999999</v>
      </c>
      <c r="K97" t="s">
        <v>179</v>
      </c>
      <c r="L97">
        <v>0.58020000000000005</v>
      </c>
      <c r="N97" t="s">
        <v>45</v>
      </c>
      <c r="O97">
        <v>0.69908999999999999</v>
      </c>
      <c r="Q97" t="s">
        <v>203</v>
      </c>
      <c r="R97">
        <v>0.78856000000000004</v>
      </c>
      <c r="T97" t="s">
        <v>221</v>
      </c>
      <c r="U97" s="5">
        <v>10990</v>
      </c>
      <c r="V97">
        <v>2.8</v>
      </c>
      <c r="W97">
        <v>97</v>
      </c>
      <c r="X97">
        <v>0.61180904522613067</v>
      </c>
      <c r="Y97">
        <v>97</v>
      </c>
      <c r="Z97">
        <v>0.61180904522613067</v>
      </c>
    </row>
    <row r="98" spans="1:26" x14ac:dyDescent="0.2">
      <c r="A98" t="str">
        <f t="shared" si="4"/>
        <v>Belarus</v>
      </c>
      <c r="B98" t="s">
        <v>185</v>
      </c>
      <c r="C98">
        <v>0.57598000000000005</v>
      </c>
      <c r="D98">
        <f t="shared" si="7"/>
        <v>20080</v>
      </c>
      <c r="E98">
        <f t="shared" si="5"/>
        <v>9.3000000000000007</v>
      </c>
      <c r="F98">
        <f t="shared" si="6"/>
        <v>0.49320000000000003</v>
      </c>
      <c r="H98" t="s">
        <v>272</v>
      </c>
      <c r="I98">
        <v>0.46579999999999999</v>
      </c>
      <c r="K98" t="s">
        <v>185</v>
      </c>
      <c r="L98">
        <v>0.57598000000000005</v>
      </c>
      <c r="N98" t="s">
        <v>223</v>
      </c>
      <c r="O98">
        <v>0.69557000000000002</v>
      </c>
      <c r="Q98" t="s">
        <v>224</v>
      </c>
      <c r="R98">
        <v>0.78510999999999997</v>
      </c>
      <c r="T98" t="s">
        <v>222</v>
      </c>
      <c r="U98" s="5">
        <v>7130</v>
      </c>
      <c r="V98" s="7">
        <v>1417.2</v>
      </c>
      <c r="W98">
        <v>98</v>
      </c>
      <c r="X98">
        <v>0.61557788944723613</v>
      </c>
      <c r="Y98">
        <v>98</v>
      </c>
      <c r="Z98">
        <v>0.61557788944723613</v>
      </c>
    </row>
    <row r="99" spans="1:26" x14ac:dyDescent="0.2">
      <c r="A99" t="str">
        <f t="shared" si="4"/>
        <v>Jamaica</v>
      </c>
      <c r="B99" t="s">
        <v>221</v>
      </c>
      <c r="C99">
        <v>0.56772</v>
      </c>
      <c r="D99">
        <f t="shared" si="7"/>
        <v>10990</v>
      </c>
      <c r="E99">
        <f t="shared" si="5"/>
        <v>2.8</v>
      </c>
      <c r="F99">
        <f t="shared" si="6"/>
        <v>0.43840000000000001</v>
      </c>
      <c r="H99" t="s">
        <v>284</v>
      </c>
      <c r="I99">
        <v>0.46579999999999999</v>
      </c>
      <c r="K99" t="s">
        <v>221</v>
      </c>
      <c r="L99">
        <v>0.56772</v>
      </c>
      <c r="N99" t="s">
        <v>227</v>
      </c>
      <c r="O99">
        <v>0.69316</v>
      </c>
      <c r="Q99" t="s">
        <v>245</v>
      </c>
      <c r="R99">
        <v>0.77627999999999997</v>
      </c>
      <c r="T99" t="s">
        <v>225</v>
      </c>
      <c r="U99" s="5">
        <v>12570</v>
      </c>
      <c r="V99">
        <v>21.5</v>
      </c>
      <c r="W99">
        <v>99</v>
      </c>
      <c r="X99">
        <v>0.6193467336683417</v>
      </c>
      <c r="Y99">
        <v>99</v>
      </c>
      <c r="Z99">
        <v>0.6193467336683417</v>
      </c>
    </row>
    <row r="100" spans="1:26" x14ac:dyDescent="0.2">
      <c r="A100" t="str">
        <f t="shared" si="4"/>
        <v>Georgia</v>
      </c>
      <c r="B100" t="s">
        <v>95</v>
      </c>
      <c r="C100">
        <v>0.56521999999999994</v>
      </c>
      <c r="D100">
        <f t="shared" si="7"/>
        <v>18170</v>
      </c>
      <c r="E100">
        <f t="shared" si="5"/>
        <v>3.7</v>
      </c>
      <c r="F100">
        <f t="shared" si="6"/>
        <v>0.56159999999999999</v>
      </c>
      <c r="H100" t="s">
        <v>341</v>
      </c>
      <c r="I100">
        <v>0.4521</v>
      </c>
      <c r="K100" t="s">
        <v>95</v>
      </c>
      <c r="L100">
        <v>0.56521999999999994</v>
      </c>
      <c r="N100" t="s">
        <v>215</v>
      </c>
      <c r="O100">
        <v>0.68764999999999998</v>
      </c>
      <c r="Q100" t="s">
        <v>151</v>
      </c>
      <c r="R100">
        <v>0.77497000000000005</v>
      </c>
      <c r="T100" t="s">
        <v>228</v>
      </c>
      <c r="U100" s="5">
        <v>8550</v>
      </c>
      <c r="V100">
        <v>12.1</v>
      </c>
      <c r="W100">
        <v>100</v>
      </c>
      <c r="X100">
        <v>0.62311557788944727</v>
      </c>
      <c r="Y100">
        <v>100</v>
      </c>
      <c r="Z100">
        <v>0.62311557788944727</v>
      </c>
    </row>
    <row r="101" spans="1:26" x14ac:dyDescent="0.2">
      <c r="A101" t="str">
        <f t="shared" si="4"/>
        <v>Morocco</v>
      </c>
      <c r="B101" t="s">
        <v>211</v>
      </c>
      <c r="C101">
        <v>0.56184000000000001</v>
      </c>
      <c r="D101">
        <f t="shared" si="7"/>
        <v>9230</v>
      </c>
      <c r="E101">
        <f t="shared" si="5"/>
        <v>37.799999999999997</v>
      </c>
      <c r="F101">
        <f t="shared" si="6"/>
        <v>0.43840000000000001</v>
      </c>
      <c r="H101" t="s">
        <v>339</v>
      </c>
      <c r="I101">
        <v>0.4521</v>
      </c>
      <c r="K101" t="s">
        <v>211</v>
      </c>
      <c r="L101">
        <v>0.56184000000000001</v>
      </c>
      <c r="N101" t="s">
        <v>186</v>
      </c>
      <c r="O101">
        <v>0.68662999999999996</v>
      </c>
      <c r="Q101" t="s">
        <v>199</v>
      </c>
      <c r="R101">
        <v>0.77454000000000001</v>
      </c>
      <c r="T101" t="s">
        <v>230</v>
      </c>
      <c r="U101" s="5">
        <v>6530</v>
      </c>
      <c r="V101">
        <v>171.2</v>
      </c>
      <c r="W101">
        <v>101</v>
      </c>
      <c r="X101">
        <v>0.62688442211055273</v>
      </c>
      <c r="Y101">
        <v>101</v>
      </c>
      <c r="Z101">
        <v>0.62688442211055273</v>
      </c>
    </row>
    <row r="102" spans="1:26" x14ac:dyDescent="0.2">
      <c r="A102" t="str">
        <f t="shared" si="4"/>
        <v>Sri Lanka</v>
      </c>
      <c r="B102" t="s">
        <v>225</v>
      </c>
      <c r="C102">
        <v>0.54937000000000002</v>
      </c>
      <c r="D102">
        <f t="shared" si="7"/>
        <v>12570</v>
      </c>
      <c r="E102">
        <f t="shared" si="5"/>
        <v>21.5</v>
      </c>
      <c r="F102">
        <f t="shared" si="6"/>
        <v>0.41099999999999998</v>
      </c>
      <c r="H102" t="s">
        <v>201</v>
      </c>
      <c r="I102">
        <v>0.4521</v>
      </c>
      <c r="K102" t="s">
        <v>225</v>
      </c>
      <c r="L102">
        <v>0.54937000000000002</v>
      </c>
      <c r="N102" t="s">
        <v>155</v>
      </c>
      <c r="O102">
        <v>0.67688000000000004</v>
      </c>
      <c r="Q102" t="s">
        <v>267</v>
      </c>
      <c r="R102">
        <v>0.76529000000000003</v>
      </c>
      <c r="T102" t="s">
        <v>143</v>
      </c>
      <c r="U102" s="5">
        <v>16790</v>
      </c>
      <c r="V102">
        <v>88.6</v>
      </c>
      <c r="W102">
        <v>102</v>
      </c>
      <c r="X102">
        <v>0.6306532663316583</v>
      </c>
      <c r="Y102">
        <v>102</v>
      </c>
      <c r="Z102">
        <v>0.6306532663316583</v>
      </c>
    </row>
    <row r="103" spans="1:26" x14ac:dyDescent="0.2">
      <c r="A103" t="str">
        <f t="shared" si="4"/>
        <v/>
      </c>
      <c r="B103" t="s">
        <v>195</v>
      </c>
      <c r="C103">
        <v>0.54020999999999997</v>
      </c>
      <c r="D103">
        <f t="shared" si="7"/>
        <v>34860</v>
      </c>
      <c r="E103">
        <f t="shared" si="5"/>
        <v>0.4</v>
      </c>
      <c r="F103">
        <f t="shared" si="6"/>
        <v>0.31509999999999999</v>
      </c>
      <c r="H103" t="s">
        <v>221</v>
      </c>
      <c r="I103">
        <v>0.43840000000000001</v>
      </c>
      <c r="K103" t="s">
        <v>195</v>
      </c>
      <c r="L103">
        <v>0.54020999999999997</v>
      </c>
      <c r="N103" t="s">
        <v>112</v>
      </c>
      <c r="O103">
        <v>0.66683999999999999</v>
      </c>
      <c r="Q103" t="s">
        <v>213</v>
      </c>
      <c r="R103">
        <v>0.76239999999999997</v>
      </c>
      <c r="T103" t="s">
        <v>233</v>
      </c>
      <c r="U103" s="5" t="s">
        <v>118</v>
      </c>
      <c r="V103">
        <v>0.03</v>
      </c>
      <c r="W103">
        <v>103</v>
      </c>
      <c r="X103">
        <v>0.63442211055276387</v>
      </c>
      <c r="Y103">
        <v>103</v>
      </c>
      <c r="Z103">
        <v>0.63442211055276387</v>
      </c>
    </row>
    <row r="104" spans="1:26" x14ac:dyDescent="0.2">
      <c r="A104" t="str">
        <f t="shared" si="4"/>
        <v>Nigeria</v>
      </c>
      <c r="B104" t="s">
        <v>311</v>
      </c>
      <c r="C104">
        <v>0.53718999999999995</v>
      </c>
      <c r="D104">
        <f t="shared" si="7"/>
        <v>5000</v>
      </c>
      <c r="E104">
        <f t="shared" si="5"/>
        <v>218.5</v>
      </c>
      <c r="F104">
        <f t="shared" si="6"/>
        <v>0.36990000000000001</v>
      </c>
      <c r="H104" t="s">
        <v>211</v>
      </c>
      <c r="I104">
        <v>0.43840000000000001</v>
      </c>
      <c r="K104" t="s">
        <v>311</v>
      </c>
      <c r="L104">
        <v>0.53718999999999995</v>
      </c>
      <c r="N104" t="s">
        <v>236</v>
      </c>
      <c r="O104">
        <v>0.66137000000000001</v>
      </c>
      <c r="Q104" t="s">
        <v>268</v>
      </c>
      <c r="R104">
        <v>0.76093999999999995</v>
      </c>
      <c r="T104" t="s">
        <v>234</v>
      </c>
      <c r="U104" s="5">
        <v>10840</v>
      </c>
      <c r="V104">
        <v>0.8</v>
      </c>
      <c r="W104">
        <v>104</v>
      </c>
      <c r="X104">
        <v>0.63819095477386933</v>
      </c>
      <c r="Y104">
        <v>104</v>
      </c>
      <c r="Z104">
        <v>0.63819095477386933</v>
      </c>
    </row>
    <row r="105" spans="1:26" x14ac:dyDescent="0.2">
      <c r="A105" t="str">
        <f t="shared" si="4"/>
        <v/>
      </c>
      <c r="B105" t="s">
        <v>216</v>
      </c>
      <c r="C105">
        <v>0.53430999999999995</v>
      </c>
      <c r="D105">
        <f t="shared" si="7"/>
        <v>12080</v>
      </c>
      <c r="E105">
        <f t="shared" si="5"/>
        <v>0.9</v>
      </c>
      <c r="F105">
        <f t="shared" si="6"/>
        <v>0.39729999999999999</v>
      </c>
      <c r="H105" t="s">
        <v>319</v>
      </c>
      <c r="I105">
        <v>0.43840000000000001</v>
      </c>
      <c r="K105" t="s">
        <v>216</v>
      </c>
      <c r="L105">
        <v>0.53430999999999995</v>
      </c>
      <c r="N105" t="s">
        <v>99</v>
      </c>
      <c r="O105">
        <v>0.65866000000000002</v>
      </c>
      <c r="Q105" t="s">
        <v>175</v>
      </c>
      <c r="R105">
        <v>0.75544</v>
      </c>
      <c r="T105" t="s">
        <v>238</v>
      </c>
      <c r="U105" s="5">
        <v>17460</v>
      </c>
      <c r="V105">
        <v>0.1</v>
      </c>
      <c r="W105">
        <v>105</v>
      </c>
      <c r="X105">
        <v>0.64195979899497491</v>
      </c>
      <c r="Y105">
        <v>105</v>
      </c>
      <c r="Z105">
        <v>0.64195979899497491</v>
      </c>
    </row>
    <row r="106" spans="1:26" x14ac:dyDescent="0.2">
      <c r="A106" t="str">
        <f t="shared" si="4"/>
        <v>Côte d'Ivoire</v>
      </c>
      <c r="B106" t="s">
        <v>240</v>
      </c>
      <c r="C106">
        <v>0.52193999999999996</v>
      </c>
      <c r="D106">
        <f t="shared" si="7"/>
        <v>6090</v>
      </c>
      <c r="E106">
        <f t="shared" si="5"/>
        <v>29.4</v>
      </c>
      <c r="F106">
        <f t="shared" si="6"/>
        <v>0.41099999999999998</v>
      </c>
      <c r="H106" t="s">
        <v>228</v>
      </c>
      <c r="I106">
        <v>0.42470000000000002</v>
      </c>
      <c r="K106" t="s">
        <v>240</v>
      </c>
      <c r="L106">
        <v>0.52193999999999996</v>
      </c>
      <c r="N106" t="s">
        <v>220</v>
      </c>
      <c r="O106">
        <v>0.65703999999999996</v>
      </c>
      <c r="Q106" t="s">
        <v>182</v>
      </c>
      <c r="R106">
        <v>0.75458999999999998</v>
      </c>
      <c r="T106" t="s">
        <v>239</v>
      </c>
      <c r="U106" s="5">
        <v>21840</v>
      </c>
      <c r="V106">
        <v>0.1</v>
      </c>
      <c r="W106">
        <v>106</v>
      </c>
      <c r="X106">
        <v>0.64572864321608037</v>
      </c>
      <c r="Y106">
        <v>106</v>
      </c>
      <c r="Z106">
        <v>0.64572864321608037</v>
      </c>
    </row>
    <row r="107" spans="1:26" x14ac:dyDescent="0.2">
      <c r="A107" t="str">
        <f t="shared" si="4"/>
        <v/>
      </c>
      <c r="B107" t="s">
        <v>115</v>
      </c>
      <c r="C107">
        <v>0.52141999999999999</v>
      </c>
      <c r="D107">
        <f t="shared" si="7"/>
        <v>22940</v>
      </c>
      <c r="E107">
        <f t="shared" si="5"/>
        <v>0.6</v>
      </c>
      <c r="F107">
        <f t="shared" si="6"/>
        <v>0.50680000000000003</v>
      </c>
      <c r="H107" t="s">
        <v>329</v>
      </c>
      <c r="I107">
        <v>0.42470000000000002</v>
      </c>
      <c r="K107" t="s">
        <v>115</v>
      </c>
      <c r="L107">
        <v>0.52141999999999999</v>
      </c>
      <c r="N107" t="s">
        <v>243</v>
      </c>
      <c r="O107">
        <v>0.65305000000000002</v>
      </c>
      <c r="Q107" t="s">
        <v>259</v>
      </c>
      <c r="R107">
        <v>0.75263999999999998</v>
      </c>
      <c r="T107" t="s">
        <v>241</v>
      </c>
      <c r="U107" s="5">
        <v>15120</v>
      </c>
      <c r="V107">
        <v>0.6</v>
      </c>
      <c r="W107">
        <v>107</v>
      </c>
      <c r="X107">
        <v>0.64949748743718594</v>
      </c>
      <c r="Y107">
        <v>107</v>
      </c>
      <c r="Z107">
        <v>0.64949748743718594</v>
      </c>
    </row>
    <row r="108" spans="1:26" x14ac:dyDescent="0.2">
      <c r="A108" t="str">
        <f t="shared" si="4"/>
        <v>Benin</v>
      </c>
      <c r="B108" t="s">
        <v>313</v>
      </c>
      <c r="C108">
        <v>0.52015999999999996</v>
      </c>
      <c r="D108">
        <f t="shared" si="7"/>
        <v>3740</v>
      </c>
      <c r="E108">
        <f t="shared" si="5"/>
        <v>13.7</v>
      </c>
      <c r="F108">
        <f t="shared" si="6"/>
        <v>0.36990000000000001</v>
      </c>
      <c r="H108" t="s">
        <v>295</v>
      </c>
      <c r="I108">
        <v>0.42470000000000002</v>
      </c>
      <c r="K108" t="s">
        <v>313</v>
      </c>
      <c r="L108">
        <v>0.52015999999999996</v>
      </c>
      <c r="N108" t="s">
        <v>192</v>
      </c>
      <c r="O108">
        <v>0.64964999999999995</v>
      </c>
      <c r="Q108" t="s">
        <v>216</v>
      </c>
      <c r="R108">
        <v>0.75066999999999995</v>
      </c>
      <c r="T108" t="s">
        <v>245</v>
      </c>
      <c r="U108" s="5">
        <v>17650</v>
      </c>
      <c r="V108">
        <v>3.2</v>
      </c>
      <c r="W108">
        <v>108</v>
      </c>
      <c r="X108">
        <v>0.6532663316582914</v>
      </c>
      <c r="Y108">
        <v>108</v>
      </c>
      <c r="Z108">
        <v>0.6532663316582914</v>
      </c>
    </row>
    <row r="109" spans="1:26" x14ac:dyDescent="0.2">
      <c r="A109" t="str">
        <f t="shared" si="4"/>
        <v>El Salvador</v>
      </c>
      <c r="B109" t="s">
        <v>259</v>
      </c>
      <c r="C109">
        <v>0.50897000000000003</v>
      </c>
      <c r="D109">
        <f t="shared" si="7"/>
        <v>9000</v>
      </c>
      <c r="E109">
        <f t="shared" si="5"/>
        <v>6.5</v>
      </c>
      <c r="F109">
        <f t="shared" si="6"/>
        <v>0.3836</v>
      </c>
      <c r="H109" t="s">
        <v>181</v>
      </c>
      <c r="I109">
        <v>0.41099999999999998</v>
      </c>
      <c r="K109" t="s">
        <v>259</v>
      </c>
      <c r="L109">
        <v>0.50897000000000003</v>
      </c>
      <c r="N109" t="s">
        <v>154</v>
      </c>
      <c r="O109">
        <v>0.64578999999999998</v>
      </c>
      <c r="Q109" t="s">
        <v>197</v>
      </c>
      <c r="R109">
        <v>0.74439999999999995</v>
      </c>
      <c r="T109" t="s">
        <v>248</v>
      </c>
      <c r="U109" s="5">
        <v>6220</v>
      </c>
      <c r="V109">
        <v>32.799999999999997</v>
      </c>
      <c r="W109">
        <v>109</v>
      </c>
      <c r="X109">
        <v>0.65703517587939697</v>
      </c>
      <c r="Y109">
        <v>109</v>
      </c>
      <c r="Z109">
        <v>0.65703517587939697</v>
      </c>
    </row>
    <row r="110" spans="1:26" x14ac:dyDescent="0.2">
      <c r="A110" t="str">
        <f t="shared" si="4"/>
        <v/>
      </c>
      <c r="B110" t="s">
        <v>238</v>
      </c>
      <c r="C110">
        <v>0.50555000000000005</v>
      </c>
      <c r="D110">
        <f t="shared" si="7"/>
        <v>17460</v>
      </c>
      <c r="E110">
        <f t="shared" si="5"/>
        <v>0.1</v>
      </c>
      <c r="F110">
        <f t="shared" si="6"/>
        <v>0.24660000000000001</v>
      </c>
      <c r="H110" t="s">
        <v>240</v>
      </c>
      <c r="I110">
        <v>0.41099999999999998</v>
      </c>
      <c r="K110" t="s">
        <v>238</v>
      </c>
      <c r="L110">
        <v>0.50555000000000005</v>
      </c>
      <c r="N110" t="s">
        <v>250</v>
      </c>
      <c r="O110">
        <v>0.64531000000000005</v>
      </c>
      <c r="Q110" t="s">
        <v>295</v>
      </c>
      <c r="R110">
        <v>0.73285</v>
      </c>
      <c r="T110" t="s">
        <v>249</v>
      </c>
      <c r="U110" s="5">
        <v>5150</v>
      </c>
      <c r="V110">
        <v>54</v>
      </c>
      <c r="W110">
        <v>110</v>
      </c>
      <c r="X110">
        <v>0.66080402010050254</v>
      </c>
      <c r="Y110">
        <v>110</v>
      </c>
      <c r="Z110">
        <v>0.66080402010050254</v>
      </c>
    </row>
    <row r="111" spans="1:26" x14ac:dyDescent="0.2">
      <c r="A111" t="str">
        <f t="shared" si="4"/>
        <v>Bosnia and Herzegovina</v>
      </c>
      <c r="B111" t="s">
        <v>245</v>
      </c>
      <c r="C111">
        <v>0.50027999999999995</v>
      </c>
      <c r="D111">
        <f t="shared" si="7"/>
        <v>17650</v>
      </c>
      <c r="E111">
        <f t="shared" si="5"/>
        <v>3.2</v>
      </c>
      <c r="F111">
        <f t="shared" si="6"/>
        <v>0.54790000000000005</v>
      </c>
      <c r="H111" t="s">
        <v>225</v>
      </c>
      <c r="I111">
        <v>0.41099999999999998</v>
      </c>
      <c r="K111" t="s">
        <v>245</v>
      </c>
      <c r="L111">
        <v>0.50027999999999995</v>
      </c>
      <c r="N111" t="s">
        <v>208</v>
      </c>
      <c r="O111">
        <v>0.64178999999999997</v>
      </c>
      <c r="Q111" t="s">
        <v>221</v>
      </c>
      <c r="R111">
        <v>0.72963</v>
      </c>
      <c r="T111" t="s">
        <v>251</v>
      </c>
      <c r="U111" s="5">
        <v>25940</v>
      </c>
      <c r="V111">
        <v>0.05</v>
      </c>
      <c r="W111">
        <v>111</v>
      </c>
      <c r="X111">
        <v>0.664572864321608</v>
      </c>
      <c r="Y111">
        <v>111</v>
      </c>
      <c r="Z111">
        <v>0.664572864321608</v>
      </c>
    </row>
    <row r="112" spans="1:26" x14ac:dyDescent="0.2">
      <c r="A112" t="str">
        <f t="shared" si="4"/>
        <v>Namibia</v>
      </c>
      <c r="B112" t="s">
        <v>258</v>
      </c>
      <c r="C112">
        <v>0.49958000000000002</v>
      </c>
      <c r="D112">
        <f t="shared" si="7"/>
        <v>9650</v>
      </c>
      <c r="E112">
        <f t="shared" si="5"/>
        <v>2.5</v>
      </c>
      <c r="F112">
        <f t="shared" si="6"/>
        <v>0.27400000000000002</v>
      </c>
      <c r="H112" t="s">
        <v>285</v>
      </c>
      <c r="I112">
        <v>0.41099999999999998</v>
      </c>
      <c r="K112" t="s">
        <v>258</v>
      </c>
      <c r="L112">
        <v>0.49958000000000002</v>
      </c>
      <c r="N112" t="s">
        <v>255</v>
      </c>
      <c r="O112">
        <v>0.62690000000000001</v>
      </c>
      <c r="Q112" t="s">
        <v>258</v>
      </c>
      <c r="R112">
        <v>0.72879000000000005</v>
      </c>
      <c r="T112" t="s">
        <v>252</v>
      </c>
      <c r="U112" s="5">
        <v>7000</v>
      </c>
      <c r="V112">
        <v>0.6</v>
      </c>
      <c r="W112">
        <v>112</v>
      </c>
      <c r="X112">
        <v>0.66834170854271358</v>
      </c>
      <c r="Y112">
        <v>112</v>
      </c>
      <c r="Z112">
        <v>0.66834170854271358</v>
      </c>
    </row>
    <row r="113" spans="1:26" x14ac:dyDescent="0.2">
      <c r="A113" t="str">
        <f t="shared" si="4"/>
        <v/>
      </c>
      <c r="B113" t="s">
        <v>213</v>
      </c>
      <c r="C113">
        <v>0.49754999999999999</v>
      </c>
      <c r="D113">
        <f t="shared" si="7"/>
        <v>17450</v>
      </c>
      <c r="E113">
        <f t="shared" si="5"/>
        <v>0.3</v>
      </c>
      <c r="F113">
        <f t="shared" si="6"/>
        <v>0.32879999999999998</v>
      </c>
      <c r="H113" t="s">
        <v>216</v>
      </c>
      <c r="I113">
        <v>0.39729999999999999</v>
      </c>
      <c r="K113" t="s">
        <v>213</v>
      </c>
      <c r="L113">
        <v>0.49754999999999999</v>
      </c>
      <c r="N113" t="s">
        <v>253</v>
      </c>
      <c r="O113">
        <v>0.62251999999999996</v>
      </c>
      <c r="Q113" t="s">
        <v>248</v>
      </c>
      <c r="R113">
        <v>0.72814000000000001</v>
      </c>
      <c r="T113" t="s">
        <v>256</v>
      </c>
      <c r="U113" s="5">
        <v>17220</v>
      </c>
      <c r="V113">
        <v>2.4</v>
      </c>
      <c r="W113">
        <v>113</v>
      </c>
      <c r="X113">
        <v>0.67211055276381915</v>
      </c>
      <c r="Y113">
        <v>113</v>
      </c>
      <c r="Z113">
        <v>0.67211055276381915</v>
      </c>
    </row>
    <row r="114" spans="1:26" x14ac:dyDescent="0.2">
      <c r="A114" t="str">
        <f t="shared" si="4"/>
        <v/>
      </c>
      <c r="B114" t="s">
        <v>343</v>
      </c>
      <c r="C114">
        <v>0.49696000000000001</v>
      </c>
      <c r="D114">
        <f t="shared" si="7"/>
        <v>2700</v>
      </c>
      <c r="E114">
        <f t="shared" si="5"/>
        <v>0.7</v>
      </c>
      <c r="F114">
        <f t="shared" si="6"/>
        <v>0.36990000000000001</v>
      </c>
      <c r="H114" t="s">
        <v>259</v>
      </c>
      <c r="I114">
        <v>0.3836</v>
      </c>
      <c r="K114" t="s">
        <v>343</v>
      </c>
      <c r="L114">
        <v>0.49696000000000001</v>
      </c>
      <c r="N114" t="s">
        <v>189</v>
      </c>
      <c r="O114">
        <v>0.62219000000000002</v>
      </c>
      <c r="Q114" t="s">
        <v>228</v>
      </c>
      <c r="R114">
        <v>0.70889999999999997</v>
      </c>
      <c r="T114" t="s">
        <v>224</v>
      </c>
      <c r="U114" s="5">
        <v>9550</v>
      </c>
      <c r="V114">
        <v>1.2</v>
      </c>
      <c r="W114">
        <v>114</v>
      </c>
      <c r="X114">
        <v>0.67587939698492461</v>
      </c>
      <c r="Y114">
        <v>114</v>
      </c>
      <c r="Z114">
        <v>0.67587939698492461</v>
      </c>
    </row>
    <row r="115" spans="1:26" x14ac:dyDescent="0.2">
      <c r="A115" t="str">
        <f t="shared" si="4"/>
        <v>Zambia</v>
      </c>
      <c r="B115" t="s">
        <v>285</v>
      </c>
      <c r="C115">
        <v>0.49584</v>
      </c>
      <c r="D115">
        <f t="shared" si="7"/>
        <v>3630</v>
      </c>
      <c r="E115">
        <f t="shared" si="5"/>
        <v>19.600000000000001</v>
      </c>
      <c r="F115">
        <f t="shared" si="6"/>
        <v>0.41099999999999998</v>
      </c>
      <c r="H115" t="s">
        <v>224</v>
      </c>
      <c r="I115">
        <v>0.3836</v>
      </c>
      <c r="K115" t="s">
        <v>285</v>
      </c>
      <c r="L115">
        <v>0.49584</v>
      </c>
      <c r="N115" t="s">
        <v>177</v>
      </c>
      <c r="O115">
        <v>0.61502999999999997</v>
      </c>
      <c r="Q115" t="s">
        <v>218</v>
      </c>
      <c r="R115">
        <v>0.69455999999999996</v>
      </c>
      <c r="T115" t="s">
        <v>258</v>
      </c>
      <c r="U115" s="5">
        <v>9650</v>
      </c>
      <c r="V115">
        <v>2.5</v>
      </c>
      <c r="W115">
        <v>115</v>
      </c>
      <c r="X115">
        <v>0.67964824120603018</v>
      </c>
      <c r="Y115">
        <v>115</v>
      </c>
      <c r="Z115">
        <v>0.67964824120603018</v>
      </c>
    </row>
    <row r="116" spans="1:26" x14ac:dyDescent="0.2">
      <c r="A116" t="str">
        <f t="shared" si="4"/>
        <v/>
      </c>
      <c r="B116" t="s">
        <v>193</v>
      </c>
      <c r="C116">
        <v>0.48376999999999998</v>
      </c>
      <c r="E116">
        <f t="shared" si="5"/>
        <v>0.04</v>
      </c>
      <c r="F116">
        <f t="shared" si="6"/>
        <v>0.1507</v>
      </c>
      <c r="H116" t="s">
        <v>311</v>
      </c>
      <c r="I116">
        <v>0.36990000000000001</v>
      </c>
      <c r="K116" t="s">
        <v>193</v>
      </c>
      <c r="L116">
        <v>0.48376999999999998</v>
      </c>
      <c r="N116" t="s">
        <v>116</v>
      </c>
      <c r="O116">
        <v>0.61487000000000003</v>
      </c>
      <c r="Q116" t="s">
        <v>282</v>
      </c>
      <c r="R116">
        <v>0.69418000000000002</v>
      </c>
      <c r="T116" t="s">
        <v>259</v>
      </c>
      <c r="U116" s="5">
        <v>9000</v>
      </c>
      <c r="V116">
        <v>6.5</v>
      </c>
      <c r="W116">
        <v>116</v>
      </c>
      <c r="X116">
        <v>0.68341708542713564</v>
      </c>
      <c r="Y116">
        <v>116</v>
      </c>
      <c r="Z116">
        <v>0.68341708542713564</v>
      </c>
    </row>
    <row r="117" spans="1:26" x14ac:dyDescent="0.2">
      <c r="A117" t="str">
        <f t="shared" si="4"/>
        <v/>
      </c>
      <c r="B117" t="s">
        <v>241</v>
      </c>
      <c r="C117">
        <v>0.48137000000000002</v>
      </c>
      <c r="D117">
        <f t="shared" si="7"/>
        <v>15120</v>
      </c>
      <c r="E117">
        <f t="shared" si="5"/>
        <v>0.6</v>
      </c>
      <c r="F117">
        <f t="shared" si="6"/>
        <v>0.28770000000000001</v>
      </c>
      <c r="H117" t="s">
        <v>313</v>
      </c>
      <c r="I117">
        <v>0.36990000000000001</v>
      </c>
      <c r="K117" t="s">
        <v>241</v>
      </c>
      <c r="L117">
        <v>0.48137000000000002</v>
      </c>
      <c r="N117" t="s">
        <v>203</v>
      </c>
      <c r="O117">
        <v>0.61297999999999997</v>
      </c>
      <c r="Q117" t="s">
        <v>316</v>
      </c>
      <c r="R117">
        <v>0.68735999999999997</v>
      </c>
      <c r="T117" t="s">
        <v>261</v>
      </c>
      <c r="U117" s="5">
        <v>11430</v>
      </c>
      <c r="V117">
        <v>46.2</v>
      </c>
      <c r="W117">
        <v>117</v>
      </c>
      <c r="X117">
        <v>0.68718592964824121</v>
      </c>
      <c r="Y117">
        <v>117</v>
      </c>
      <c r="Z117">
        <v>0.68718592964824121</v>
      </c>
    </row>
    <row r="118" spans="1:26" x14ac:dyDescent="0.2">
      <c r="A118" t="str">
        <f t="shared" si="4"/>
        <v>Guinea</v>
      </c>
      <c r="B118" t="s">
        <v>338</v>
      </c>
      <c r="C118">
        <v>0.48081000000000002</v>
      </c>
      <c r="D118">
        <f t="shared" si="7"/>
        <v>3000</v>
      </c>
      <c r="E118">
        <f t="shared" si="5"/>
        <v>13.5</v>
      </c>
      <c r="F118">
        <f t="shared" si="6"/>
        <v>0.50680000000000003</v>
      </c>
      <c r="H118" t="s">
        <v>343</v>
      </c>
      <c r="I118">
        <v>0.36990000000000001</v>
      </c>
      <c r="K118" t="s">
        <v>338</v>
      </c>
      <c r="L118">
        <v>0.48081000000000002</v>
      </c>
      <c r="N118" t="s">
        <v>157</v>
      </c>
      <c r="O118">
        <v>0.60782999999999998</v>
      </c>
      <c r="Q118" t="s">
        <v>161</v>
      </c>
      <c r="R118">
        <v>0.68335000000000001</v>
      </c>
      <c r="T118" t="s">
        <v>263</v>
      </c>
      <c r="U118" s="5">
        <v>14990</v>
      </c>
      <c r="V118">
        <v>0.1</v>
      </c>
      <c r="W118">
        <v>118</v>
      </c>
      <c r="X118">
        <v>0.69095477386934667</v>
      </c>
      <c r="Y118">
        <v>118</v>
      </c>
      <c r="Z118">
        <v>0.69095477386934667</v>
      </c>
    </row>
    <row r="119" spans="1:26" x14ac:dyDescent="0.2">
      <c r="A119" t="str">
        <f t="shared" si="4"/>
        <v>Tanzania</v>
      </c>
      <c r="B119" t="s">
        <v>325</v>
      </c>
      <c r="C119">
        <v>0.47910000000000003</v>
      </c>
      <c r="D119">
        <f t="shared" si="7"/>
        <v>3000</v>
      </c>
      <c r="E119">
        <f t="shared" si="5"/>
        <v>63.6</v>
      </c>
      <c r="F119">
        <f t="shared" si="6"/>
        <v>0.28770000000000001</v>
      </c>
      <c r="H119" t="s">
        <v>239</v>
      </c>
      <c r="I119">
        <v>0.34250000000000003</v>
      </c>
      <c r="K119" t="s">
        <v>325</v>
      </c>
      <c r="L119">
        <v>0.47910000000000003</v>
      </c>
      <c r="N119" t="s">
        <v>266</v>
      </c>
      <c r="O119">
        <v>0.60372000000000003</v>
      </c>
      <c r="Q119" t="s">
        <v>263</v>
      </c>
      <c r="R119">
        <v>0.67674999999999996</v>
      </c>
      <c r="T119" t="s">
        <v>264</v>
      </c>
      <c r="U119" s="5">
        <v>2370</v>
      </c>
      <c r="V119">
        <v>13.5</v>
      </c>
      <c r="W119">
        <v>119</v>
      </c>
      <c r="X119">
        <v>0.69472361809045224</v>
      </c>
      <c r="Y119">
        <v>119</v>
      </c>
      <c r="Z119">
        <v>0.69472361809045224</v>
      </c>
    </row>
    <row r="120" spans="1:26" x14ac:dyDescent="0.2">
      <c r="A120" t="str">
        <f t="shared" si="4"/>
        <v/>
      </c>
      <c r="B120" t="s">
        <v>206</v>
      </c>
      <c r="C120">
        <v>0.47804000000000002</v>
      </c>
      <c r="E120">
        <f t="shared" si="5"/>
        <v>0.08</v>
      </c>
      <c r="F120">
        <f t="shared" si="6"/>
        <v>0.54790000000000005</v>
      </c>
      <c r="H120" t="s">
        <v>263</v>
      </c>
      <c r="I120">
        <v>0.34250000000000003</v>
      </c>
      <c r="K120" t="s">
        <v>206</v>
      </c>
      <c r="L120">
        <v>0.47804000000000002</v>
      </c>
      <c r="N120" t="s">
        <v>80</v>
      </c>
      <c r="O120">
        <v>0.59514999999999996</v>
      </c>
      <c r="Q120" t="s">
        <v>238</v>
      </c>
      <c r="R120">
        <v>0.67674000000000001</v>
      </c>
      <c r="T120" t="s">
        <v>267</v>
      </c>
      <c r="U120" s="5">
        <v>4190</v>
      </c>
      <c r="V120">
        <v>30</v>
      </c>
      <c r="W120">
        <v>120</v>
      </c>
      <c r="X120">
        <v>0.69849246231155782</v>
      </c>
      <c r="Y120">
        <v>120</v>
      </c>
      <c r="Z120">
        <v>0.69849246231155782</v>
      </c>
    </row>
    <row r="121" spans="1:26" x14ac:dyDescent="0.2">
      <c r="A121" t="str">
        <f t="shared" si="4"/>
        <v>Senegal</v>
      </c>
      <c r="B121" t="s">
        <v>295</v>
      </c>
      <c r="C121">
        <v>0.47788999999999998</v>
      </c>
      <c r="D121">
        <f t="shared" si="7"/>
        <v>4090</v>
      </c>
      <c r="E121">
        <f t="shared" si="5"/>
        <v>17.899999999999999</v>
      </c>
      <c r="F121">
        <f t="shared" si="6"/>
        <v>0.42470000000000002</v>
      </c>
      <c r="H121" t="s">
        <v>315</v>
      </c>
      <c r="I121">
        <v>0.32879999999999998</v>
      </c>
      <c r="K121" t="s">
        <v>295</v>
      </c>
      <c r="L121">
        <v>0.47788999999999998</v>
      </c>
      <c r="N121" t="s">
        <v>260</v>
      </c>
      <c r="O121">
        <v>0.59326999999999996</v>
      </c>
      <c r="Q121" t="s">
        <v>279</v>
      </c>
      <c r="R121">
        <v>0.67566000000000004</v>
      </c>
      <c r="T121" t="s">
        <v>268</v>
      </c>
      <c r="U121" s="5">
        <v>4580</v>
      </c>
      <c r="V121">
        <v>16.899999999999999</v>
      </c>
      <c r="W121">
        <v>121</v>
      </c>
      <c r="X121">
        <v>0.70226130653266328</v>
      </c>
      <c r="Y121">
        <v>121</v>
      </c>
      <c r="Z121">
        <v>0.70226130653266328</v>
      </c>
    </row>
    <row r="122" spans="1:26" x14ac:dyDescent="0.2">
      <c r="A122" t="str">
        <f t="shared" si="4"/>
        <v/>
      </c>
      <c r="B122" t="s">
        <v>284</v>
      </c>
      <c r="C122">
        <v>0.47692000000000001</v>
      </c>
      <c r="D122">
        <f t="shared" si="7"/>
        <v>3310</v>
      </c>
      <c r="E122">
        <f t="shared" si="5"/>
        <v>0.3</v>
      </c>
      <c r="F122">
        <f t="shared" si="6"/>
        <v>0.46579999999999999</v>
      </c>
      <c r="H122" t="s">
        <v>309</v>
      </c>
      <c r="I122">
        <v>0.32879999999999998</v>
      </c>
      <c r="K122" t="s">
        <v>284</v>
      </c>
      <c r="L122">
        <v>0.47692000000000001</v>
      </c>
      <c r="N122" t="s">
        <v>271</v>
      </c>
      <c r="O122">
        <v>0.59284999999999999</v>
      </c>
      <c r="Q122" t="s">
        <v>240</v>
      </c>
      <c r="R122">
        <v>0.66925999999999997</v>
      </c>
      <c r="T122" t="s">
        <v>270</v>
      </c>
      <c r="U122" s="5">
        <v>14970</v>
      </c>
      <c r="V122">
        <v>2.2999999999999998</v>
      </c>
      <c r="W122">
        <v>122</v>
      </c>
      <c r="X122">
        <v>0.70603015075376885</v>
      </c>
      <c r="Y122">
        <v>122</v>
      </c>
      <c r="Z122">
        <v>0.70603015075376885</v>
      </c>
    </row>
    <row r="123" spans="1:26" x14ac:dyDescent="0.2">
      <c r="A123" t="str">
        <f t="shared" si="4"/>
        <v/>
      </c>
      <c r="B123" t="s">
        <v>214</v>
      </c>
      <c r="C123">
        <v>0.46379999999999999</v>
      </c>
      <c r="D123">
        <f t="shared" si="7"/>
        <v>26320</v>
      </c>
      <c r="E123">
        <f t="shared" si="5"/>
        <v>0.1</v>
      </c>
      <c r="F123">
        <f t="shared" si="6"/>
        <v>0.3014</v>
      </c>
      <c r="H123" t="s">
        <v>213</v>
      </c>
      <c r="I123">
        <v>0.32879999999999998</v>
      </c>
      <c r="K123" t="s">
        <v>214</v>
      </c>
      <c r="L123">
        <v>0.46379999999999999</v>
      </c>
      <c r="N123" t="s">
        <v>224</v>
      </c>
      <c r="O123">
        <v>0.58357000000000003</v>
      </c>
      <c r="Q123" t="s">
        <v>300</v>
      </c>
      <c r="R123">
        <v>0.66617999999999999</v>
      </c>
      <c r="T123" t="s">
        <v>272</v>
      </c>
      <c r="U123" s="5">
        <v>9110</v>
      </c>
      <c r="V123">
        <v>18.100000000000001</v>
      </c>
      <c r="W123">
        <v>123</v>
      </c>
      <c r="X123">
        <v>0.70979899497487442</v>
      </c>
      <c r="Y123">
        <v>123</v>
      </c>
      <c r="Z123">
        <v>0.70979899497487442</v>
      </c>
    </row>
    <row r="124" spans="1:26" x14ac:dyDescent="0.2">
      <c r="A124" t="str">
        <f t="shared" si="4"/>
        <v>Malawi</v>
      </c>
      <c r="B124" t="s">
        <v>341</v>
      </c>
      <c r="C124">
        <v>0.46246999999999999</v>
      </c>
      <c r="D124">
        <f t="shared" si="7"/>
        <v>1500</v>
      </c>
      <c r="E124">
        <f t="shared" si="5"/>
        <v>20</v>
      </c>
      <c r="F124">
        <f t="shared" si="6"/>
        <v>0.4521</v>
      </c>
      <c r="H124" t="s">
        <v>354</v>
      </c>
      <c r="I124">
        <v>0.32879999999999998</v>
      </c>
      <c r="K124" t="s">
        <v>341</v>
      </c>
      <c r="L124">
        <v>0.46246999999999999</v>
      </c>
      <c r="N124" t="s">
        <v>166</v>
      </c>
      <c r="O124">
        <v>0.58337000000000006</v>
      </c>
      <c r="Q124" t="s">
        <v>230</v>
      </c>
      <c r="R124">
        <v>0.65010000000000001</v>
      </c>
      <c r="T124" t="s">
        <v>274</v>
      </c>
      <c r="U124" s="5">
        <v>4170</v>
      </c>
      <c r="V124">
        <v>10</v>
      </c>
      <c r="W124">
        <v>124</v>
      </c>
      <c r="X124">
        <v>0.71356783919597988</v>
      </c>
      <c r="Y124">
        <v>124</v>
      </c>
      <c r="Z124">
        <v>0.71356783919597988</v>
      </c>
    </row>
    <row r="125" spans="1:26" x14ac:dyDescent="0.2">
      <c r="A125" t="str">
        <f t="shared" si="4"/>
        <v>Honduras</v>
      </c>
      <c r="B125" t="s">
        <v>308</v>
      </c>
      <c r="C125">
        <v>0.45873999999999998</v>
      </c>
      <c r="D125">
        <f t="shared" si="7"/>
        <v>6500</v>
      </c>
      <c r="E125">
        <f t="shared" si="5"/>
        <v>10.3</v>
      </c>
      <c r="F125">
        <f t="shared" si="6"/>
        <v>0.3014</v>
      </c>
      <c r="H125" t="s">
        <v>276</v>
      </c>
      <c r="I125">
        <v>0.32879999999999998</v>
      </c>
      <c r="K125" t="s">
        <v>308</v>
      </c>
      <c r="L125">
        <v>0.45873999999999998</v>
      </c>
      <c r="N125" t="s">
        <v>269</v>
      </c>
      <c r="O125">
        <v>0.57806999999999997</v>
      </c>
      <c r="Q125" t="s">
        <v>209</v>
      </c>
      <c r="R125">
        <v>0.64992000000000005</v>
      </c>
      <c r="T125" t="s">
        <v>240</v>
      </c>
      <c r="U125" s="5">
        <v>6090</v>
      </c>
      <c r="V125">
        <v>29.4</v>
      </c>
      <c r="W125">
        <v>125</v>
      </c>
      <c r="X125">
        <v>0.71733668341708545</v>
      </c>
      <c r="Y125">
        <v>125</v>
      </c>
      <c r="Z125">
        <v>0.71733668341708545</v>
      </c>
    </row>
    <row r="126" spans="1:26" x14ac:dyDescent="0.2">
      <c r="A126" t="str">
        <f t="shared" si="4"/>
        <v>Eswatini</v>
      </c>
      <c r="B126" t="s">
        <v>224</v>
      </c>
      <c r="C126">
        <v>0.45573999999999998</v>
      </c>
      <c r="D126">
        <f t="shared" si="7"/>
        <v>9550</v>
      </c>
      <c r="E126">
        <f t="shared" si="5"/>
        <v>1.2</v>
      </c>
      <c r="F126">
        <f t="shared" si="6"/>
        <v>0.3836</v>
      </c>
      <c r="H126" t="s">
        <v>293</v>
      </c>
      <c r="I126">
        <v>0.32879999999999998</v>
      </c>
      <c r="K126" t="s">
        <v>224</v>
      </c>
      <c r="L126">
        <v>0.45573999999999998</v>
      </c>
      <c r="N126" t="s">
        <v>198</v>
      </c>
      <c r="O126">
        <v>0.57723000000000002</v>
      </c>
      <c r="Q126" t="s">
        <v>290</v>
      </c>
      <c r="R126">
        <v>0.64980000000000004</v>
      </c>
      <c r="T126" t="s">
        <v>80</v>
      </c>
      <c r="U126" s="8">
        <v>13910</v>
      </c>
      <c r="V126">
        <v>6.9</v>
      </c>
      <c r="W126">
        <v>126</v>
      </c>
      <c r="X126">
        <v>0.72110552763819102</v>
      </c>
      <c r="Y126">
        <v>126</v>
      </c>
      <c r="Z126">
        <v>0.72110552763819102</v>
      </c>
    </row>
    <row r="127" spans="1:26" x14ac:dyDescent="0.2">
      <c r="A127" t="str">
        <f t="shared" si="4"/>
        <v>Cambodia</v>
      </c>
      <c r="B127" t="s">
        <v>268</v>
      </c>
      <c r="C127">
        <v>0.45034000000000002</v>
      </c>
      <c r="D127">
        <f t="shared" si="7"/>
        <v>4580</v>
      </c>
      <c r="E127">
        <f t="shared" si="5"/>
        <v>16.899999999999999</v>
      </c>
      <c r="F127">
        <f t="shared" si="6"/>
        <v>0.31509999999999999</v>
      </c>
      <c r="H127" t="s">
        <v>199</v>
      </c>
      <c r="I127">
        <v>0.32879999999999998</v>
      </c>
      <c r="K127" t="s">
        <v>268</v>
      </c>
      <c r="L127">
        <v>0.45034000000000002</v>
      </c>
      <c r="N127" t="s">
        <v>254</v>
      </c>
      <c r="O127">
        <v>0.57382</v>
      </c>
      <c r="Q127" t="s">
        <v>278</v>
      </c>
      <c r="R127">
        <v>0.64246000000000003</v>
      </c>
      <c r="T127" t="s">
        <v>278</v>
      </c>
      <c r="U127" s="8">
        <v>11800</v>
      </c>
      <c r="V127">
        <v>5.3</v>
      </c>
      <c r="W127">
        <v>127</v>
      </c>
      <c r="X127">
        <v>0.72487437185929648</v>
      </c>
      <c r="Y127">
        <v>127</v>
      </c>
      <c r="Z127">
        <v>0.72487437185929648</v>
      </c>
    </row>
    <row r="128" spans="1:26" x14ac:dyDescent="0.2">
      <c r="A128" t="str">
        <f t="shared" si="4"/>
        <v>Nicaragua</v>
      </c>
      <c r="B128" t="s">
        <v>289</v>
      </c>
      <c r="C128">
        <v>0.44927</v>
      </c>
      <c r="D128">
        <f t="shared" si="7"/>
        <v>5790</v>
      </c>
      <c r="E128">
        <f t="shared" si="5"/>
        <v>7</v>
      </c>
      <c r="F128">
        <f t="shared" si="6"/>
        <v>0.2329</v>
      </c>
      <c r="H128" t="s">
        <v>195</v>
      </c>
      <c r="I128">
        <v>0.31509999999999999</v>
      </c>
      <c r="K128" t="s">
        <v>289</v>
      </c>
      <c r="L128">
        <v>0.44927</v>
      </c>
      <c r="N128" t="s">
        <v>281</v>
      </c>
      <c r="O128">
        <v>0.57345999999999997</v>
      </c>
      <c r="Q128" t="s">
        <v>284</v>
      </c>
      <c r="R128">
        <v>0.61651999999999996</v>
      </c>
      <c r="T128" t="s">
        <v>279</v>
      </c>
      <c r="U128" s="5">
        <v>12740</v>
      </c>
      <c r="V128">
        <v>7.0000000000000007E-2</v>
      </c>
      <c r="W128">
        <v>128</v>
      </c>
      <c r="X128">
        <v>0.72864321608040195</v>
      </c>
      <c r="Y128">
        <v>128</v>
      </c>
      <c r="Z128">
        <v>0.72864321608040195</v>
      </c>
    </row>
    <row r="129" spans="1:26" x14ac:dyDescent="0.2">
      <c r="A129" t="str">
        <f t="shared" si="4"/>
        <v>Lebanon</v>
      </c>
      <c r="B129" t="s">
        <v>278</v>
      </c>
      <c r="C129">
        <v>0.44894000000000001</v>
      </c>
      <c r="D129">
        <f t="shared" si="7"/>
        <v>11800</v>
      </c>
      <c r="E129">
        <f t="shared" si="5"/>
        <v>5.3</v>
      </c>
      <c r="F129">
        <f t="shared" si="6"/>
        <v>0.46579999999999999</v>
      </c>
      <c r="H129" t="s">
        <v>375</v>
      </c>
      <c r="I129">
        <v>0.31509999999999999</v>
      </c>
      <c r="K129" t="s">
        <v>278</v>
      </c>
      <c r="L129">
        <v>0.44894000000000001</v>
      </c>
      <c r="N129" t="s">
        <v>180</v>
      </c>
      <c r="O129">
        <v>0.57194</v>
      </c>
      <c r="Q129" t="s">
        <v>252</v>
      </c>
      <c r="R129">
        <v>0.61277999999999999</v>
      </c>
      <c r="T129" t="s">
        <v>282</v>
      </c>
      <c r="U129" s="5">
        <v>20540</v>
      </c>
      <c r="V129">
        <v>0.8</v>
      </c>
      <c r="W129">
        <v>129</v>
      </c>
      <c r="X129">
        <v>0.73241206030150752</v>
      </c>
      <c r="Y129">
        <v>129</v>
      </c>
      <c r="Z129">
        <v>0.73241206030150752</v>
      </c>
    </row>
    <row r="130" spans="1:26" x14ac:dyDescent="0.2">
      <c r="A130" t="str">
        <f t="shared" si="4"/>
        <v>Nepal</v>
      </c>
      <c r="B130" t="s">
        <v>267</v>
      </c>
      <c r="C130">
        <v>0.44806000000000001</v>
      </c>
      <c r="D130">
        <f t="shared" si="7"/>
        <v>4190</v>
      </c>
      <c r="E130">
        <f t="shared" si="5"/>
        <v>30</v>
      </c>
      <c r="F130">
        <f t="shared" si="6"/>
        <v>0.21920000000000001</v>
      </c>
      <c r="H130" t="s">
        <v>268</v>
      </c>
      <c r="I130">
        <v>0.31509999999999999</v>
      </c>
      <c r="K130" t="s">
        <v>267</v>
      </c>
      <c r="L130">
        <v>0.44806000000000001</v>
      </c>
      <c r="N130" t="s">
        <v>190</v>
      </c>
      <c r="O130">
        <v>0.56935000000000002</v>
      </c>
      <c r="Q130" t="s">
        <v>249</v>
      </c>
      <c r="R130">
        <v>0.59014999999999995</v>
      </c>
      <c r="T130" t="s">
        <v>284</v>
      </c>
      <c r="U130" s="5">
        <v>3310</v>
      </c>
      <c r="V130">
        <v>0.3</v>
      </c>
      <c r="W130">
        <v>130</v>
      </c>
      <c r="X130">
        <v>0.73618090452261309</v>
      </c>
      <c r="Y130">
        <v>130</v>
      </c>
      <c r="Z130">
        <v>0.73618090452261309</v>
      </c>
    </row>
    <row r="131" spans="1:26" x14ac:dyDescent="0.2">
      <c r="A131" t="str">
        <f t="shared" ref="A131:A194" si="8">IF(E131&gt;1, B131, "")</f>
        <v>Tajikistan</v>
      </c>
      <c r="B131" t="s">
        <v>274</v>
      </c>
      <c r="C131">
        <v>0.4476</v>
      </c>
      <c r="D131">
        <f t="shared" ref="D131:D194" si="9">INDEX($U$2:$U$194, MATCH(B131,$T$2:$T$194,0))</f>
        <v>4170</v>
      </c>
      <c r="E131">
        <f t="shared" ref="E131:E194" si="10">INDEX($V$2:$V$194, MATCH(B131,$T$2:$T$194,0))</f>
        <v>10</v>
      </c>
      <c r="F131">
        <f t="shared" ref="F131:F194" si="11">INDEX($I$2:$I$194, MATCH(B131,$H$2:$H$194,0))</f>
        <v>0.27400000000000002</v>
      </c>
      <c r="H131" t="s">
        <v>160</v>
      </c>
      <c r="I131">
        <v>0.3014</v>
      </c>
      <c r="K131" t="s">
        <v>274</v>
      </c>
      <c r="L131">
        <v>0.4476</v>
      </c>
      <c r="N131" t="s">
        <v>280</v>
      </c>
      <c r="O131">
        <v>0.56101999999999996</v>
      </c>
      <c r="Q131" t="s">
        <v>321</v>
      </c>
      <c r="R131">
        <v>0.58633999999999997</v>
      </c>
      <c r="T131" t="s">
        <v>285</v>
      </c>
      <c r="U131" s="5">
        <v>3630</v>
      </c>
      <c r="V131">
        <v>19.600000000000001</v>
      </c>
      <c r="W131">
        <v>131</v>
      </c>
      <c r="X131">
        <v>0.73994974874371866</v>
      </c>
      <c r="Y131">
        <v>131</v>
      </c>
      <c r="Z131">
        <v>0.73994974874371866</v>
      </c>
    </row>
    <row r="132" spans="1:26" x14ac:dyDescent="0.2">
      <c r="A132" t="str">
        <f t="shared" si="8"/>
        <v>Togo</v>
      </c>
      <c r="B132" t="s">
        <v>339</v>
      </c>
      <c r="C132">
        <v>0.44721</v>
      </c>
      <c r="D132">
        <f t="shared" si="9"/>
        <v>2800</v>
      </c>
      <c r="E132">
        <f t="shared" si="10"/>
        <v>8.5</v>
      </c>
      <c r="F132">
        <f t="shared" si="11"/>
        <v>0.4521</v>
      </c>
      <c r="H132" t="s">
        <v>349</v>
      </c>
      <c r="I132">
        <v>0.3014</v>
      </c>
      <c r="K132" t="s">
        <v>339</v>
      </c>
      <c r="L132">
        <v>0.44721</v>
      </c>
      <c r="N132" t="s">
        <v>194</v>
      </c>
      <c r="O132">
        <v>0.55857000000000001</v>
      </c>
      <c r="Q132" t="s">
        <v>289</v>
      </c>
      <c r="R132">
        <v>0.58511999999999997</v>
      </c>
      <c r="T132" t="s">
        <v>287</v>
      </c>
      <c r="U132" s="8">
        <v>17440</v>
      </c>
      <c r="V132">
        <v>28.2</v>
      </c>
      <c r="W132">
        <v>132</v>
      </c>
      <c r="X132">
        <v>0.74371859296482412</v>
      </c>
      <c r="Y132">
        <v>132</v>
      </c>
      <c r="Z132">
        <v>0.74371859296482412</v>
      </c>
    </row>
    <row r="133" spans="1:26" x14ac:dyDescent="0.2">
      <c r="A133" t="str">
        <f t="shared" si="8"/>
        <v/>
      </c>
      <c r="B133" t="s">
        <v>239</v>
      </c>
      <c r="C133">
        <v>0.41658000000000001</v>
      </c>
      <c r="D133">
        <f t="shared" si="9"/>
        <v>21840</v>
      </c>
      <c r="E133">
        <f t="shared" si="10"/>
        <v>0.1</v>
      </c>
      <c r="F133">
        <f t="shared" si="11"/>
        <v>0.34250000000000003</v>
      </c>
      <c r="H133" t="s">
        <v>279</v>
      </c>
      <c r="I133">
        <v>0.3014</v>
      </c>
      <c r="K133" t="s">
        <v>239</v>
      </c>
      <c r="L133">
        <v>0.41658000000000001</v>
      </c>
      <c r="N133" t="s">
        <v>169</v>
      </c>
      <c r="O133">
        <v>0.55684</v>
      </c>
      <c r="Q133" t="s">
        <v>272</v>
      </c>
      <c r="R133">
        <v>0.58426999999999996</v>
      </c>
      <c r="T133" t="s">
        <v>289</v>
      </c>
      <c r="U133" s="5">
        <v>5790</v>
      </c>
      <c r="V133">
        <v>7</v>
      </c>
      <c r="W133">
        <v>133</v>
      </c>
      <c r="X133">
        <v>0.74748743718592969</v>
      </c>
      <c r="Y133">
        <v>133</v>
      </c>
      <c r="Z133">
        <v>0.74748743718592969</v>
      </c>
    </row>
    <row r="134" spans="1:26" x14ac:dyDescent="0.2">
      <c r="A134" t="str">
        <f t="shared" si="8"/>
        <v>Zimbabwe</v>
      </c>
      <c r="B134" t="s">
        <v>317</v>
      </c>
      <c r="C134">
        <v>0.41003000000000001</v>
      </c>
      <c r="D134">
        <f t="shared" si="9"/>
        <v>2150</v>
      </c>
      <c r="E134">
        <f t="shared" si="10"/>
        <v>16</v>
      </c>
      <c r="F134">
        <f t="shared" si="11"/>
        <v>0.27400000000000002</v>
      </c>
      <c r="H134" t="s">
        <v>298</v>
      </c>
      <c r="I134">
        <v>0.3014</v>
      </c>
      <c r="K134" t="s">
        <v>317</v>
      </c>
      <c r="L134">
        <v>0.41003000000000001</v>
      </c>
      <c r="N134" t="s">
        <v>205</v>
      </c>
      <c r="O134">
        <v>0.54781000000000002</v>
      </c>
      <c r="Q134" t="s">
        <v>344</v>
      </c>
      <c r="R134">
        <v>0.58238999999999996</v>
      </c>
      <c r="T134" t="s">
        <v>290</v>
      </c>
      <c r="U134" s="5">
        <v>13740</v>
      </c>
      <c r="V134">
        <v>0.2</v>
      </c>
      <c r="W134">
        <v>134</v>
      </c>
      <c r="X134">
        <v>0.75125628140703515</v>
      </c>
      <c r="Y134">
        <v>134</v>
      </c>
      <c r="Z134">
        <v>0.75125628140703515</v>
      </c>
    </row>
    <row r="135" spans="1:26" x14ac:dyDescent="0.2">
      <c r="A135" t="str">
        <f t="shared" si="8"/>
        <v/>
      </c>
      <c r="B135" t="s">
        <v>306</v>
      </c>
      <c r="C135">
        <v>0.40544999999999998</v>
      </c>
      <c r="D135">
        <f t="shared" si="9"/>
        <v>9420</v>
      </c>
      <c r="E135">
        <f t="shared" si="10"/>
        <v>0.4</v>
      </c>
      <c r="F135">
        <f t="shared" si="11"/>
        <v>0.2329</v>
      </c>
      <c r="H135" t="s">
        <v>308</v>
      </c>
      <c r="I135">
        <v>0.3014</v>
      </c>
      <c r="K135" t="s">
        <v>306</v>
      </c>
      <c r="L135">
        <v>0.40544999999999998</v>
      </c>
      <c r="N135" t="s">
        <v>113</v>
      </c>
      <c r="O135">
        <v>0.54668000000000005</v>
      </c>
      <c r="Q135" t="s">
        <v>274</v>
      </c>
      <c r="R135">
        <v>0.58098000000000005</v>
      </c>
      <c r="T135" t="s">
        <v>293</v>
      </c>
      <c r="U135" s="5">
        <v>6070</v>
      </c>
      <c r="V135">
        <v>0.1</v>
      </c>
      <c r="W135">
        <v>135</v>
      </c>
      <c r="X135">
        <v>0.75502512562814073</v>
      </c>
      <c r="Y135">
        <v>135</v>
      </c>
      <c r="Z135">
        <v>0.75502512562814073</v>
      </c>
    </row>
    <row r="136" spans="1:26" x14ac:dyDescent="0.2">
      <c r="A136" t="str">
        <f t="shared" si="8"/>
        <v>Madagascar</v>
      </c>
      <c r="B136" t="s">
        <v>349</v>
      </c>
      <c r="C136">
        <v>0.40447</v>
      </c>
      <c r="D136">
        <f t="shared" si="9"/>
        <v>1600</v>
      </c>
      <c r="E136">
        <f t="shared" si="10"/>
        <v>29.1</v>
      </c>
      <c r="F136">
        <f t="shared" si="11"/>
        <v>0.3014</v>
      </c>
      <c r="H136" t="s">
        <v>305</v>
      </c>
      <c r="I136">
        <v>0.3014</v>
      </c>
      <c r="K136" t="s">
        <v>349</v>
      </c>
      <c r="L136">
        <v>0.40447</v>
      </c>
      <c r="N136" t="s">
        <v>296</v>
      </c>
      <c r="O136">
        <v>0.54634000000000005</v>
      </c>
      <c r="Q136" t="s">
        <v>222</v>
      </c>
      <c r="R136">
        <v>0.57003999999999999</v>
      </c>
      <c r="T136" t="s">
        <v>295</v>
      </c>
      <c r="U136" s="5">
        <v>4090</v>
      </c>
      <c r="V136">
        <v>17.899999999999999</v>
      </c>
      <c r="W136">
        <v>136</v>
      </c>
      <c r="X136">
        <v>0.7587939698492463</v>
      </c>
      <c r="Y136">
        <v>136</v>
      </c>
      <c r="Z136">
        <v>0.7587939698492463</v>
      </c>
    </row>
    <row r="137" spans="1:26" x14ac:dyDescent="0.2">
      <c r="A137" t="str">
        <f t="shared" si="8"/>
        <v>Cameroon</v>
      </c>
      <c r="B137" t="s">
        <v>329</v>
      </c>
      <c r="C137">
        <v>0.39884999999999998</v>
      </c>
      <c r="D137">
        <f t="shared" si="9"/>
        <v>4090</v>
      </c>
      <c r="E137">
        <f t="shared" si="10"/>
        <v>27.2</v>
      </c>
      <c r="F137">
        <f t="shared" si="11"/>
        <v>0.42470000000000002</v>
      </c>
      <c r="H137" t="s">
        <v>214</v>
      </c>
      <c r="I137">
        <v>0.3014</v>
      </c>
      <c r="K137" t="s">
        <v>329</v>
      </c>
      <c r="L137">
        <v>0.39884999999999998</v>
      </c>
      <c r="N137" t="s">
        <v>219</v>
      </c>
      <c r="O137">
        <v>0.54329000000000005</v>
      </c>
      <c r="Q137" t="s">
        <v>287</v>
      </c>
      <c r="R137">
        <v>0.53905000000000003</v>
      </c>
      <c r="T137" t="s">
        <v>297</v>
      </c>
      <c r="U137" s="5">
        <v>5860</v>
      </c>
      <c r="V137">
        <v>235.8</v>
      </c>
      <c r="W137">
        <v>137</v>
      </c>
      <c r="X137">
        <v>0.76256281407035176</v>
      </c>
      <c r="Y137">
        <v>137</v>
      </c>
      <c r="Z137">
        <v>0.76256281407035176</v>
      </c>
    </row>
    <row r="138" spans="1:26" x14ac:dyDescent="0.2">
      <c r="A138" t="str">
        <f t="shared" si="8"/>
        <v>Botswana</v>
      </c>
      <c r="B138" t="s">
        <v>256</v>
      </c>
      <c r="C138">
        <v>0.39851999999999999</v>
      </c>
      <c r="D138">
        <f t="shared" si="9"/>
        <v>17220</v>
      </c>
      <c r="E138">
        <f t="shared" si="10"/>
        <v>2.4</v>
      </c>
      <c r="F138">
        <f t="shared" si="11"/>
        <v>0.27400000000000002</v>
      </c>
      <c r="H138" t="s">
        <v>299</v>
      </c>
      <c r="I138">
        <v>0.28770000000000001</v>
      </c>
      <c r="K138" t="s">
        <v>256</v>
      </c>
      <c r="L138">
        <v>0.39851999999999999</v>
      </c>
      <c r="N138" t="s">
        <v>291</v>
      </c>
      <c r="O138">
        <v>0.53949999999999998</v>
      </c>
      <c r="Q138" t="s">
        <v>299</v>
      </c>
      <c r="R138">
        <v>0.53381999999999996</v>
      </c>
      <c r="T138" t="s">
        <v>298</v>
      </c>
      <c r="U138" s="5">
        <v>14370</v>
      </c>
      <c r="V138">
        <v>0.02</v>
      </c>
      <c r="W138">
        <v>138</v>
      </c>
      <c r="X138">
        <v>0.76633165829145722</v>
      </c>
      <c r="Y138">
        <v>138</v>
      </c>
      <c r="Z138">
        <v>0.76633165829145722</v>
      </c>
    </row>
    <row r="139" spans="1:26" x14ac:dyDescent="0.2">
      <c r="A139" t="str">
        <f t="shared" si="8"/>
        <v>Angola</v>
      </c>
      <c r="B139" t="s">
        <v>332</v>
      </c>
      <c r="C139">
        <v>0.39623999999999998</v>
      </c>
      <c r="D139">
        <f t="shared" si="9"/>
        <v>6090</v>
      </c>
      <c r="E139">
        <f t="shared" si="10"/>
        <v>35.6</v>
      </c>
      <c r="F139">
        <f t="shared" si="11"/>
        <v>0.21920000000000001</v>
      </c>
      <c r="H139" t="s">
        <v>377</v>
      </c>
      <c r="I139">
        <v>0.28770000000000001</v>
      </c>
      <c r="K139" t="s">
        <v>332</v>
      </c>
      <c r="L139">
        <v>0.39623999999999998</v>
      </c>
      <c r="N139" t="s">
        <v>244</v>
      </c>
      <c r="O139">
        <v>0.53478999999999999</v>
      </c>
      <c r="Q139" t="s">
        <v>303</v>
      </c>
      <c r="R139">
        <v>0.53183000000000002</v>
      </c>
      <c r="T139" t="s">
        <v>300</v>
      </c>
      <c r="U139" s="5">
        <v>5140</v>
      </c>
      <c r="V139">
        <v>54.2</v>
      </c>
      <c r="W139">
        <v>139</v>
      </c>
      <c r="X139">
        <v>0.77010050251256279</v>
      </c>
      <c r="Y139">
        <v>139</v>
      </c>
      <c r="Z139">
        <v>0.77010050251256279</v>
      </c>
    </row>
    <row r="140" spans="1:26" x14ac:dyDescent="0.2">
      <c r="A140" t="str">
        <f t="shared" si="8"/>
        <v>Mozambique</v>
      </c>
      <c r="B140" t="s">
        <v>361</v>
      </c>
      <c r="C140">
        <v>0.39590999999999998</v>
      </c>
      <c r="D140">
        <f t="shared" si="9"/>
        <v>1520</v>
      </c>
      <c r="E140">
        <f t="shared" si="10"/>
        <v>33.9</v>
      </c>
      <c r="F140">
        <f t="shared" si="11"/>
        <v>0.20549999999999999</v>
      </c>
      <c r="H140" t="s">
        <v>241</v>
      </c>
      <c r="I140">
        <v>0.28770000000000001</v>
      </c>
      <c r="K140" t="s">
        <v>361</v>
      </c>
      <c r="L140">
        <v>0.39590999999999998</v>
      </c>
      <c r="N140" t="s">
        <v>226</v>
      </c>
      <c r="O140">
        <v>0.53473999999999999</v>
      </c>
      <c r="Q140" t="s">
        <v>306</v>
      </c>
      <c r="R140">
        <v>0.52917000000000003</v>
      </c>
      <c r="T140" t="s">
        <v>303</v>
      </c>
      <c r="U140" s="8">
        <v>8920</v>
      </c>
      <c r="V140">
        <v>11.1</v>
      </c>
      <c r="W140">
        <v>140</v>
      </c>
      <c r="X140">
        <v>0.77386934673366836</v>
      </c>
      <c r="Y140">
        <v>140</v>
      </c>
      <c r="Z140">
        <v>0.77386934673366836</v>
      </c>
    </row>
    <row r="141" spans="1:26" x14ac:dyDescent="0.2">
      <c r="A141" t="str">
        <f t="shared" si="8"/>
        <v/>
      </c>
      <c r="B141" t="s">
        <v>263</v>
      </c>
      <c r="C141">
        <v>0.39062999999999998</v>
      </c>
      <c r="D141">
        <f t="shared" si="9"/>
        <v>14990</v>
      </c>
      <c r="E141">
        <f t="shared" si="10"/>
        <v>0.1</v>
      </c>
      <c r="F141">
        <f t="shared" si="11"/>
        <v>0.34250000000000003</v>
      </c>
      <c r="H141" t="s">
        <v>325</v>
      </c>
      <c r="I141">
        <v>0.28770000000000001</v>
      </c>
      <c r="K141" t="s">
        <v>263</v>
      </c>
      <c r="L141">
        <v>0.39062999999999998</v>
      </c>
      <c r="N141" t="s">
        <v>140</v>
      </c>
      <c r="O141">
        <v>0.52710999999999997</v>
      </c>
      <c r="Q141" t="s">
        <v>312</v>
      </c>
      <c r="R141">
        <v>0.51512000000000002</v>
      </c>
      <c r="T141" t="s">
        <v>305</v>
      </c>
      <c r="U141" s="5">
        <v>6310</v>
      </c>
      <c r="V141">
        <v>0.2</v>
      </c>
      <c r="W141">
        <v>141</v>
      </c>
      <c r="X141">
        <v>0.77763819095477393</v>
      </c>
      <c r="Y141">
        <v>141</v>
      </c>
      <c r="Z141">
        <v>0.77763819095477393</v>
      </c>
    </row>
    <row r="142" spans="1:26" x14ac:dyDescent="0.2">
      <c r="A142" t="str">
        <f t="shared" si="8"/>
        <v/>
      </c>
      <c r="B142" t="s">
        <v>315</v>
      </c>
      <c r="C142">
        <v>0.39034999999999997</v>
      </c>
      <c r="D142">
        <f t="shared" si="9"/>
        <v>2530</v>
      </c>
      <c r="E142">
        <f t="shared" si="10"/>
        <v>0.1</v>
      </c>
      <c r="F142">
        <f t="shared" si="11"/>
        <v>0.32879999999999998</v>
      </c>
      <c r="H142" t="s">
        <v>355</v>
      </c>
      <c r="I142">
        <v>0.27400000000000002</v>
      </c>
      <c r="K142" t="s">
        <v>315</v>
      </c>
      <c r="L142">
        <v>0.39034999999999997</v>
      </c>
      <c r="N142" t="s">
        <v>294</v>
      </c>
      <c r="O142">
        <v>0.52698</v>
      </c>
      <c r="Q142" t="s">
        <v>285</v>
      </c>
      <c r="R142">
        <v>0.50880000000000003</v>
      </c>
      <c r="T142" t="s">
        <v>306</v>
      </c>
      <c r="U142" s="5">
        <v>9420</v>
      </c>
      <c r="V142">
        <v>0.4</v>
      </c>
      <c r="W142">
        <v>142</v>
      </c>
      <c r="X142">
        <v>0.78140703517587939</v>
      </c>
      <c r="Y142">
        <v>142</v>
      </c>
      <c r="Z142">
        <v>0.78140703517587939</v>
      </c>
    </row>
    <row r="143" spans="1:26" x14ac:dyDescent="0.2">
      <c r="A143" t="str">
        <f t="shared" si="8"/>
        <v>Sierra Leone</v>
      </c>
      <c r="B143" t="s">
        <v>354</v>
      </c>
      <c r="C143">
        <v>0.38228000000000001</v>
      </c>
      <c r="D143">
        <f t="shared" si="9"/>
        <v>1660</v>
      </c>
      <c r="E143">
        <f t="shared" si="10"/>
        <v>8.6999999999999993</v>
      </c>
      <c r="F143">
        <f t="shared" si="11"/>
        <v>0.32879999999999998</v>
      </c>
      <c r="H143" t="s">
        <v>258</v>
      </c>
      <c r="I143">
        <v>0.27400000000000002</v>
      </c>
      <c r="K143" t="s">
        <v>354</v>
      </c>
      <c r="L143">
        <v>0.38228000000000001</v>
      </c>
      <c r="N143" t="s">
        <v>232</v>
      </c>
      <c r="O143">
        <v>0.52100000000000002</v>
      </c>
      <c r="Q143" t="s">
        <v>298</v>
      </c>
      <c r="R143">
        <v>0.49096000000000001</v>
      </c>
      <c r="T143" t="s">
        <v>308</v>
      </c>
      <c r="U143" s="5">
        <v>6500</v>
      </c>
      <c r="V143">
        <v>10.3</v>
      </c>
      <c r="W143">
        <v>143</v>
      </c>
      <c r="X143">
        <v>0.78517587939698497</v>
      </c>
      <c r="Y143">
        <v>143</v>
      </c>
      <c r="Z143">
        <v>0.78517587939698497</v>
      </c>
    </row>
    <row r="144" spans="1:26" x14ac:dyDescent="0.2">
      <c r="A144" t="str">
        <f t="shared" si="8"/>
        <v/>
      </c>
      <c r="B144" t="s">
        <v>279</v>
      </c>
      <c r="C144">
        <v>0.37983</v>
      </c>
      <c r="D144">
        <f t="shared" si="9"/>
        <v>12740</v>
      </c>
      <c r="E144">
        <f t="shared" si="10"/>
        <v>7.0000000000000007E-2</v>
      </c>
      <c r="F144">
        <f t="shared" si="11"/>
        <v>0.3014</v>
      </c>
      <c r="H144" t="s">
        <v>256</v>
      </c>
      <c r="I144">
        <v>0.27400000000000002</v>
      </c>
      <c r="K144" t="s">
        <v>279</v>
      </c>
      <c r="L144">
        <v>0.37983</v>
      </c>
      <c r="N144" t="s">
        <v>242</v>
      </c>
      <c r="O144">
        <v>0.51924999999999999</v>
      </c>
      <c r="Q144" t="s">
        <v>352</v>
      </c>
      <c r="R144">
        <v>0.49023</v>
      </c>
      <c r="T144" t="s">
        <v>309</v>
      </c>
      <c r="U144" s="5">
        <v>6310</v>
      </c>
      <c r="V144">
        <v>0.06</v>
      </c>
      <c r="W144">
        <v>144</v>
      </c>
      <c r="X144">
        <v>0.78894472361809043</v>
      </c>
      <c r="Y144">
        <v>144</v>
      </c>
      <c r="Z144">
        <v>0.78894472361809043</v>
      </c>
    </row>
    <row r="145" spans="1:26" x14ac:dyDescent="0.2">
      <c r="A145" t="str">
        <f t="shared" si="8"/>
        <v>Iran</v>
      </c>
      <c r="B145" t="s">
        <v>143</v>
      </c>
      <c r="C145">
        <v>0.37729000000000001</v>
      </c>
      <c r="D145">
        <f t="shared" si="9"/>
        <v>16790</v>
      </c>
      <c r="E145">
        <f t="shared" si="10"/>
        <v>88.6</v>
      </c>
      <c r="F145">
        <f t="shared" si="11"/>
        <v>0.17810000000000001</v>
      </c>
      <c r="H145" t="s">
        <v>274</v>
      </c>
      <c r="I145">
        <v>0.27400000000000002</v>
      </c>
      <c r="K145" t="s">
        <v>143</v>
      </c>
      <c r="L145">
        <v>0.37729000000000001</v>
      </c>
      <c r="N145" t="s">
        <v>277</v>
      </c>
      <c r="O145">
        <v>0.51817999999999997</v>
      </c>
      <c r="Q145" t="s">
        <v>327</v>
      </c>
      <c r="R145">
        <v>0.48393999999999998</v>
      </c>
      <c r="T145" t="s">
        <v>311</v>
      </c>
      <c r="U145" s="5">
        <v>5000</v>
      </c>
      <c r="V145">
        <v>218.5</v>
      </c>
      <c r="W145">
        <v>145</v>
      </c>
      <c r="X145">
        <v>0.792713567839196</v>
      </c>
      <c r="Y145">
        <v>145</v>
      </c>
      <c r="Z145">
        <v>0.792713567839196</v>
      </c>
    </row>
    <row r="146" spans="1:26" x14ac:dyDescent="0.2">
      <c r="A146" t="str">
        <f t="shared" si="8"/>
        <v/>
      </c>
      <c r="B146" t="s">
        <v>305</v>
      </c>
      <c r="C146">
        <v>0.36377999999999999</v>
      </c>
      <c r="D146">
        <f t="shared" si="9"/>
        <v>6310</v>
      </c>
      <c r="E146">
        <f t="shared" si="10"/>
        <v>0.2</v>
      </c>
      <c r="F146">
        <f t="shared" si="11"/>
        <v>0.3014</v>
      </c>
      <c r="H146" t="s">
        <v>317</v>
      </c>
      <c r="I146">
        <v>0.27400000000000002</v>
      </c>
      <c r="K146" t="s">
        <v>305</v>
      </c>
      <c r="L146">
        <v>0.36377999999999999</v>
      </c>
      <c r="N146" t="s">
        <v>237</v>
      </c>
      <c r="O146">
        <v>0.51488999999999996</v>
      </c>
      <c r="Q146" t="s">
        <v>311</v>
      </c>
      <c r="R146">
        <v>0.48354999999999998</v>
      </c>
      <c r="T146" t="s">
        <v>312</v>
      </c>
      <c r="U146" s="5">
        <v>16050</v>
      </c>
      <c r="V146">
        <v>6.3</v>
      </c>
      <c r="W146">
        <v>146</v>
      </c>
      <c r="X146">
        <v>0.79648241206030157</v>
      </c>
      <c r="Y146">
        <v>146</v>
      </c>
      <c r="Z146">
        <v>0.79648241206030157</v>
      </c>
    </row>
    <row r="147" spans="1:26" x14ac:dyDescent="0.2">
      <c r="A147" t="str">
        <f t="shared" si="8"/>
        <v/>
      </c>
      <c r="B147" t="s">
        <v>309</v>
      </c>
      <c r="C147">
        <v>0.35858000000000001</v>
      </c>
      <c r="D147">
        <f t="shared" si="9"/>
        <v>6310</v>
      </c>
      <c r="E147">
        <f t="shared" si="10"/>
        <v>0.06</v>
      </c>
      <c r="F147">
        <f t="shared" si="11"/>
        <v>0.32879999999999998</v>
      </c>
      <c r="H147" t="s">
        <v>365</v>
      </c>
      <c r="I147">
        <v>0.24660000000000001</v>
      </c>
      <c r="K147" t="s">
        <v>309</v>
      </c>
      <c r="L147">
        <v>0.35858000000000001</v>
      </c>
      <c r="N147" t="s">
        <v>276</v>
      </c>
      <c r="O147">
        <v>0.51036000000000004</v>
      </c>
      <c r="Q147" t="s">
        <v>313</v>
      </c>
      <c r="R147">
        <v>0.48171000000000003</v>
      </c>
      <c r="T147" t="s">
        <v>313</v>
      </c>
      <c r="U147" s="5">
        <v>3740</v>
      </c>
      <c r="V147">
        <v>13.7</v>
      </c>
      <c r="W147">
        <v>147</v>
      </c>
      <c r="X147">
        <v>0.80025125628140703</v>
      </c>
      <c r="Y147">
        <v>147</v>
      </c>
      <c r="Z147">
        <v>0.80025125628140703</v>
      </c>
    </row>
    <row r="148" spans="1:26" x14ac:dyDescent="0.2">
      <c r="A148" t="str">
        <f t="shared" si="8"/>
        <v>Venezuela</v>
      </c>
      <c r="B148" t="s">
        <v>287</v>
      </c>
      <c r="C148">
        <v>0.35755999999999999</v>
      </c>
      <c r="D148">
        <f t="shared" si="9"/>
        <v>17440</v>
      </c>
      <c r="E148">
        <f t="shared" si="10"/>
        <v>28.2</v>
      </c>
      <c r="F148">
        <f t="shared" si="11"/>
        <v>0.21920000000000001</v>
      </c>
      <c r="H148" t="s">
        <v>238</v>
      </c>
      <c r="I148">
        <v>0.24660000000000001</v>
      </c>
      <c r="K148" t="s">
        <v>287</v>
      </c>
      <c r="L148">
        <v>0.35755999999999999</v>
      </c>
      <c r="N148" t="s">
        <v>273</v>
      </c>
      <c r="O148">
        <v>0.50812000000000002</v>
      </c>
      <c r="Q148" t="s">
        <v>308</v>
      </c>
      <c r="R148">
        <v>0.47992000000000001</v>
      </c>
      <c r="T148" t="s">
        <v>315</v>
      </c>
      <c r="U148" s="5">
        <v>2530</v>
      </c>
      <c r="V148">
        <v>0.1</v>
      </c>
      <c r="W148">
        <v>148</v>
      </c>
      <c r="X148">
        <v>0.80402010050251249</v>
      </c>
      <c r="Y148">
        <v>148</v>
      </c>
      <c r="Z148">
        <v>0.80402010050251249</v>
      </c>
    </row>
    <row r="149" spans="1:26" x14ac:dyDescent="0.2">
      <c r="A149" t="str">
        <f t="shared" si="8"/>
        <v/>
      </c>
      <c r="B149" t="s">
        <v>233</v>
      </c>
      <c r="C149">
        <v>0.35754000000000002</v>
      </c>
      <c r="E149">
        <f t="shared" si="10"/>
        <v>0.03</v>
      </c>
      <c r="F149">
        <f t="shared" si="11"/>
        <v>0.12330000000000001</v>
      </c>
      <c r="H149" t="s">
        <v>321</v>
      </c>
      <c r="I149">
        <v>0.2329</v>
      </c>
      <c r="K149" t="s">
        <v>233</v>
      </c>
      <c r="L149">
        <v>0.35754000000000002</v>
      </c>
      <c r="N149" t="s">
        <v>286</v>
      </c>
      <c r="O149">
        <v>0.50612000000000001</v>
      </c>
      <c r="Q149" t="s">
        <v>293</v>
      </c>
      <c r="R149">
        <v>0.47841</v>
      </c>
      <c r="T149" t="s">
        <v>316</v>
      </c>
      <c r="U149" s="5">
        <v>14160</v>
      </c>
      <c r="V149">
        <v>44.5</v>
      </c>
      <c r="W149">
        <v>149</v>
      </c>
      <c r="X149">
        <v>0.80778894472361806</v>
      </c>
      <c r="Y149">
        <v>149</v>
      </c>
      <c r="Z149">
        <v>0.80778894472361806</v>
      </c>
    </row>
    <row r="150" spans="1:26" x14ac:dyDescent="0.2">
      <c r="A150" t="str">
        <f t="shared" si="8"/>
        <v/>
      </c>
      <c r="B150" t="s">
        <v>282</v>
      </c>
      <c r="C150">
        <v>0.34549000000000002</v>
      </c>
      <c r="D150">
        <f t="shared" si="9"/>
        <v>20540</v>
      </c>
      <c r="E150">
        <f t="shared" si="10"/>
        <v>0.8</v>
      </c>
      <c r="F150">
        <f t="shared" si="11"/>
        <v>0.21920000000000001</v>
      </c>
      <c r="H150" t="s">
        <v>359</v>
      </c>
      <c r="I150">
        <v>0.2329</v>
      </c>
      <c r="K150" t="s">
        <v>282</v>
      </c>
      <c r="L150">
        <v>0.34549000000000002</v>
      </c>
      <c r="N150" t="s">
        <v>212</v>
      </c>
      <c r="O150">
        <v>0.50229000000000001</v>
      </c>
      <c r="Q150" t="s">
        <v>297</v>
      </c>
      <c r="R150">
        <v>0.47453000000000001</v>
      </c>
      <c r="T150" t="s">
        <v>317</v>
      </c>
      <c r="U150" s="5">
        <v>2150</v>
      </c>
      <c r="V150">
        <v>16</v>
      </c>
      <c r="W150">
        <v>150</v>
      </c>
      <c r="X150">
        <v>0.81155778894472363</v>
      </c>
      <c r="Y150">
        <v>150</v>
      </c>
      <c r="Z150">
        <v>0.81155778894472363</v>
      </c>
    </row>
    <row r="151" spans="1:26" x14ac:dyDescent="0.2">
      <c r="A151" t="str">
        <f t="shared" si="8"/>
        <v>Ethiopia</v>
      </c>
      <c r="B151" t="s">
        <v>350</v>
      </c>
      <c r="C151">
        <v>0.34194999999999998</v>
      </c>
      <c r="D151">
        <f t="shared" si="9"/>
        <v>2370</v>
      </c>
      <c r="E151">
        <f t="shared" si="10"/>
        <v>123.4</v>
      </c>
      <c r="F151">
        <f t="shared" si="11"/>
        <v>0.16439999999999999</v>
      </c>
      <c r="H151" t="s">
        <v>289</v>
      </c>
      <c r="I151">
        <v>0.2329</v>
      </c>
      <c r="K151" t="s">
        <v>350</v>
      </c>
      <c r="L151">
        <v>0.34194999999999998</v>
      </c>
      <c r="N151" t="s">
        <v>262</v>
      </c>
      <c r="O151">
        <v>0.49671999999999999</v>
      </c>
      <c r="Q151" t="s">
        <v>334</v>
      </c>
      <c r="R151">
        <v>0.47197</v>
      </c>
      <c r="T151" t="s">
        <v>319</v>
      </c>
      <c r="U151" s="5">
        <v>2370</v>
      </c>
      <c r="V151">
        <v>45.9</v>
      </c>
      <c r="W151">
        <v>151</v>
      </c>
      <c r="X151">
        <v>0.81532663316582921</v>
      </c>
      <c r="Y151">
        <v>151</v>
      </c>
      <c r="Z151">
        <v>0.81532663316582921</v>
      </c>
    </row>
    <row r="152" spans="1:26" x14ac:dyDescent="0.2">
      <c r="A152" t="str">
        <f t="shared" si="8"/>
        <v>Timor-Leste</v>
      </c>
      <c r="B152" t="s">
        <v>276</v>
      </c>
      <c r="C152">
        <v>0.34055999999999997</v>
      </c>
      <c r="D152">
        <f t="shared" si="9"/>
        <v>4170</v>
      </c>
      <c r="E152">
        <f t="shared" si="10"/>
        <v>1.3</v>
      </c>
      <c r="F152">
        <f t="shared" si="11"/>
        <v>0.32879999999999998</v>
      </c>
      <c r="H152" t="s">
        <v>306</v>
      </c>
      <c r="I152">
        <v>0.2329</v>
      </c>
      <c r="K152" t="s">
        <v>276</v>
      </c>
      <c r="L152">
        <v>0.34055999999999997</v>
      </c>
      <c r="N152" t="s">
        <v>322</v>
      </c>
      <c r="O152">
        <v>0.49243999999999999</v>
      </c>
      <c r="Q152" t="s">
        <v>333</v>
      </c>
      <c r="R152">
        <v>0.46427000000000002</v>
      </c>
      <c r="T152" t="s">
        <v>321</v>
      </c>
      <c r="U152" s="8" t="s">
        <v>118</v>
      </c>
      <c r="V152">
        <v>0.01</v>
      </c>
      <c r="W152">
        <v>152</v>
      </c>
      <c r="X152">
        <v>0.81909547738693467</v>
      </c>
      <c r="Y152">
        <v>152</v>
      </c>
      <c r="Z152">
        <v>0.81909547738693467</v>
      </c>
    </row>
    <row r="153" spans="1:26" x14ac:dyDescent="0.2">
      <c r="A153" t="str">
        <f t="shared" si="8"/>
        <v>P.N.G.</v>
      </c>
      <c r="B153" t="s">
        <v>353</v>
      </c>
      <c r="C153">
        <v>0.3392</v>
      </c>
      <c r="D153">
        <f t="shared" si="9"/>
        <v>4230</v>
      </c>
      <c r="E153">
        <f t="shared" si="10"/>
        <v>10.9</v>
      </c>
      <c r="F153">
        <f t="shared" si="11"/>
        <v>0.1918</v>
      </c>
      <c r="H153" t="s">
        <v>332</v>
      </c>
      <c r="I153">
        <v>0.21920000000000001</v>
      </c>
      <c r="K153" t="s">
        <v>353</v>
      </c>
      <c r="L153">
        <v>0.3392</v>
      </c>
      <c r="N153" t="s">
        <v>323</v>
      </c>
      <c r="O153">
        <v>0.48616999999999999</v>
      </c>
      <c r="Q153" t="s">
        <v>305</v>
      </c>
      <c r="R153">
        <v>0.46065</v>
      </c>
      <c r="T153" t="s">
        <v>299</v>
      </c>
      <c r="U153" s="5">
        <v>12122</v>
      </c>
      <c r="V153">
        <v>7.5</v>
      </c>
      <c r="W153">
        <v>153</v>
      </c>
      <c r="X153">
        <v>0.82286432160804024</v>
      </c>
      <c r="Y153">
        <v>153</v>
      </c>
      <c r="Z153">
        <v>0.82286432160804024</v>
      </c>
    </row>
    <row r="154" spans="1:26" x14ac:dyDescent="0.2">
      <c r="A154" t="str">
        <f t="shared" si="8"/>
        <v>Burkina Faso</v>
      </c>
      <c r="B154" t="s">
        <v>357</v>
      </c>
      <c r="C154">
        <v>0.33764</v>
      </c>
      <c r="D154">
        <f t="shared" si="9"/>
        <v>2420</v>
      </c>
      <c r="E154">
        <f t="shared" si="10"/>
        <v>23.3</v>
      </c>
      <c r="F154">
        <f t="shared" si="11"/>
        <v>0.21920000000000001</v>
      </c>
      <c r="H154" t="s">
        <v>267</v>
      </c>
      <c r="I154">
        <v>0.21920000000000001</v>
      </c>
      <c r="K154" t="s">
        <v>357</v>
      </c>
      <c r="L154">
        <v>0.33764</v>
      </c>
      <c r="N154" t="s">
        <v>240</v>
      </c>
      <c r="O154">
        <v>0.48483999999999999</v>
      </c>
      <c r="Q154" t="s">
        <v>355</v>
      </c>
      <c r="R154">
        <v>0.44323000000000001</v>
      </c>
      <c r="T154" t="s">
        <v>325</v>
      </c>
      <c r="U154" s="5">
        <v>3000</v>
      </c>
      <c r="V154">
        <v>63.6</v>
      </c>
      <c r="W154">
        <v>154</v>
      </c>
      <c r="X154">
        <v>0.8266331658291457</v>
      </c>
      <c r="Y154">
        <v>154</v>
      </c>
      <c r="Z154">
        <v>0.8266331658291457</v>
      </c>
    </row>
    <row r="155" spans="1:26" x14ac:dyDescent="0.2">
      <c r="A155" t="str">
        <f t="shared" si="8"/>
        <v>Mali</v>
      </c>
      <c r="B155" t="s">
        <v>355</v>
      </c>
      <c r="C155">
        <v>0.33339999999999997</v>
      </c>
      <c r="D155">
        <f t="shared" si="9"/>
        <v>2540</v>
      </c>
      <c r="E155">
        <f t="shared" si="10"/>
        <v>23.3</v>
      </c>
      <c r="F155">
        <f t="shared" si="11"/>
        <v>0.27400000000000002</v>
      </c>
      <c r="H155" t="s">
        <v>357</v>
      </c>
      <c r="I155">
        <v>0.21920000000000001</v>
      </c>
      <c r="K155" t="s">
        <v>355</v>
      </c>
      <c r="L155">
        <v>0.33339999999999997</v>
      </c>
      <c r="N155" t="s">
        <v>196</v>
      </c>
      <c r="O155">
        <v>0.4834</v>
      </c>
      <c r="Q155" t="s">
        <v>328</v>
      </c>
      <c r="R155">
        <v>0.44256000000000001</v>
      </c>
      <c r="T155" t="s">
        <v>327</v>
      </c>
      <c r="U155" s="5">
        <v>4170</v>
      </c>
      <c r="V155">
        <v>0.2</v>
      </c>
      <c r="W155">
        <v>155</v>
      </c>
      <c r="X155">
        <v>0.83040201005025127</v>
      </c>
      <c r="Y155">
        <v>155</v>
      </c>
      <c r="Z155">
        <v>0.83040201005025127</v>
      </c>
    </row>
    <row r="156" spans="1:26" x14ac:dyDescent="0.2">
      <c r="A156" t="str">
        <f t="shared" si="8"/>
        <v>Algeria</v>
      </c>
      <c r="B156" t="s">
        <v>261</v>
      </c>
      <c r="C156">
        <v>0.33200000000000002</v>
      </c>
      <c r="D156">
        <f t="shared" si="9"/>
        <v>11430</v>
      </c>
      <c r="E156">
        <f t="shared" si="10"/>
        <v>46.2</v>
      </c>
      <c r="F156">
        <f t="shared" si="11"/>
        <v>5.4800000000000001E-2</v>
      </c>
      <c r="H156" t="s">
        <v>371</v>
      </c>
      <c r="I156">
        <v>0.21920000000000001</v>
      </c>
      <c r="K156" t="s">
        <v>261</v>
      </c>
      <c r="L156">
        <v>0.33200000000000002</v>
      </c>
      <c r="N156" t="s">
        <v>231</v>
      </c>
      <c r="O156">
        <v>0.48133999999999999</v>
      </c>
      <c r="Q156" t="s">
        <v>363</v>
      </c>
      <c r="R156">
        <v>0.43922</v>
      </c>
      <c r="T156" t="s">
        <v>329</v>
      </c>
      <c r="U156" s="5">
        <v>4090</v>
      </c>
      <c r="V156">
        <v>27.2</v>
      </c>
      <c r="W156">
        <v>156</v>
      </c>
      <c r="X156">
        <v>0.83417085427135684</v>
      </c>
      <c r="Y156">
        <v>156</v>
      </c>
      <c r="Z156">
        <v>0.83417085427135684</v>
      </c>
    </row>
    <row r="157" spans="1:26" x14ac:dyDescent="0.2">
      <c r="A157" t="str">
        <f t="shared" si="8"/>
        <v>Laos</v>
      </c>
      <c r="B157" t="s">
        <v>299</v>
      </c>
      <c r="C157">
        <v>0.32647999999999999</v>
      </c>
      <c r="D157">
        <f t="shared" si="9"/>
        <v>12122</v>
      </c>
      <c r="E157">
        <f t="shared" si="10"/>
        <v>7.5</v>
      </c>
      <c r="F157">
        <f t="shared" si="11"/>
        <v>0.28770000000000001</v>
      </c>
      <c r="H157" t="s">
        <v>352</v>
      </c>
      <c r="I157">
        <v>0.21920000000000001</v>
      </c>
      <c r="K157" t="s">
        <v>299</v>
      </c>
      <c r="L157">
        <v>0.32647999999999999</v>
      </c>
      <c r="N157" t="s">
        <v>302</v>
      </c>
      <c r="O157">
        <v>0.47602</v>
      </c>
      <c r="Q157" t="s">
        <v>338</v>
      </c>
      <c r="R157">
        <v>0.43230000000000002</v>
      </c>
      <c r="T157" t="s">
        <v>332</v>
      </c>
      <c r="U157" s="5">
        <v>6090</v>
      </c>
      <c r="V157">
        <v>35.6</v>
      </c>
      <c r="W157">
        <v>157</v>
      </c>
      <c r="X157">
        <v>0.8379396984924623</v>
      </c>
      <c r="Y157">
        <v>157</v>
      </c>
      <c r="Z157">
        <v>0.8379396984924623</v>
      </c>
    </row>
    <row r="158" spans="1:26" x14ac:dyDescent="0.2">
      <c r="A158" t="str">
        <f t="shared" si="8"/>
        <v>Myanmar</v>
      </c>
      <c r="B158" t="s">
        <v>300</v>
      </c>
      <c r="C158">
        <v>0.32594000000000001</v>
      </c>
      <c r="D158">
        <f t="shared" si="9"/>
        <v>5140</v>
      </c>
      <c r="E158">
        <f t="shared" si="10"/>
        <v>54.2</v>
      </c>
      <c r="F158">
        <f t="shared" si="11"/>
        <v>0.16439999999999999</v>
      </c>
      <c r="H158" t="s">
        <v>282</v>
      </c>
      <c r="I158">
        <v>0.21920000000000001</v>
      </c>
      <c r="K158" t="s">
        <v>300</v>
      </c>
      <c r="L158">
        <v>0.32594000000000001</v>
      </c>
      <c r="N158" t="s">
        <v>229</v>
      </c>
      <c r="O158">
        <v>0.47493000000000002</v>
      </c>
      <c r="Q158" t="s">
        <v>317</v>
      </c>
      <c r="R158">
        <v>0.39471000000000001</v>
      </c>
      <c r="T158" t="s">
        <v>333</v>
      </c>
      <c r="U158" s="5">
        <v>2740</v>
      </c>
      <c r="V158">
        <v>2.2000000000000002</v>
      </c>
      <c r="W158">
        <v>158</v>
      </c>
      <c r="X158">
        <v>0.84170854271356776</v>
      </c>
      <c r="Y158">
        <v>158</v>
      </c>
      <c r="Z158">
        <v>0.84170854271356776</v>
      </c>
    </row>
    <row r="159" spans="1:26" x14ac:dyDescent="0.2">
      <c r="A159" t="str">
        <f t="shared" si="8"/>
        <v/>
      </c>
      <c r="B159" t="s">
        <v>290</v>
      </c>
      <c r="C159">
        <v>0.32291999999999998</v>
      </c>
      <c r="D159">
        <f t="shared" si="9"/>
        <v>13740</v>
      </c>
      <c r="E159">
        <f t="shared" si="10"/>
        <v>0.2</v>
      </c>
      <c r="F159">
        <f t="shared" si="11"/>
        <v>0.13700000000000001</v>
      </c>
      <c r="H159" t="s">
        <v>287</v>
      </c>
      <c r="I159">
        <v>0.21920000000000001</v>
      </c>
      <c r="K159" t="s">
        <v>290</v>
      </c>
      <c r="L159">
        <v>0.32291999999999998</v>
      </c>
      <c r="N159" t="s">
        <v>335</v>
      </c>
      <c r="O159">
        <v>0.46375</v>
      </c>
      <c r="Q159" t="s">
        <v>367</v>
      </c>
      <c r="R159">
        <v>0.38766</v>
      </c>
      <c r="T159" t="s">
        <v>334</v>
      </c>
      <c r="U159" s="8">
        <v>7790</v>
      </c>
      <c r="V159">
        <v>0.01</v>
      </c>
      <c r="W159">
        <v>159</v>
      </c>
      <c r="X159">
        <v>0.84547738693467334</v>
      </c>
      <c r="Y159">
        <v>159</v>
      </c>
      <c r="Z159">
        <v>0.84547738693467334</v>
      </c>
    </row>
    <row r="160" spans="1:26" x14ac:dyDescent="0.2">
      <c r="A160" t="str">
        <f t="shared" si="8"/>
        <v/>
      </c>
      <c r="B160" t="s">
        <v>293</v>
      </c>
      <c r="C160">
        <v>0.32203999999999999</v>
      </c>
      <c r="D160">
        <f t="shared" si="9"/>
        <v>6070</v>
      </c>
      <c r="E160">
        <f t="shared" si="10"/>
        <v>0.1</v>
      </c>
      <c r="F160">
        <f t="shared" si="11"/>
        <v>0.32879999999999998</v>
      </c>
      <c r="H160" t="s">
        <v>333</v>
      </c>
      <c r="I160">
        <v>0.20549999999999999</v>
      </c>
      <c r="K160" t="s">
        <v>293</v>
      </c>
      <c r="L160">
        <v>0.32203999999999999</v>
      </c>
      <c r="N160" t="s">
        <v>299</v>
      </c>
      <c r="O160">
        <v>0.46084000000000003</v>
      </c>
      <c r="Q160" t="s">
        <v>356</v>
      </c>
      <c r="R160">
        <v>0.38401999999999997</v>
      </c>
      <c r="T160" t="s">
        <v>276</v>
      </c>
      <c r="U160" s="5">
        <v>4170</v>
      </c>
      <c r="V160">
        <v>1.3</v>
      </c>
      <c r="W160">
        <v>160</v>
      </c>
      <c r="X160">
        <v>0.84924623115577891</v>
      </c>
      <c r="Y160">
        <v>160</v>
      </c>
      <c r="Z160">
        <v>0.84924623115577891</v>
      </c>
    </row>
    <row r="161" spans="1:26" x14ac:dyDescent="0.2">
      <c r="A161" t="str">
        <f t="shared" si="8"/>
        <v>Gabon</v>
      </c>
      <c r="B161" t="s">
        <v>270</v>
      </c>
      <c r="C161">
        <v>0.31874999999999998</v>
      </c>
      <c r="D161">
        <f t="shared" si="9"/>
        <v>14970</v>
      </c>
      <c r="E161">
        <f t="shared" si="10"/>
        <v>2.2999999999999998</v>
      </c>
      <c r="F161">
        <f t="shared" si="11"/>
        <v>0.12330000000000001</v>
      </c>
      <c r="H161" t="s">
        <v>361</v>
      </c>
      <c r="I161">
        <v>0.20549999999999999</v>
      </c>
      <c r="K161" t="s">
        <v>270</v>
      </c>
      <c r="L161">
        <v>0.31874999999999998</v>
      </c>
      <c r="N161" t="s">
        <v>314</v>
      </c>
      <c r="O161">
        <v>0.44867000000000001</v>
      </c>
      <c r="Q161" t="s">
        <v>325</v>
      </c>
      <c r="R161">
        <v>0.37920999999999999</v>
      </c>
      <c r="T161" t="s">
        <v>338</v>
      </c>
      <c r="U161" s="5">
        <v>3000</v>
      </c>
      <c r="V161">
        <v>13.5</v>
      </c>
      <c r="W161">
        <v>161</v>
      </c>
      <c r="X161">
        <v>0.85301507537688448</v>
      </c>
      <c r="Y161">
        <v>161</v>
      </c>
      <c r="Z161">
        <v>0.85301507537688448</v>
      </c>
    </row>
    <row r="162" spans="1:26" x14ac:dyDescent="0.2">
      <c r="A162" t="str">
        <f t="shared" si="8"/>
        <v>Burundi</v>
      </c>
      <c r="B162" t="s">
        <v>371</v>
      </c>
      <c r="C162">
        <v>0.31459999999999999</v>
      </c>
      <c r="D162">
        <f t="shared" si="9"/>
        <v>840</v>
      </c>
      <c r="E162">
        <f t="shared" si="10"/>
        <v>12.9</v>
      </c>
      <c r="F162">
        <f t="shared" si="11"/>
        <v>0.21920000000000001</v>
      </c>
      <c r="H162" t="s">
        <v>374</v>
      </c>
      <c r="I162">
        <v>0.20549999999999999</v>
      </c>
      <c r="K162" t="s">
        <v>371</v>
      </c>
      <c r="L162">
        <v>0.31459999999999999</v>
      </c>
      <c r="N162" t="s">
        <v>265</v>
      </c>
      <c r="O162">
        <v>0.43986999999999998</v>
      </c>
      <c r="Q162" t="s">
        <v>332</v>
      </c>
      <c r="R162">
        <v>0.37237999999999999</v>
      </c>
      <c r="T162" t="s">
        <v>339</v>
      </c>
      <c r="U162" s="5">
        <v>2800</v>
      </c>
      <c r="V162">
        <v>8.5</v>
      </c>
      <c r="W162">
        <v>162</v>
      </c>
      <c r="X162">
        <v>0.85678391959798994</v>
      </c>
      <c r="Y162">
        <v>162</v>
      </c>
      <c r="Z162">
        <v>0.85678391959798994</v>
      </c>
    </row>
    <row r="163" spans="1:26" x14ac:dyDescent="0.2">
      <c r="A163" t="str">
        <f t="shared" si="8"/>
        <v>Niger</v>
      </c>
      <c r="B163" t="s">
        <v>374</v>
      </c>
      <c r="C163">
        <v>0.30839</v>
      </c>
      <c r="D163">
        <f t="shared" si="9"/>
        <v>1830</v>
      </c>
      <c r="E163">
        <f t="shared" si="10"/>
        <v>27.2</v>
      </c>
      <c r="F163">
        <f t="shared" si="11"/>
        <v>0.20549999999999999</v>
      </c>
      <c r="H163" t="s">
        <v>251</v>
      </c>
      <c r="I163">
        <v>0.20549999999999999</v>
      </c>
      <c r="K163" t="s">
        <v>374</v>
      </c>
      <c r="L163">
        <v>0.30839</v>
      </c>
      <c r="N163" t="s">
        <v>257</v>
      </c>
      <c r="O163">
        <v>0.42624000000000001</v>
      </c>
      <c r="Q163" t="s">
        <v>264</v>
      </c>
      <c r="R163">
        <v>0.37235000000000001</v>
      </c>
      <c r="T163" t="s">
        <v>328</v>
      </c>
      <c r="U163" s="8">
        <v>4610</v>
      </c>
      <c r="V163">
        <v>22.1</v>
      </c>
      <c r="W163">
        <v>163</v>
      </c>
      <c r="X163">
        <v>0.86055276381909551</v>
      </c>
      <c r="Y163">
        <v>163</v>
      </c>
      <c r="Z163">
        <v>0.86055276381909551</v>
      </c>
    </row>
    <row r="164" spans="1:26" x14ac:dyDescent="0.2">
      <c r="A164" t="str">
        <f t="shared" si="8"/>
        <v>Syria</v>
      </c>
      <c r="B164" t="s">
        <v>328</v>
      </c>
      <c r="C164">
        <v>0.30678</v>
      </c>
      <c r="D164">
        <f t="shared" si="9"/>
        <v>4610</v>
      </c>
      <c r="E164">
        <f t="shared" si="10"/>
        <v>22.1</v>
      </c>
      <c r="F164">
        <f t="shared" si="11"/>
        <v>6.8500000000000005E-2</v>
      </c>
      <c r="H164" t="s">
        <v>353</v>
      </c>
      <c r="I164">
        <v>0.1918</v>
      </c>
      <c r="K164" t="s">
        <v>328</v>
      </c>
      <c r="L164">
        <v>0.30678</v>
      </c>
      <c r="N164" t="s">
        <v>235</v>
      </c>
      <c r="O164">
        <v>0.42357</v>
      </c>
      <c r="Q164" t="s">
        <v>329</v>
      </c>
      <c r="R164">
        <v>0.37003999999999998</v>
      </c>
      <c r="T164" t="s">
        <v>341</v>
      </c>
      <c r="U164" s="5">
        <v>1500</v>
      </c>
      <c r="V164">
        <v>20</v>
      </c>
      <c r="W164">
        <v>164</v>
      </c>
      <c r="X164">
        <v>0.86432160804020097</v>
      </c>
      <c r="Y164">
        <v>164</v>
      </c>
      <c r="Z164">
        <v>0.86432160804020097</v>
      </c>
    </row>
    <row r="165" spans="1:26" x14ac:dyDescent="0.2">
      <c r="A165" t="str">
        <f t="shared" si="8"/>
        <v/>
      </c>
      <c r="B165" t="s">
        <v>251</v>
      </c>
      <c r="C165">
        <v>0.30385000000000001</v>
      </c>
      <c r="D165">
        <f t="shared" si="9"/>
        <v>25940</v>
      </c>
      <c r="E165">
        <f t="shared" si="10"/>
        <v>0.05</v>
      </c>
      <c r="F165">
        <f t="shared" si="11"/>
        <v>0.20549999999999999</v>
      </c>
      <c r="H165" t="s">
        <v>367</v>
      </c>
      <c r="I165">
        <v>0.17810000000000001</v>
      </c>
      <c r="K165" t="s">
        <v>251</v>
      </c>
      <c r="L165">
        <v>0.30385000000000001</v>
      </c>
      <c r="N165" t="s">
        <v>342</v>
      </c>
      <c r="O165">
        <v>0.41688999999999998</v>
      </c>
      <c r="Q165" t="s">
        <v>357</v>
      </c>
      <c r="R165">
        <v>0.36402000000000001</v>
      </c>
      <c r="T165" t="s">
        <v>343</v>
      </c>
      <c r="U165" s="5">
        <v>2700</v>
      </c>
      <c r="V165">
        <v>0.7</v>
      </c>
      <c r="W165">
        <v>165</v>
      </c>
      <c r="X165">
        <v>0.86809045226130654</v>
      </c>
      <c r="Y165">
        <v>165</v>
      </c>
      <c r="Z165">
        <v>0.86809045226130654</v>
      </c>
    </row>
    <row r="166" spans="1:26" x14ac:dyDescent="0.2">
      <c r="A166" t="str">
        <f t="shared" si="8"/>
        <v>Somalia</v>
      </c>
      <c r="B166" t="s">
        <v>377</v>
      </c>
      <c r="C166">
        <v>0.29709999999999998</v>
      </c>
      <c r="D166">
        <f t="shared" si="9"/>
        <v>0</v>
      </c>
      <c r="E166">
        <f t="shared" si="10"/>
        <v>17.600000000000001</v>
      </c>
      <c r="F166">
        <f t="shared" si="11"/>
        <v>0.28770000000000001</v>
      </c>
      <c r="H166" t="s">
        <v>143</v>
      </c>
      <c r="I166">
        <v>0.17810000000000001</v>
      </c>
      <c r="K166" t="s">
        <v>377</v>
      </c>
      <c r="L166">
        <v>0.29709999999999998</v>
      </c>
      <c r="N166" t="s">
        <v>288</v>
      </c>
      <c r="O166">
        <v>0.41409000000000001</v>
      </c>
      <c r="Q166" t="s">
        <v>276</v>
      </c>
      <c r="R166">
        <v>0.35505999999999999</v>
      </c>
      <c r="T166" t="s">
        <v>344</v>
      </c>
      <c r="U166" s="5">
        <v>5860</v>
      </c>
      <c r="V166">
        <v>5</v>
      </c>
      <c r="W166">
        <v>166</v>
      </c>
      <c r="X166">
        <v>0.87185929648241212</v>
      </c>
      <c r="Y166">
        <v>166</v>
      </c>
      <c r="Z166">
        <v>0.87185929648241212</v>
      </c>
    </row>
    <row r="167" spans="1:26" x14ac:dyDescent="0.2">
      <c r="A167" t="str">
        <f t="shared" si="8"/>
        <v>Lesotho</v>
      </c>
      <c r="B167" t="s">
        <v>333</v>
      </c>
      <c r="C167">
        <v>0.28637000000000001</v>
      </c>
      <c r="D167">
        <f t="shared" si="9"/>
        <v>2740</v>
      </c>
      <c r="E167">
        <f t="shared" si="10"/>
        <v>2.2000000000000002</v>
      </c>
      <c r="F167">
        <f t="shared" si="11"/>
        <v>0.20549999999999999</v>
      </c>
      <c r="H167" t="s">
        <v>369</v>
      </c>
      <c r="I167">
        <v>0.16439999999999999</v>
      </c>
      <c r="K167" t="s">
        <v>333</v>
      </c>
      <c r="L167">
        <v>0.28637000000000001</v>
      </c>
      <c r="N167" t="s">
        <v>318</v>
      </c>
      <c r="O167">
        <v>0.41021000000000002</v>
      </c>
      <c r="Q167" t="s">
        <v>315</v>
      </c>
      <c r="R167">
        <v>0.35437999999999997</v>
      </c>
      <c r="T167" t="s">
        <v>345</v>
      </c>
      <c r="U167" s="5">
        <v>4170</v>
      </c>
      <c r="V167">
        <v>5.8</v>
      </c>
      <c r="W167">
        <v>167</v>
      </c>
      <c r="X167">
        <v>0.87562814070351758</v>
      </c>
      <c r="Y167">
        <v>167</v>
      </c>
      <c r="Z167">
        <v>0.87562814070351758</v>
      </c>
    </row>
    <row r="168" spans="1:26" x14ac:dyDescent="0.2">
      <c r="A168" t="str">
        <f t="shared" si="8"/>
        <v/>
      </c>
      <c r="B168" t="s">
        <v>298</v>
      </c>
      <c r="C168">
        <v>0.27866999999999997</v>
      </c>
      <c r="D168">
        <f t="shared" si="9"/>
        <v>14370</v>
      </c>
      <c r="E168">
        <f t="shared" si="10"/>
        <v>0.02</v>
      </c>
      <c r="F168">
        <f t="shared" si="11"/>
        <v>0.3014</v>
      </c>
      <c r="H168" t="s">
        <v>300</v>
      </c>
      <c r="I168">
        <v>0.16439999999999999</v>
      </c>
      <c r="K168" t="s">
        <v>298</v>
      </c>
      <c r="L168">
        <v>0.27866999999999997</v>
      </c>
      <c r="N168" t="s">
        <v>348</v>
      </c>
      <c r="O168">
        <v>0.39916000000000001</v>
      </c>
      <c r="Q168" t="s">
        <v>366</v>
      </c>
      <c r="R168">
        <v>0.35367999999999999</v>
      </c>
      <c r="T168" t="s">
        <v>347</v>
      </c>
      <c r="U168" s="5">
        <v>3740</v>
      </c>
      <c r="V168">
        <v>0.1</v>
      </c>
      <c r="W168">
        <v>168</v>
      </c>
      <c r="X168">
        <v>0.87939698492462304</v>
      </c>
      <c r="Y168">
        <v>168</v>
      </c>
      <c r="Z168">
        <v>0.87939698492462304</v>
      </c>
    </row>
    <row r="169" spans="1:26" x14ac:dyDescent="0.2">
      <c r="A169" t="str">
        <f t="shared" si="8"/>
        <v>Congo</v>
      </c>
      <c r="B169" t="s">
        <v>345</v>
      </c>
      <c r="C169">
        <v>0.27604000000000001</v>
      </c>
      <c r="D169">
        <f t="shared" si="9"/>
        <v>4170</v>
      </c>
      <c r="E169">
        <f t="shared" si="10"/>
        <v>5.8</v>
      </c>
      <c r="F169">
        <f t="shared" si="11"/>
        <v>8.2199999999999995E-2</v>
      </c>
      <c r="H169" t="s">
        <v>350</v>
      </c>
      <c r="I169">
        <v>0.16439999999999999</v>
      </c>
      <c r="K169" t="s">
        <v>345</v>
      </c>
      <c r="L169">
        <v>0.27604000000000001</v>
      </c>
      <c r="N169" t="s">
        <v>324</v>
      </c>
      <c r="O169">
        <v>0.39838000000000001</v>
      </c>
      <c r="Q169" t="s">
        <v>309</v>
      </c>
      <c r="R169">
        <v>0.30473</v>
      </c>
      <c r="T169" t="s">
        <v>349</v>
      </c>
      <c r="U169" s="5">
        <v>1600</v>
      </c>
      <c r="V169">
        <v>29.1</v>
      </c>
      <c r="W169">
        <v>169</v>
      </c>
      <c r="X169">
        <v>0.88316582914572861</v>
      </c>
      <c r="Y169">
        <v>169</v>
      </c>
      <c r="Z169">
        <v>0.88316582914572861</v>
      </c>
    </row>
    <row r="170" spans="1:26" x14ac:dyDescent="0.2">
      <c r="A170" t="str">
        <f t="shared" si="8"/>
        <v>Chad</v>
      </c>
      <c r="B170" t="s">
        <v>375</v>
      </c>
      <c r="C170">
        <v>0.26738000000000001</v>
      </c>
      <c r="D170">
        <f t="shared" si="9"/>
        <v>920</v>
      </c>
      <c r="E170">
        <f t="shared" si="10"/>
        <v>17.8</v>
      </c>
      <c r="F170">
        <f t="shared" si="11"/>
        <v>0.31509999999999999</v>
      </c>
      <c r="H170" t="s">
        <v>327</v>
      </c>
      <c r="I170">
        <v>0.16439999999999999</v>
      </c>
      <c r="K170" t="s">
        <v>375</v>
      </c>
      <c r="L170">
        <v>0.26738000000000001</v>
      </c>
      <c r="N170" t="s">
        <v>330</v>
      </c>
      <c r="O170">
        <v>0.39655000000000001</v>
      </c>
      <c r="Q170" t="s">
        <v>372</v>
      </c>
      <c r="R170">
        <v>0.29044999999999999</v>
      </c>
      <c r="T170" t="s">
        <v>350</v>
      </c>
      <c r="U170" s="5">
        <v>2370</v>
      </c>
      <c r="V170">
        <v>123.4</v>
      </c>
      <c r="W170">
        <v>170</v>
      </c>
      <c r="X170">
        <v>0.88693467336683418</v>
      </c>
      <c r="Y170">
        <v>170</v>
      </c>
      <c r="Z170">
        <v>0.88693467336683418</v>
      </c>
    </row>
    <row r="171" spans="1:26" x14ac:dyDescent="0.2">
      <c r="A171" t="str">
        <f t="shared" si="8"/>
        <v>Liberia</v>
      </c>
      <c r="B171" t="s">
        <v>369</v>
      </c>
      <c r="C171">
        <v>0.26334999999999997</v>
      </c>
      <c r="D171">
        <f t="shared" si="9"/>
        <v>1620</v>
      </c>
      <c r="E171">
        <f t="shared" si="10"/>
        <v>5.4</v>
      </c>
      <c r="F171">
        <f t="shared" si="11"/>
        <v>0.16439999999999999</v>
      </c>
      <c r="H171" t="s">
        <v>193</v>
      </c>
      <c r="I171">
        <v>0.1507</v>
      </c>
      <c r="K171" t="s">
        <v>369</v>
      </c>
      <c r="L171">
        <v>0.26334999999999997</v>
      </c>
      <c r="N171" t="s">
        <v>304</v>
      </c>
      <c r="O171">
        <v>0.39518999999999999</v>
      </c>
      <c r="Q171" t="s">
        <v>345</v>
      </c>
      <c r="R171">
        <v>0.27757999999999999</v>
      </c>
      <c r="T171" t="s">
        <v>352</v>
      </c>
      <c r="U171" s="5">
        <v>2370</v>
      </c>
      <c r="V171">
        <v>2.1</v>
      </c>
      <c r="W171">
        <v>171</v>
      </c>
      <c r="X171">
        <v>0.89070351758793975</v>
      </c>
      <c r="Y171">
        <v>171</v>
      </c>
      <c r="Z171">
        <v>0.89070351758793975</v>
      </c>
    </row>
    <row r="172" spans="1:26" x14ac:dyDescent="0.2">
      <c r="A172" t="str">
        <f t="shared" si="8"/>
        <v/>
      </c>
      <c r="B172" t="s">
        <v>347</v>
      </c>
      <c r="C172">
        <v>0.26211000000000001</v>
      </c>
      <c r="D172">
        <f t="shared" si="9"/>
        <v>3740</v>
      </c>
      <c r="E172">
        <f t="shared" si="10"/>
        <v>0.1</v>
      </c>
      <c r="F172">
        <f t="shared" si="11"/>
        <v>0.13700000000000001</v>
      </c>
      <c r="H172" t="s">
        <v>372</v>
      </c>
      <c r="I172">
        <v>0.1507</v>
      </c>
      <c r="K172" t="s">
        <v>347</v>
      </c>
      <c r="L172">
        <v>0.26211000000000001</v>
      </c>
      <c r="N172" t="s">
        <v>247</v>
      </c>
      <c r="O172">
        <v>0.37146000000000001</v>
      </c>
      <c r="Q172" t="s">
        <v>350</v>
      </c>
      <c r="R172">
        <v>0.26591999999999999</v>
      </c>
      <c r="T172" t="s">
        <v>353</v>
      </c>
      <c r="U172" s="5">
        <v>4230</v>
      </c>
      <c r="V172">
        <v>10.9</v>
      </c>
      <c r="W172">
        <v>172</v>
      </c>
      <c r="X172">
        <v>0.89447236180904521</v>
      </c>
      <c r="Y172">
        <v>172</v>
      </c>
      <c r="Z172">
        <v>0.89447236180904521</v>
      </c>
    </row>
    <row r="173" spans="1:26" x14ac:dyDescent="0.2">
      <c r="A173" t="str">
        <f t="shared" si="8"/>
        <v>Turkmenistan</v>
      </c>
      <c r="B173" t="s">
        <v>312</v>
      </c>
      <c r="C173">
        <v>0.25063999999999997</v>
      </c>
      <c r="D173">
        <f t="shared" si="9"/>
        <v>16050</v>
      </c>
      <c r="E173">
        <f t="shared" si="10"/>
        <v>6.3</v>
      </c>
      <c r="F173">
        <f t="shared" si="11"/>
        <v>4.1099999999999998E-2</v>
      </c>
      <c r="H173" t="s">
        <v>347</v>
      </c>
      <c r="I173">
        <v>0.13700000000000001</v>
      </c>
      <c r="K173" t="s">
        <v>312</v>
      </c>
      <c r="L173">
        <v>0.25063999999999997</v>
      </c>
      <c r="N173" t="s">
        <v>346</v>
      </c>
      <c r="O173">
        <v>0.3669</v>
      </c>
      <c r="Q173" t="s">
        <v>354</v>
      </c>
      <c r="R173">
        <v>0.25851000000000002</v>
      </c>
      <c r="T173" t="s">
        <v>354</v>
      </c>
      <c r="U173" s="5">
        <v>1660</v>
      </c>
      <c r="V173">
        <v>8.6999999999999993</v>
      </c>
      <c r="W173">
        <v>173</v>
      </c>
      <c r="X173">
        <v>0.89824120603015079</v>
      </c>
      <c r="Y173">
        <v>173</v>
      </c>
      <c r="Z173">
        <v>0.89824120603015079</v>
      </c>
    </row>
    <row r="174" spans="1:26" x14ac:dyDescent="0.2">
      <c r="A174" t="str">
        <f t="shared" si="8"/>
        <v/>
      </c>
      <c r="B174" t="s">
        <v>321</v>
      </c>
      <c r="C174">
        <v>0.24387</v>
      </c>
      <c r="E174">
        <f t="shared" si="10"/>
        <v>0.01</v>
      </c>
      <c r="F174">
        <f t="shared" si="11"/>
        <v>0.2329</v>
      </c>
      <c r="H174" t="s">
        <v>290</v>
      </c>
      <c r="I174">
        <v>0.13700000000000001</v>
      </c>
      <c r="K174" t="s">
        <v>321</v>
      </c>
      <c r="L174">
        <v>0.24387</v>
      </c>
      <c r="N174" t="s">
        <v>183</v>
      </c>
      <c r="O174">
        <v>0.34995999999999999</v>
      </c>
      <c r="Q174" t="s">
        <v>359</v>
      </c>
      <c r="R174">
        <v>0.25319999999999998</v>
      </c>
      <c r="T174" t="s">
        <v>355</v>
      </c>
      <c r="U174" s="5">
        <v>2540</v>
      </c>
      <c r="V174">
        <v>23.3</v>
      </c>
      <c r="W174">
        <v>174</v>
      </c>
      <c r="X174">
        <v>0.90201005025125625</v>
      </c>
      <c r="Y174">
        <v>174</v>
      </c>
      <c r="Z174">
        <v>0.90201005025125625</v>
      </c>
    </row>
    <row r="175" spans="1:26" x14ac:dyDescent="0.2">
      <c r="A175" t="str">
        <f t="shared" si="8"/>
        <v>Cuba</v>
      </c>
      <c r="B175" t="s">
        <v>303</v>
      </c>
      <c r="C175">
        <v>0.22982</v>
      </c>
      <c r="D175">
        <f t="shared" si="9"/>
        <v>8920</v>
      </c>
      <c r="E175">
        <f t="shared" si="10"/>
        <v>11.1</v>
      </c>
      <c r="F175">
        <f t="shared" si="11"/>
        <v>5.4800000000000001E-2</v>
      </c>
      <c r="H175" t="s">
        <v>344</v>
      </c>
      <c r="I175">
        <v>0.12330000000000001</v>
      </c>
      <c r="K175" t="s">
        <v>303</v>
      </c>
      <c r="L175">
        <v>0.22982</v>
      </c>
      <c r="N175" t="s">
        <v>246</v>
      </c>
      <c r="O175">
        <v>0.33804000000000001</v>
      </c>
      <c r="Q175" t="s">
        <v>339</v>
      </c>
      <c r="R175">
        <v>0.24736</v>
      </c>
      <c r="T175" t="s">
        <v>356</v>
      </c>
      <c r="U175" s="5">
        <v>4900</v>
      </c>
      <c r="V175">
        <v>1.1000000000000001</v>
      </c>
      <c r="W175">
        <v>175</v>
      </c>
      <c r="X175">
        <v>0.90577889447236182</v>
      </c>
      <c r="Y175">
        <v>175</v>
      </c>
      <c r="Z175">
        <v>0.90577889447236182</v>
      </c>
    </row>
    <row r="176" spans="1:26" x14ac:dyDescent="0.2">
      <c r="A176" t="str">
        <f t="shared" si="8"/>
        <v/>
      </c>
      <c r="B176" t="s">
        <v>327</v>
      </c>
      <c r="C176">
        <v>0.21557000000000001</v>
      </c>
      <c r="D176">
        <f t="shared" si="9"/>
        <v>4170</v>
      </c>
      <c r="E176">
        <f t="shared" si="10"/>
        <v>0.2</v>
      </c>
      <c r="F176">
        <f t="shared" si="11"/>
        <v>0.16439999999999999</v>
      </c>
      <c r="H176" t="s">
        <v>270</v>
      </c>
      <c r="I176">
        <v>0.12330000000000001</v>
      </c>
      <c r="K176" t="s">
        <v>327</v>
      </c>
      <c r="L176">
        <v>0.21557000000000001</v>
      </c>
      <c r="N176" t="s">
        <v>358</v>
      </c>
      <c r="O176">
        <v>0.33237</v>
      </c>
      <c r="Q176" t="s">
        <v>319</v>
      </c>
      <c r="R176">
        <v>0.22989999999999999</v>
      </c>
      <c r="T176" t="s">
        <v>357</v>
      </c>
      <c r="U176" s="5">
        <v>2420</v>
      </c>
      <c r="V176">
        <v>23.3</v>
      </c>
      <c r="W176">
        <v>176</v>
      </c>
      <c r="X176">
        <v>0.90954773869346739</v>
      </c>
      <c r="Y176">
        <v>176</v>
      </c>
      <c r="Z176">
        <v>0.90954773869346739</v>
      </c>
    </row>
    <row r="177" spans="1:26" x14ac:dyDescent="0.2">
      <c r="A177" t="str">
        <f t="shared" si="8"/>
        <v>Djibouti</v>
      </c>
      <c r="B177" t="s">
        <v>356</v>
      </c>
      <c r="C177">
        <v>0.20915</v>
      </c>
      <c r="D177">
        <f t="shared" si="9"/>
        <v>4900</v>
      </c>
      <c r="E177">
        <f t="shared" si="10"/>
        <v>1.1000000000000001</v>
      </c>
      <c r="F177">
        <f t="shared" si="11"/>
        <v>9.5899999999999999E-2</v>
      </c>
      <c r="H177" t="s">
        <v>233</v>
      </c>
      <c r="I177">
        <v>0.12330000000000001</v>
      </c>
      <c r="K177" t="s">
        <v>356</v>
      </c>
      <c r="L177">
        <v>0.20915</v>
      </c>
      <c r="N177" t="s">
        <v>320</v>
      </c>
      <c r="O177">
        <v>0.32536999999999999</v>
      </c>
      <c r="Q177" t="s">
        <v>360</v>
      </c>
      <c r="R177">
        <v>0.21672</v>
      </c>
      <c r="T177" t="s">
        <v>359</v>
      </c>
      <c r="U177" s="5">
        <v>17330</v>
      </c>
      <c r="V177">
        <v>1.7</v>
      </c>
      <c r="W177">
        <v>177</v>
      </c>
      <c r="X177">
        <v>0.91331658291457285</v>
      </c>
      <c r="Y177">
        <v>177</v>
      </c>
      <c r="Z177">
        <v>0.91331658291457285</v>
      </c>
    </row>
    <row r="178" spans="1:26" x14ac:dyDescent="0.2">
      <c r="A178" t="str">
        <f t="shared" si="8"/>
        <v>Democratic Republic of the Congo</v>
      </c>
      <c r="B178" t="s">
        <v>365</v>
      </c>
      <c r="C178">
        <v>0.20671</v>
      </c>
      <c r="D178">
        <f t="shared" si="9"/>
        <v>1270</v>
      </c>
      <c r="E178">
        <f t="shared" si="10"/>
        <v>102.3</v>
      </c>
      <c r="F178">
        <f t="shared" si="11"/>
        <v>0.24660000000000001</v>
      </c>
      <c r="H178" t="s">
        <v>360</v>
      </c>
      <c r="I178">
        <v>0.1096</v>
      </c>
      <c r="K178" t="s">
        <v>365</v>
      </c>
      <c r="L178">
        <v>0.20671</v>
      </c>
      <c r="N178" t="s">
        <v>310</v>
      </c>
      <c r="O178">
        <v>0.30774000000000001</v>
      </c>
      <c r="Q178" t="s">
        <v>373</v>
      </c>
      <c r="R178">
        <v>0.20874000000000001</v>
      </c>
      <c r="T178" t="s">
        <v>361</v>
      </c>
      <c r="U178" s="5">
        <v>1520</v>
      </c>
      <c r="V178">
        <v>33.9</v>
      </c>
      <c r="W178">
        <v>178</v>
      </c>
      <c r="X178">
        <v>0.91708542713567831</v>
      </c>
      <c r="Y178">
        <v>178</v>
      </c>
      <c r="Z178">
        <v>0.91708542713567831</v>
      </c>
    </row>
    <row r="179" spans="1:26" x14ac:dyDescent="0.2">
      <c r="A179" t="str">
        <f t="shared" si="8"/>
        <v/>
      </c>
      <c r="B179" t="s">
        <v>334</v>
      </c>
      <c r="C179">
        <v>0.19438</v>
      </c>
      <c r="D179">
        <f t="shared" si="9"/>
        <v>7790</v>
      </c>
      <c r="E179">
        <f t="shared" si="10"/>
        <v>0.01</v>
      </c>
      <c r="F179">
        <f t="shared" si="11"/>
        <v>6.8500000000000005E-2</v>
      </c>
      <c r="H179" t="s">
        <v>364</v>
      </c>
      <c r="I179">
        <v>0.1096</v>
      </c>
      <c r="K179" t="s">
        <v>334</v>
      </c>
      <c r="L179">
        <v>0.19438</v>
      </c>
      <c r="N179" t="s">
        <v>292</v>
      </c>
      <c r="O179">
        <v>0.29615000000000002</v>
      </c>
      <c r="Q179" t="s">
        <v>341</v>
      </c>
      <c r="R179">
        <v>0.18862000000000001</v>
      </c>
      <c r="T179" t="s">
        <v>363</v>
      </c>
      <c r="U179" s="5">
        <v>3870</v>
      </c>
      <c r="V179">
        <v>48.1</v>
      </c>
      <c r="W179">
        <v>179</v>
      </c>
      <c r="X179">
        <v>0.92085427135678388</v>
      </c>
      <c r="Y179">
        <v>179</v>
      </c>
      <c r="Z179">
        <v>0.92085427135678388</v>
      </c>
    </row>
    <row r="180" spans="1:26" x14ac:dyDescent="0.2">
      <c r="A180" t="str">
        <f t="shared" si="8"/>
        <v>Equatorial Guinea</v>
      </c>
      <c r="B180" t="s">
        <v>359</v>
      </c>
      <c r="C180">
        <v>0.19319</v>
      </c>
      <c r="D180">
        <f t="shared" si="9"/>
        <v>17330</v>
      </c>
      <c r="E180">
        <f t="shared" si="10"/>
        <v>1.7</v>
      </c>
      <c r="F180">
        <f t="shared" si="11"/>
        <v>0.2329</v>
      </c>
      <c r="H180" t="s">
        <v>316</v>
      </c>
      <c r="I180">
        <v>9.5899999999999999E-2</v>
      </c>
      <c r="K180" t="s">
        <v>359</v>
      </c>
      <c r="L180">
        <v>0.19319</v>
      </c>
      <c r="N180" t="s">
        <v>202</v>
      </c>
      <c r="O180">
        <v>0.28867999999999999</v>
      </c>
      <c r="Q180" t="s">
        <v>353</v>
      </c>
      <c r="R180">
        <v>0.18512999999999999</v>
      </c>
      <c r="T180" t="s">
        <v>365</v>
      </c>
      <c r="U180" s="5">
        <v>1270</v>
      </c>
      <c r="V180">
        <v>102.3</v>
      </c>
      <c r="W180">
        <v>180</v>
      </c>
      <c r="X180">
        <v>0.92462311557788945</v>
      </c>
      <c r="Y180">
        <v>180</v>
      </c>
      <c r="Z180">
        <v>0.92462311557788945</v>
      </c>
    </row>
    <row r="181" spans="1:26" x14ac:dyDescent="0.2">
      <c r="A181" t="str">
        <f t="shared" si="8"/>
        <v>Iraq</v>
      </c>
      <c r="B181" t="s">
        <v>316</v>
      </c>
      <c r="C181">
        <v>0.18754999999999999</v>
      </c>
      <c r="D181">
        <f t="shared" si="9"/>
        <v>14160</v>
      </c>
      <c r="E181">
        <f t="shared" si="10"/>
        <v>44.5</v>
      </c>
      <c r="F181">
        <f t="shared" si="11"/>
        <v>9.5899999999999999E-2</v>
      </c>
      <c r="H181" t="s">
        <v>356</v>
      </c>
      <c r="I181">
        <v>9.5899999999999999E-2</v>
      </c>
      <c r="K181" t="s">
        <v>316</v>
      </c>
      <c r="L181">
        <v>0.18754999999999999</v>
      </c>
      <c r="N181" t="s">
        <v>362</v>
      </c>
      <c r="O181">
        <v>0.28833999999999999</v>
      </c>
      <c r="Q181" t="s">
        <v>343</v>
      </c>
      <c r="R181">
        <v>0.18109</v>
      </c>
      <c r="T181" t="s">
        <v>366</v>
      </c>
      <c r="U181" s="5">
        <v>3620</v>
      </c>
      <c r="V181">
        <v>0.9</v>
      </c>
      <c r="W181">
        <v>181</v>
      </c>
      <c r="X181">
        <v>0.92839195979899503</v>
      </c>
      <c r="Y181">
        <v>181</v>
      </c>
      <c r="Z181">
        <v>0.92839195979899503</v>
      </c>
    </row>
    <row r="182" spans="1:26" x14ac:dyDescent="0.2">
      <c r="A182" t="str">
        <f t="shared" si="8"/>
        <v>Mauritania</v>
      </c>
      <c r="B182" t="s">
        <v>344</v>
      </c>
      <c r="C182">
        <v>0.16879</v>
      </c>
      <c r="D182">
        <f t="shared" si="9"/>
        <v>5860</v>
      </c>
      <c r="E182">
        <f t="shared" si="10"/>
        <v>5</v>
      </c>
      <c r="F182">
        <f t="shared" si="11"/>
        <v>0.12330000000000001</v>
      </c>
      <c r="H182" t="s">
        <v>373</v>
      </c>
      <c r="I182">
        <v>9.5899999999999999E-2</v>
      </c>
      <c r="K182" t="s">
        <v>344</v>
      </c>
      <c r="L182">
        <v>0.16879</v>
      </c>
      <c r="N182" t="s">
        <v>336</v>
      </c>
      <c r="O182">
        <v>0.28231000000000001</v>
      </c>
      <c r="Q182" t="s">
        <v>368</v>
      </c>
      <c r="R182">
        <v>0.17452000000000001</v>
      </c>
      <c r="T182" t="s">
        <v>367</v>
      </c>
      <c r="U182" s="5">
        <v>2280</v>
      </c>
      <c r="V182">
        <v>2.8</v>
      </c>
      <c r="W182">
        <v>182</v>
      </c>
      <c r="X182">
        <v>0.9321608040201006</v>
      </c>
      <c r="Y182">
        <v>182</v>
      </c>
      <c r="Z182">
        <v>0.9321608040201006</v>
      </c>
    </row>
    <row r="183" spans="1:26" x14ac:dyDescent="0.2">
      <c r="A183" t="str">
        <f t="shared" si="8"/>
        <v>South Sudan</v>
      </c>
      <c r="B183" t="s">
        <v>364</v>
      </c>
      <c r="C183">
        <v>0.15040999999999999</v>
      </c>
      <c r="D183">
        <f t="shared" si="9"/>
        <v>1200</v>
      </c>
      <c r="E183">
        <f t="shared" si="10"/>
        <v>10.9</v>
      </c>
      <c r="F183">
        <f t="shared" si="11"/>
        <v>0.1096</v>
      </c>
      <c r="H183" t="s">
        <v>378</v>
      </c>
      <c r="I183">
        <v>8.2199999999999995E-2</v>
      </c>
      <c r="K183" t="s">
        <v>364</v>
      </c>
      <c r="L183">
        <v>0.15040999999999999</v>
      </c>
      <c r="N183" t="s">
        <v>337</v>
      </c>
      <c r="O183">
        <v>0.27995999999999999</v>
      </c>
      <c r="Q183" t="s">
        <v>365</v>
      </c>
      <c r="R183">
        <v>0.15906000000000001</v>
      </c>
      <c r="T183" t="s">
        <v>369</v>
      </c>
      <c r="U183" s="5">
        <v>1620</v>
      </c>
      <c r="V183">
        <v>5.4</v>
      </c>
      <c r="W183">
        <v>183</v>
      </c>
      <c r="X183">
        <v>0.93592964824120606</v>
      </c>
      <c r="Y183">
        <v>183</v>
      </c>
      <c r="Z183">
        <v>0.93592964824120606</v>
      </c>
    </row>
    <row r="184" spans="1:26" x14ac:dyDescent="0.2">
      <c r="A184" t="str">
        <f t="shared" si="8"/>
        <v>Afghanistan</v>
      </c>
      <c r="B184" t="s">
        <v>360</v>
      </c>
      <c r="C184">
        <v>0.14379</v>
      </c>
      <c r="D184">
        <f t="shared" si="9"/>
        <v>1500</v>
      </c>
      <c r="E184">
        <f t="shared" si="10"/>
        <v>41.1</v>
      </c>
      <c r="F184">
        <f t="shared" si="11"/>
        <v>0.1096</v>
      </c>
      <c r="H184" t="s">
        <v>345</v>
      </c>
      <c r="I184">
        <v>8.2199999999999995E-2</v>
      </c>
      <c r="K184" t="s">
        <v>360</v>
      </c>
      <c r="L184">
        <v>0.14379</v>
      </c>
      <c r="N184" t="s">
        <v>275</v>
      </c>
      <c r="O184">
        <v>0.27184999999999998</v>
      </c>
      <c r="Q184" t="s">
        <v>374</v>
      </c>
      <c r="R184">
        <v>0.15783</v>
      </c>
      <c r="T184" t="s">
        <v>371</v>
      </c>
      <c r="U184" s="5">
        <v>840</v>
      </c>
      <c r="V184">
        <v>12.9</v>
      </c>
      <c r="W184">
        <v>184</v>
      </c>
      <c r="X184">
        <v>0.93969849246231152</v>
      </c>
      <c r="Y184">
        <v>184</v>
      </c>
      <c r="Z184">
        <v>0.93969849246231152</v>
      </c>
    </row>
    <row r="185" spans="1:26" x14ac:dyDescent="0.2">
      <c r="A185" t="str">
        <f t="shared" si="8"/>
        <v>Haiti</v>
      </c>
      <c r="B185" t="s">
        <v>373</v>
      </c>
      <c r="C185">
        <v>0.13785</v>
      </c>
      <c r="D185">
        <f t="shared" si="9"/>
        <v>2110</v>
      </c>
      <c r="E185">
        <f t="shared" si="10"/>
        <v>11.7</v>
      </c>
      <c r="F185">
        <f t="shared" si="11"/>
        <v>9.5899999999999999E-2</v>
      </c>
      <c r="H185" t="s">
        <v>363</v>
      </c>
      <c r="I185">
        <v>6.8500000000000005E-2</v>
      </c>
      <c r="K185" t="s">
        <v>373</v>
      </c>
      <c r="L185">
        <v>0.13785</v>
      </c>
      <c r="N185" t="s">
        <v>351</v>
      </c>
      <c r="O185">
        <v>0.26704</v>
      </c>
      <c r="Q185" t="s">
        <v>349</v>
      </c>
      <c r="R185">
        <v>0.15178</v>
      </c>
      <c r="T185" t="s">
        <v>368</v>
      </c>
      <c r="U185" s="5">
        <v>840</v>
      </c>
      <c r="V185">
        <v>26.1</v>
      </c>
      <c r="W185">
        <v>185</v>
      </c>
      <c r="X185">
        <v>0.94346733668341709</v>
      </c>
      <c r="Y185">
        <v>185</v>
      </c>
      <c r="Z185">
        <v>0.94346733668341709</v>
      </c>
    </row>
    <row r="186" spans="1:26" x14ac:dyDescent="0.2">
      <c r="A186" t="str">
        <f t="shared" si="8"/>
        <v>Yemen</v>
      </c>
      <c r="B186" t="s">
        <v>372</v>
      </c>
      <c r="C186">
        <v>0.13774</v>
      </c>
      <c r="D186">
        <f t="shared" si="9"/>
        <v>1840</v>
      </c>
      <c r="E186">
        <f t="shared" si="10"/>
        <v>34.4</v>
      </c>
      <c r="F186">
        <f t="shared" si="11"/>
        <v>0.1507</v>
      </c>
      <c r="H186" t="s">
        <v>328</v>
      </c>
      <c r="I186">
        <v>6.8500000000000005E-2</v>
      </c>
      <c r="K186" t="s">
        <v>372</v>
      </c>
      <c r="L186">
        <v>0.13774</v>
      </c>
      <c r="N186" t="s">
        <v>360</v>
      </c>
      <c r="O186">
        <v>0.26429999999999998</v>
      </c>
      <c r="Q186" t="s">
        <v>377</v>
      </c>
      <c r="R186">
        <v>0.14324000000000001</v>
      </c>
      <c r="T186" t="s">
        <v>372</v>
      </c>
      <c r="U186" s="8">
        <v>1840</v>
      </c>
      <c r="V186">
        <v>34.4</v>
      </c>
      <c r="W186">
        <v>186</v>
      </c>
      <c r="X186">
        <v>0.94723618090452266</v>
      </c>
      <c r="Y186">
        <v>186</v>
      </c>
      <c r="Z186">
        <v>0.94723618090452266</v>
      </c>
    </row>
    <row r="187" spans="1:26" x14ac:dyDescent="0.2">
      <c r="A187" t="str">
        <f t="shared" si="8"/>
        <v>Sudan</v>
      </c>
      <c r="B187" t="s">
        <v>363</v>
      </c>
      <c r="C187">
        <v>0.1293</v>
      </c>
      <c r="D187">
        <f t="shared" si="9"/>
        <v>3870</v>
      </c>
      <c r="E187">
        <f t="shared" si="10"/>
        <v>48.1</v>
      </c>
      <c r="F187">
        <f t="shared" si="11"/>
        <v>6.8500000000000005E-2</v>
      </c>
      <c r="H187" t="s">
        <v>334</v>
      </c>
      <c r="I187">
        <v>6.8500000000000005E-2</v>
      </c>
      <c r="K187" t="s">
        <v>363</v>
      </c>
      <c r="L187">
        <v>0.1293</v>
      </c>
      <c r="N187" t="s">
        <v>331</v>
      </c>
      <c r="O187">
        <v>0.25931999999999999</v>
      </c>
      <c r="Q187" t="s">
        <v>376</v>
      </c>
      <c r="R187">
        <v>0.14054</v>
      </c>
      <c r="T187" t="s">
        <v>373</v>
      </c>
      <c r="U187" s="5">
        <v>2110</v>
      </c>
      <c r="V187">
        <v>11.7</v>
      </c>
      <c r="W187">
        <v>187</v>
      </c>
      <c r="X187">
        <v>0.95100502512562812</v>
      </c>
      <c r="Y187">
        <v>187</v>
      </c>
      <c r="Z187">
        <v>0.95100502512562812</v>
      </c>
    </row>
    <row r="188" spans="1:26" x14ac:dyDescent="0.2">
      <c r="A188" t="str">
        <f t="shared" si="8"/>
        <v>Guinea-Bissau</v>
      </c>
      <c r="B188" t="s">
        <v>352</v>
      </c>
      <c r="C188">
        <v>0.12703</v>
      </c>
      <c r="D188">
        <f t="shared" si="9"/>
        <v>2370</v>
      </c>
      <c r="E188">
        <f t="shared" si="10"/>
        <v>2.1</v>
      </c>
      <c r="F188">
        <f t="shared" si="11"/>
        <v>0.21920000000000001</v>
      </c>
      <c r="H188" t="s">
        <v>261</v>
      </c>
      <c r="I188">
        <v>5.4800000000000001E-2</v>
      </c>
      <c r="K188" t="s">
        <v>352</v>
      </c>
      <c r="L188">
        <v>0.12703</v>
      </c>
      <c r="N188" t="s">
        <v>370</v>
      </c>
      <c r="O188">
        <v>0.17130000000000001</v>
      </c>
      <c r="Q188" t="s">
        <v>347</v>
      </c>
      <c r="R188">
        <v>0.13502</v>
      </c>
      <c r="T188" t="s">
        <v>374</v>
      </c>
      <c r="U188" s="5">
        <v>1830</v>
      </c>
      <c r="V188">
        <v>27.2</v>
      </c>
      <c r="W188">
        <v>188</v>
      </c>
      <c r="X188">
        <v>0.95477386934673358</v>
      </c>
      <c r="Y188">
        <v>188</v>
      </c>
      <c r="Z188">
        <v>0.95477386934673358</v>
      </c>
    </row>
    <row r="189" spans="1:26" x14ac:dyDescent="0.2">
      <c r="A189" t="str">
        <f t="shared" si="8"/>
        <v>C.A.R.</v>
      </c>
      <c r="B189" t="s">
        <v>378</v>
      </c>
      <c r="C189">
        <v>0.1128</v>
      </c>
      <c r="D189">
        <f t="shared" si="9"/>
        <v>980</v>
      </c>
      <c r="E189">
        <f t="shared" si="10"/>
        <v>5.5</v>
      </c>
      <c r="F189">
        <f t="shared" si="11"/>
        <v>8.2199999999999995E-2</v>
      </c>
      <c r="H189" t="s">
        <v>303</v>
      </c>
      <c r="I189">
        <v>5.4800000000000001E-2</v>
      </c>
      <c r="K189" t="s">
        <v>378</v>
      </c>
      <c r="L189">
        <v>0.1128</v>
      </c>
      <c r="N189" t="s">
        <v>340</v>
      </c>
      <c r="O189">
        <v>0.16850999999999999</v>
      </c>
      <c r="Q189" t="s">
        <v>369</v>
      </c>
      <c r="R189">
        <v>0.12379</v>
      </c>
      <c r="T189" t="s">
        <v>360</v>
      </c>
      <c r="U189" s="8">
        <v>1500</v>
      </c>
      <c r="V189">
        <v>41.1</v>
      </c>
      <c r="W189">
        <v>189</v>
      </c>
      <c r="X189">
        <v>0.95854271356783916</v>
      </c>
      <c r="Y189">
        <v>189</v>
      </c>
      <c r="Z189">
        <v>0.95854271356783916</v>
      </c>
    </row>
    <row r="190" spans="1:26" x14ac:dyDescent="0.2">
      <c r="A190" t="str">
        <f t="shared" si="8"/>
        <v>Gambia</v>
      </c>
      <c r="B190" t="s">
        <v>367</v>
      </c>
      <c r="C190">
        <v>9.5509999999999998E-2</v>
      </c>
      <c r="D190">
        <f t="shared" si="9"/>
        <v>2280</v>
      </c>
      <c r="E190">
        <f t="shared" si="10"/>
        <v>2.8</v>
      </c>
      <c r="F190">
        <f t="shared" si="11"/>
        <v>0.17810000000000001</v>
      </c>
      <c r="H190" t="s">
        <v>312</v>
      </c>
      <c r="I190">
        <v>4.1099999999999998E-2</v>
      </c>
      <c r="K190" t="s">
        <v>367</v>
      </c>
      <c r="L190">
        <v>9.5509999999999998E-2</v>
      </c>
      <c r="N190" t="s">
        <v>326</v>
      </c>
      <c r="O190">
        <v>0.16677</v>
      </c>
      <c r="Q190" t="s">
        <v>375</v>
      </c>
      <c r="R190">
        <v>0.11945</v>
      </c>
      <c r="T190" t="s">
        <v>375</v>
      </c>
      <c r="U190" s="5">
        <v>920</v>
      </c>
      <c r="V190">
        <v>17.8</v>
      </c>
      <c r="W190">
        <v>190</v>
      </c>
      <c r="X190">
        <v>0.96231155778894473</v>
      </c>
      <c r="Y190">
        <v>190</v>
      </c>
      <c r="Z190">
        <v>0.96231155778894473</v>
      </c>
    </row>
    <row r="191" spans="1:26" x14ac:dyDescent="0.2">
      <c r="A191" t="str">
        <f t="shared" si="8"/>
        <v>Libya</v>
      </c>
      <c r="B191" t="s">
        <v>80</v>
      </c>
      <c r="C191">
        <v>8.0759999999999998E-2</v>
      </c>
      <c r="D191">
        <f t="shared" si="9"/>
        <v>13910</v>
      </c>
      <c r="E191">
        <f t="shared" si="10"/>
        <v>6.9</v>
      </c>
      <c r="F191">
        <f t="shared" si="11"/>
        <v>1.37E-2</v>
      </c>
      <c r="H191" t="s">
        <v>80</v>
      </c>
      <c r="I191">
        <v>1.37E-2</v>
      </c>
      <c r="K191" t="s">
        <v>80</v>
      </c>
      <c r="L191">
        <v>8.0759999999999998E-2</v>
      </c>
      <c r="N191" t="s">
        <v>364</v>
      </c>
      <c r="O191">
        <v>0.15212000000000001</v>
      </c>
      <c r="Q191" t="s">
        <v>361</v>
      </c>
      <c r="R191">
        <v>6.3210000000000002E-2</v>
      </c>
      <c r="T191" t="s">
        <v>376</v>
      </c>
      <c r="U191" s="5">
        <v>980</v>
      </c>
      <c r="V191">
        <v>3.7</v>
      </c>
      <c r="W191">
        <v>191</v>
      </c>
      <c r="X191">
        <v>0.9660804020100503</v>
      </c>
      <c r="Y191">
        <v>191</v>
      </c>
      <c r="Z191">
        <v>0.9660804020100503</v>
      </c>
    </row>
    <row r="192" spans="1:26" x14ac:dyDescent="0.2">
      <c r="A192" t="str">
        <f t="shared" si="8"/>
        <v>North Korea</v>
      </c>
      <c r="B192" t="s">
        <v>368</v>
      </c>
      <c r="C192">
        <v>2.9080000000000002E-2</v>
      </c>
      <c r="D192">
        <f t="shared" si="9"/>
        <v>840</v>
      </c>
      <c r="E192">
        <f t="shared" si="10"/>
        <v>26.1</v>
      </c>
      <c r="F192">
        <f t="shared" si="11"/>
        <v>0</v>
      </c>
      <c r="H192" t="s">
        <v>376</v>
      </c>
      <c r="I192">
        <v>1.37E-2</v>
      </c>
      <c r="K192" t="s">
        <v>368</v>
      </c>
      <c r="L192">
        <v>2.9080000000000002E-2</v>
      </c>
      <c r="N192" t="s">
        <v>283</v>
      </c>
      <c r="O192">
        <v>0.14879000000000001</v>
      </c>
      <c r="Q192" t="s">
        <v>364</v>
      </c>
      <c r="R192">
        <v>5.4730000000000001E-2</v>
      </c>
      <c r="T192" t="s">
        <v>377</v>
      </c>
      <c r="V192">
        <v>17.600000000000001</v>
      </c>
      <c r="W192">
        <v>192</v>
      </c>
      <c r="X192">
        <v>0.96984924623115587</v>
      </c>
      <c r="Y192">
        <v>192</v>
      </c>
      <c r="Z192">
        <v>0.96984924623115587</v>
      </c>
    </row>
    <row r="193" spans="1:26" x14ac:dyDescent="0.2">
      <c r="A193" t="str">
        <f t="shared" si="8"/>
        <v/>
      </c>
      <c r="B193" t="s">
        <v>366</v>
      </c>
      <c r="C193">
        <v>2.299E-2</v>
      </c>
      <c r="D193">
        <f t="shared" si="9"/>
        <v>3620</v>
      </c>
      <c r="E193">
        <f t="shared" si="10"/>
        <v>0.9</v>
      </c>
      <c r="F193">
        <f t="shared" si="11"/>
        <v>0</v>
      </c>
      <c r="H193" t="s">
        <v>366</v>
      </c>
      <c r="I193">
        <v>0</v>
      </c>
      <c r="K193" t="s">
        <v>366</v>
      </c>
      <c r="L193">
        <v>2.299E-2</v>
      </c>
      <c r="N193" t="s">
        <v>307</v>
      </c>
      <c r="O193">
        <v>0.12497999999999999</v>
      </c>
      <c r="Q193" t="s">
        <v>371</v>
      </c>
      <c r="R193">
        <v>3.3050000000000003E-2</v>
      </c>
      <c r="T193" t="s">
        <v>364</v>
      </c>
      <c r="U193" s="8">
        <v>1200</v>
      </c>
      <c r="V193">
        <v>10.9</v>
      </c>
      <c r="W193">
        <v>193</v>
      </c>
      <c r="X193">
        <v>0.97361809045226133</v>
      </c>
      <c r="Y193">
        <v>193</v>
      </c>
      <c r="Z193">
        <v>0.97361809045226133</v>
      </c>
    </row>
    <row r="194" spans="1:26" x14ac:dyDescent="0.2">
      <c r="A194" t="e">
        <f t="shared" si="8"/>
        <v>#N/A</v>
      </c>
      <c r="E194" t="e">
        <f>INDEX($V$2:$V$194, MATCH(B194,$T$2:$T$194,0))</f>
        <v>#N/A</v>
      </c>
      <c r="F194" t="e">
        <f t="shared" si="11"/>
        <v>#N/A</v>
      </c>
      <c r="H194" t="s">
        <v>368</v>
      </c>
      <c r="I194">
        <v>0</v>
      </c>
      <c r="K194" t="s">
        <v>376</v>
      </c>
      <c r="L194">
        <v>0</v>
      </c>
      <c r="N194" t="s">
        <v>301</v>
      </c>
      <c r="O194">
        <v>0</v>
      </c>
      <c r="Q194" t="s">
        <v>378</v>
      </c>
      <c r="R194">
        <v>0</v>
      </c>
      <c r="T194" t="s">
        <v>378</v>
      </c>
      <c r="U194" s="8">
        <v>980</v>
      </c>
      <c r="V194">
        <v>5.5</v>
      </c>
      <c r="W194">
        <v>194</v>
      </c>
      <c r="X194">
        <v>0.97738693467336679</v>
      </c>
      <c r="Y194">
        <v>194</v>
      </c>
      <c r="Z194">
        <v>0.97738693467336679</v>
      </c>
    </row>
    <row r="195" spans="1:26" x14ac:dyDescent="0.2">
      <c r="W195">
        <v>195</v>
      </c>
      <c r="X195">
        <v>0.98115577889447236</v>
      </c>
      <c r="Y195">
        <v>195</v>
      </c>
      <c r="Z195">
        <v>0.98115577889447236</v>
      </c>
    </row>
    <row r="196" spans="1:26" x14ac:dyDescent="0.2">
      <c r="W196">
        <v>196</v>
      </c>
      <c r="X196">
        <v>0.98492462311557794</v>
      </c>
      <c r="Y196">
        <v>196</v>
      </c>
      <c r="Z196">
        <v>0.98492462311557794</v>
      </c>
    </row>
    <row r="197" spans="1:26" x14ac:dyDescent="0.2">
      <c r="W197">
        <v>197</v>
      </c>
      <c r="X197">
        <v>0.9886934673366834</v>
      </c>
      <c r="Y197">
        <v>197</v>
      </c>
      <c r="Z197">
        <v>0.9886934673366834</v>
      </c>
    </row>
    <row r="198" spans="1:26" x14ac:dyDescent="0.2">
      <c r="W198">
        <v>198</v>
      </c>
      <c r="X198">
        <v>0.99246231155778886</v>
      </c>
      <c r="Y198">
        <v>198</v>
      </c>
      <c r="Z198">
        <v>0.99246231155778886</v>
      </c>
    </row>
    <row r="199" spans="1:26" x14ac:dyDescent="0.2">
      <c r="W199">
        <v>199</v>
      </c>
      <c r="X199">
        <v>0.99623115577889443</v>
      </c>
      <c r="Y199">
        <v>199</v>
      </c>
      <c r="Z199">
        <v>0.99623115577889443</v>
      </c>
    </row>
    <row r="200" spans="1:26" x14ac:dyDescent="0.2">
      <c r="W200">
        <v>200</v>
      </c>
      <c r="X200">
        <v>1</v>
      </c>
      <c r="Y200">
        <v>200</v>
      </c>
      <c r="Z200">
        <v>1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026C3-7920-B94E-AD3F-266CE728B5C0}">
  <sheetPr codeName="Sheet4">
    <tabColor rgb="FF002060"/>
  </sheetPr>
  <dimension ref="A1:AD200"/>
  <sheetViews>
    <sheetView topLeftCell="G1" zoomScale="70" zoomScaleNormal="70" workbookViewId="0">
      <selection activeCell="F89" sqref="F89"/>
    </sheetView>
  </sheetViews>
  <sheetFormatPr baseColWidth="10" defaultRowHeight="16" x14ac:dyDescent="0.2"/>
  <cols>
    <col min="1" max="2" width="30.6640625" customWidth="1"/>
    <col min="3" max="7" width="20.6640625" customWidth="1"/>
    <col min="8" max="8" width="23" customWidth="1"/>
    <col min="11" max="11" width="23.33203125" customWidth="1"/>
    <col min="13" max="13" width="38.1640625" customWidth="1"/>
    <col min="14" max="14" width="24" customWidth="1"/>
    <col min="17" max="17" width="19.83203125" customWidth="1"/>
    <col min="18" max="18" width="17" customWidth="1"/>
    <col min="20" max="20" width="18.83203125" customWidth="1"/>
    <col min="21" max="21" width="25.6640625" style="5" customWidth="1"/>
    <col min="29" max="29" width="20.6640625" customWidth="1"/>
  </cols>
  <sheetData>
    <row r="1" spans="1:30" x14ac:dyDescent="0.2">
      <c r="A1" s="1" t="s">
        <v>0</v>
      </c>
      <c r="B1" s="9" t="s">
        <v>0</v>
      </c>
      <c r="C1" s="9" t="s">
        <v>379</v>
      </c>
      <c r="D1" s="1" t="s">
        <v>2</v>
      </c>
      <c r="E1" s="1" t="s">
        <v>3</v>
      </c>
      <c r="F1" s="1" t="s">
        <v>4</v>
      </c>
      <c r="G1" s="2"/>
      <c r="H1" s="2" t="s">
        <v>0</v>
      </c>
      <c r="I1" s="2" t="s">
        <v>5</v>
      </c>
      <c r="J1" s="2"/>
      <c r="K1" s="2" t="s">
        <v>0</v>
      </c>
      <c r="L1" s="2" t="s">
        <v>6</v>
      </c>
      <c r="M1" s="2"/>
      <c r="N1" s="2" t="s">
        <v>0</v>
      </c>
      <c r="O1" s="2" t="s">
        <v>7</v>
      </c>
      <c r="P1" s="2"/>
      <c r="Q1" s="2" t="s">
        <v>0</v>
      </c>
      <c r="R1" s="2" t="s">
        <v>8</v>
      </c>
      <c r="T1" s="3" t="s">
        <v>9</v>
      </c>
      <c r="U1" s="4" t="s">
        <v>10</v>
      </c>
      <c r="V1" s="3" t="s">
        <v>11</v>
      </c>
      <c r="W1">
        <v>1</v>
      </c>
      <c r="X1">
        <v>0.25</v>
      </c>
      <c r="Y1">
        <v>1</v>
      </c>
      <c r="Z1">
        <v>0.25</v>
      </c>
      <c r="AC1" s="9" t="s">
        <v>379</v>
      </c>
      <c r="AD1" s="10" t="s">
        <v>380</v>
      </c>
    </row>
    <row r="2" spans="1:30" x14ac:dyDescent="0.2">
      <c r="A2" t="str">
        <f>IF(E2&gt;1, B2, "")</f>
        <v>South Korea</v>
      </c>
      <c r="B2" t="s">
        <v>25</v>
      </c>
      <c r="C2">
        <f>IF(ISNUMBER(MATCH(B2,$AD$2:$AD$27,0)),AC2,NA())</f>
        <v>1</v>
      </c>
      <c r="D2">
        <f>IF(ISNUMBER(C2),INDEX($U$2:$U$194, MATCH(B2,$T$2:$T$194,0)),NA())</f>
        <v>44740</v>
      </c>
      <c r="E2">
        <f>INDEX($V$2:$V$194, MATCH(B2,$T$2:$T$194,0))</f>
        <v>51.8</v>
      </c>
      <c r="F2">
        <f>IF(ISNUMBER(C2),INDEX($I$2:$I$194, MATCH(B2,$H$2:$H$194,0)),NA())</f>
        <v>0.97260000000000002</v>
      </c>
      <c r="H2" t="s">
        <v>13</v>
      </c>
      <c r="I2">
        <v>1</v>
      </c>
      <c r="K2" t="s">
        <v>25</v>
      </c>
      <c r="L2">
        <v>1</v>
      </c>
      <c r="N2" t="s">
        <v>15</v>
      </c>
      <c r="O2">
        <v>1</v>
      </c>
      <c r="Q2" t="s">
        <v>16</v>
      </c>
      <c r="R2">
        <v>1</v>
      </c>
      <c r="T2" t="s">
        <v>12</v>
      </c>
      <c r="U2" s="5">
        <v>68300</v>
      </c>
      <c r="V2">
        <v>5.9</v>
      </c>
      <c r="W2">
        <v>2</v>
      </c>
      <c r="X2">
        <v>0.25376884422110552</v>
      </c>
      <c r="Y2">
        <v>2</v>
      </c>
      <c r="Z2">
        <v>0.25376884422110552</v>
      </c>
      <c r="AC2">
        <v>1</v>
      </c>
      <c r="AD2" t="s">
        <v>12</v>
      </c>
    </row>
    <row r="3" spans="1:30" x14ac:dyDescent="0.2">
      <c r="A3" t="str">
        <f t="shared" ref="A3:A66" si="0">IF(E3&gt;1, B3, "")</f>
        <v>Denmark</v>
      </c>
      <c r="B3" t="s">
        <v>12</v>
      </c>
      <c r="C3">
        <f t="shared" ref="C3:C40" si="1">IF(ISNUMBER(MATCH(B3,$AD$2:$AD$27,0)),AC3,NA())</f>
        <v>0.99924000000000002</v>
      </c>
      <c r="D3">
        <f t="shared" ref="D3:D40" si="2">IF(ISNUMBER(C3),INDEX($U$2:$U$194, MATCH(B3,$T$2:$T$194,0)),NA())</f>
        <v>68300</v>
      </c>
      <c r="E3">
        <f>INDEX($V$2:$V$194, MATCH(B3,$T$2:$T$194,0))</f>
        <v>5.9</v>
      </c>
      <c r="F3">
        <f t="shared" ref="F3:F40" si="3">IF(ISNUMBER(C3),INDEX($I$2:$I$194, MATCH(B3,$H$2:$H$194,0)),NA())</f>
        <v>0.98629999999999995</v>
      </c>
      <c r="H3" t="s">
        <v>49</v>
      </c>
      <c r="I3">
        <v>0.98629999999999995</v>
      </c>
      <c r="K3" t="s">
        <v>12</v>
      </c>
      <c r="L3">
        <v>0.99924000000000002</v>
      </c>
      <c r="N3" t="s">
        <v>20</v>
      </c>
      <c r="O3">
        <v>0.99531000000000003</v>
      </c>
      <c r="Q3" t="s">
        <v>160</v>
      </c>
      <c r="R3">
        <v>0.99883</v>
      </c>
      <c r="T3" t="s">
        <v>17</v>
      </c>
      <c r="U3" s="5">
        <v>38110</v>
      </c>
      <c r="V3">
        <v>1.3</v>
      </c>
      <c r="W3">
        <v>3</v>
      </c>
      <c r="X3">
        <v>0.25753768844221103</v>
      </c>
      <c r="Y3">
        <v>3</v>
      </c>
      <c r="Z3">
        <v>0.25753768844221103</v>
      </c>
      <c r="AC3">
        <v>0.99924000000000002</v>
      </c>
      <c r="AD3" t="s">
        <v>17</v>
      </c>
    </row>
    <row r="4" spans="1:30" x14ac:dyDescent="0.2">
      <c r="A4" t="str">
        <f t="shared" si="0"/>
        <v>Estonia</v>
      </c>
      <c r="B4" t="s">
        <v>17</v>
      </c>
      <c r="C4">
        <f t="shared" si="1"/>
        <v>0.99534999999999996</v>
      </c>
      <c r="D4">
        <f t="shared" si="2"/>
        <v>38110</v>
      </c>
      <c r="E4">
        <f>INDEX($V$2:$V$194, MATCH(B4,$T$2:$T$194,0))</f>
        <v>1.3</v>
      </c>
      <c r="F4">
        <f t="shared" si="3"/>
        <v>0.95889999999999997</v>
      </c>
      <c r="H4" t="s">
        <v>12</v>
      </c>
      <c r="I4">
        <v>0.98629999999999995</v>
      </c>
      <c r="K4" t="s">
        <v>17</v>
      </c>
      <c r="L4">
        <v>0.99534999999999996</v>
      </c>
      <c r="N4" t="s">
        <v>24</v>
      </c>
      <c r="O4">
        <v>0.98358999999999996</v>
      </c>
      <c r="Q4" t="s">
        <v>28</v>
      </c>
      <c r="R4">
        <v>0.99829000000000001</v>
      </c>
      <c r="T4" t="s">
        <v>22</v>
      </c>
      <c r="U4" s="5">
        <v>116500</v>
      </c>
      <c r="V4">
        <v>5.6</v>
      </c>
      <c r="W4">
        <v>4</v>
      </c>
      <c r="X4">
        <v>0.2613065326633166</v>
      </c>
      <c r="Y4">
        <v>4</v>
      </c>
      <c r="Z4">
        <v>0.2613065326633166</v>
      </c>
      <c r="AC4">
        <v>0.99534999999999996</v>
      </c>
      <c r="AD4" t="s">
        <v>22</v>
      </c>
    </row>
    <row r="5" spans="1:30" x14ac:dyDescent="0.2">
      <c r="A5" t="str">
        <f t="shared" si="0"/>
        <v>Saudi Arabia</v>
      </c>
      <c r="B5" t="s">
        <v>31</v>
      </c>
      <c r="C5">
        <f t="shared" si="1"/>
        <v>0.98995</v>
      </c>
      <c r="D5">
        <f t="shared" si="2"/>
        <v>46120</v>
      </c>
      <c r="E5">
        <f>INDEX($V$2:$V$194, MATCH(B5,$T$2:$T$194,0))</f>
        <v>35.799999999999997</v>
      </c>
      <c r="F5">
        <f t="shared" si="3"/>
        <v>0.95889999999999997</v>
      </c>
      <c r="H5" t="s">
        <v>25</v>
      </c>
      <c r="I5">
        <v>0.97260000000000002</v>
      </c>
      <c r="K5" t="s">
        <v>31</v>
      </c>
      <c r="L5">
        <v>0.98995</v>
      </c>
      <c r="N5" t="s">
        <v>27</v>
      </c>
      <c r="O5">
        <v>0.96880999999999995</v>
      </c>
      <c r="Q5" t="s">
        <v>12</v>
      </c>
      <c r="R5">
        <v>0.99661999999999995</v>
      </c>
      <c r="T5" t="s">
        <v>25</v>
      </c>
      <c r="U5" s="5">
        <v>44740</v>
      </c>
      <c r="V5">
        <v>51.8</v>
      </c>
      <c r="W5">
        <v>5</v>
      </c>
      <c r="X5">
        <v>0.26507537688442212</v>
      </c>
      <c r="Y5">
        <v>5</v>
      </c>
      <c r="Z5">
        <v>0.26507537688442212</v>
      </c>
      <c r="AC5">
        <v>0.98995</v>
      </c>
      <c r="AD5" t="s">
        <v>25</v>
      </c>
    </row>
    <row r="6" spans="1:30" x14ac:dyDescent="0.2">
      <c r="A6" t="str">
        <f t="shared" si="0"/>
        <v>Ukraine</v>
      </c>
      <c r="B6" t="s">
        <v>13</v>
      </c>
      <c r="C6" t="e">
        <f t="shared" si="1"/>
        <v>#N/A</v>
      </c>
      <c r="D6" t="e">
        <f t="shared" si="2"/>
        <v>#N/A</v>
      </c>
      <c r="E6">
        <f t="shared" ref="E6" si="4">INDEX($V$2:$V$194, MATCH(B6,$T$2:$T$194,0))</f>
        <v>41.2</v>
      </c>
      <c r="F6" t="e">
        <f t="shared" si="3"/>
        <v>#N/A</v>
      </c>
      <c r="H6" t="s">
        <v>46</v>
      </c>
      <c r="I6">
        <v>0.97260000000000002</v>
      </c>
      <c r="K6" t="s">
        <v>13</v>
      </c>
      <c r="L6">
        <v>0.98536000000000001</v>
      </c>
      <c r="N6" t="s">
        <v>29</v>
      </c>
      <c r="O6">
        <v>0.96723999999999999</v>
      </c>
      <c r="Q6" t="s">
        <v>137</v>
      </c>
      <c r="R6">
        <v>0.99634</v>
      </c>
      <c r="T6" t="s">
        <v>28</v>
      </c>
      <c r="U6" s="5">
        <v>55220</v>
      </c>
      <c r="V6">
        <v>0.4</v>
      </c>
      <c r="W6">
        <v>6</v>
      </c>
      <c r="X6">
        <v>0.26884422110552764</v>
      </c>
      <c r="Y6">
        <v>6</v>
      </c>
      <c r="Z6">
        <v>0.26884422110552764</v>
      </c>
      <c r="AC6">
        <v>0.98536000000000001</v>
      </c>
      <c r="AD6" t="s">
        <v>28</v>
      </c>
    </row>
    <row r="7" spans="1:30" x14ac:dyDescent="0.2">
      <c r="A7" t="str">
        <f t="shared" si="0"/>
        <v>Singapore</v>
      </c>
      <c r="B7" t="s">
        <v>22</v>
      </c>
      <c r="C7">
        <f t="shared" si="1"/>
        <v>0.98306000000000004</v>
      </c>
      <c r="D7">
        <f t="shared" si="2"/>
        <v>116500</v>
      </c>
      <c r="E7">
        <f>INDEX($V$2:$V$194, MATCH(B7,$T$2:$T$194,0))</f>
        <v>5.6</v>
      </c>
      <c r="F7">
        <f t="shared" si="3"/>
        <v>0.95889999999999997</v>
      </c>
      <c r="H7" t="s">
        <v>32</v>
      </c>
      <c r="I7">
        <v>0.97260000000000002</v>
      </c>
      <c r="K7" t="s">
        <v>22</v>
      </c>
      <c r="L7">
        <v>0.98306000000000004</v>
      </c>
      <c r="N7" t="s">
        <v>34</v>
      </c>
      <c r="O7">
        <v>0.96152000000000004</v>
      </c>
      <c r="Q7" t="s">
        <v>25</v>
      </c>
      <c r="R7">
        <v>0.99170000000000003</v>
      </c>
      <c r="T7" t="s">
        <v>31</v>
      </c>
      <c r="U7" s="5">
        <v>46120</v>
      </c>
      <c r="V7">
        <v>35.799999999999997</v>
      </c>
      <c r="W7">
        <v>7</v>
      </c>
      <c r="X7">
        <v>0.27261306532663315</v>
      </c>
      <c r="Y7">
        <v>7</v>
      </c>
      <c r="Z7">
        <v>0.27261306532663315</v>
      </c>
      <c r="AC7">
        <v>0.98306000000000004</v>
      </c>
      <c r="AD7" t="s">
        <v>31</v>
      </c>
    </row>
    <row r="8" spans="1:30" x14ac:dyDescent="0.2">
      <c r="A8" t="str">
        <f t="shared" si="0"/>
        <v>U.K.</v>
      </c>
      <c r="B8" t="s">
        <v>32</v>
      </c>
      <c r="C8">
        <f t="shared" si="1"/>
        <v>0.95348999999999995</v>
      </c>
      <c r="D8">
        <f t="shared" si="2"/>
        <v>53070</v>
      </c>
      <c r="E8">
        <f>INDEX($V$2:$V$194, MATCH(B8,$T$2:$T$194,0))</f>
        <v>67.3</v>
      </c>
      <c r="F8">
        <f t="shared" si="3"/>
        <v>0.97260000000000002</v>
      </c>
      <c r="H8" t="s">
        <v>17</v>
      </c>
      <c r="I8">
        <v>0.95889999999999997</v>
      </c>
      <c r="K8" t="s">
        <v>32</v>
      </c>
      <c r="L8">
        <v>0.95348999999999995</v>
      </c>
      <c r="N8" t="s">
        <v>19</v>
      </c>
      <c r="O8">
        <v>0.95840999999999998</v>
      </c>
      <c r="Q8" t="s">
        <v>35</v>
      </c>
      <c r="R8">
        <v>0.99063999999999997</v>
      </c>
      <c r="T8" t="s">
        <v>32</v>
      </c>
      <c r="U8" s="5">
        <v>53070</v>
      </c>
      <c r="V8">
        <v>67.3</v>
      </c>
      <c r="W8">
        <v>8</v>
      </c>
      <c r="X8">
        <v>0.27638190954773867</v>
      </c>
      <c r="Y8">
        <v>8</v>
      </c>
      <c r="Z8">
        <v>0.27638190954773867</v>
      </c>
      <c r="AC8">
        <v>0.95348999999999995</v>
      </c>
      <c r="AD8" t="s">
        <v>32</v>
      </c>
    </row>
    <row r="9" spans="1:30" x14ac:dyDescent="0.2">
      <c r="A9" t="str">
        <f t="shared" si="0"/>
        <v>New Zealand</v>
      </c>
      <c r="B9" t="s">
        <v>57</v>
      </c>
      <c r="C9">
        <f t="shared" si="1"/>
        <v>0.94530000000000003</v>
      </c>
      <c r="D9">
        <f t="shared" si="2"/>
        <v>48830</v>
      </c>
      <c r="E9">
        <f>INDEX($V$2:$V$194, MATCH(B9,$T$2:$T$194,0))</f>
        <v>5.0999999999999996</v>
      </c>
      <c r="F9">
        <f t="shared" si="3"/>
        <v>0.93149999999999999</v>
      </c>
      <c r="H9" t="s">
        <v>28</v>
      </c>
      <c r="I9">
        <v>0.95889999999999997</v>
      </c>
      <c r="K9" t="s">
        <v>57</v>
      </c>
      <c r="L9">
        <v>0.94530000000000003</v>
      </c>
      <c r="N9" t="s">
        <v>23</v>
      </c>
      <c r="O9">
        <v>0.94972000000000001</v>
      </c>
      <c r="Q9" t="s">
        <v>37</v>
      </c>
      <c r="R9">
        <v>0.98875999999999997</v>
      </c>
      <c r="T9" t="s">
        <v>36</v>
      </c>
      <c r="U9" s="5">
        <v>55100</v>
      </c>
      <c r="V9">
        <v>25.7</v>
      </c>
      <c r="W9">
        <v>9</v>
      </c>
      <c r="X9">
        <v>0.28015075376884424</v>
      </c>
      <c r="Y9">
        <v>9</v>
      </c>
      <c r="Z9">
        <v>0.28015075376884424</v>
      </c>
      <c r="AC9">
        <v>0.94530000000000003</v>
      </c>
      <c r="AD9" t="s">
        <v>36</v>
      </c>
    </row>
    <row r="10" spans="1:30" x14ac:dyDescent="0.2">
      <c r="A10" t="str">
        <f t="shared" si="0"/>
        <v>Japan</v>
      </c>
      <c r="B10" t="s">
        <v>49</v>
      </c>
      <c r="C10">
        <f t="shared" si="1"/>
        <v>0.94274000000000002</v>
      </c>
      <c r="D10">
        <f t="shared" si="2"/>
        <v>44600</v>
      </c>
      <c r="E10">
        <f>INDEX($V$2:$V$194, MATCH(B10,$T$2:$T$194,0))</f>
        <v>125.1</v>
      </c>
      <c r="F10">
        <f t="shared" si="3"/>
        <v>0.98629999999999995</v>
      </c>
      <c r="H10" t="s">
        <v>31</v>
      </c>
      <c r="I10">
        <v>0.95889999999999997</v>
      </c>
      <c r="K10" t="s">
        <v>49</v>
      </c>
      <c r="L10">
        <v>0.94274000000000002</v>
      </c>
      <c r="N10" t="s">
        <v>32</v>
      </c>
      <c r="O10">
        <v>0.94498000000000004</v>
      </c>
      <c r="Q10" t="s">
        <v>22</v>
      </c>
      <c r="R10">
        <v>0.98806000000000005</v>
      </c>
      <c r="T10" t="s">
        <v>38</v>
      </c>
      <c r="U10" s="5">
        <v>53040</v>
      </c>
      <c r="V10">
        <v>5.5</v>
      </c>
      <c r="W10">
        <v>10</v>
      </c>
      <c r="X10">
        <v>0.28391959798994976</v>
      </c>
      <c r="Y10">
        <v>10</v>
      </c>
      <c r="Z10">
        <v>0.28391959798994976</v>
      </c>
      <c r="AC10">
        <v>0.94274000000000002</v>
      </c>
      <c r="AD10" t="s">
        <v>38</v>
      </c>
    </row>
    <row r="11" spans="1:30" x14ac:dyDescent="0.2">
      <c r="A11" t="str">
        <f t="shared" si="0"/>
        <v>Kazakhstan</v>
      </c>
      <c r="B11" t="s">
        <v>76</v>
      </c>
      <c r="C11">
        <f t="shared" si="1"/>
        <v>0.93903000000000003</v>
      </c>
      <c r="D11">
        <f t="shared" si="2"/>
        <v>26940</v>
      </c>
      <c r="E11">
        <f>INDEX($V$2:$V$194, MATCH(B11,$T$2:$T$194,0))</f>
        <v>19.399999999999999</v>
      </c>
      <c r="F11">
        <f t="shared" si="3"/>
        <v>0.84930000000000005</v>
      </c>
      <c r="H11" t="s">
        <v>22</v>
      </c>
      <c r="I11">
        <v>0.95889999999999997</v>
      </c>
      <c r="K11" t="s">
        <v>76</v>
      </c>
      <c r="L11">
        <v>0.93903000000000003</v>
      </c>
      <c r="N11" t="s">
        <v>41</v>
      </c>
      <c r="O11">
        <v>0.94355</v>
      </c>
      <c r="Q11" t="s">
        <v>63</v>
      </c>
      <c r="R11">
        <v>0.98773</v>
      </c>
      <c r="T11" t="s">
        <v>39</v>
      </c>
      <c r="U11" s="5">
        <v>61000</v>
      </c>
      <c r="V11">
        <v>17.5</v>
      </c>
      <c r="W11">
        <v>11</v>
      </c>
      <c r="X11">
        <v>0.28768844221105527</v>
      </c>
      <c r="Y11">
        <v>11</v>
      </c>
      <c r="Z11">
        <v>0.28768844221105527</v>
      </c>
      <c r="AC11">
        <v>0.93903000000000003</v>
      </c>
      <c r="AD11" t="s">
        <v>39</v>
      </c>
    </row>
    <row r="12" spans="1:30" x14ac:dyDescent="0.2">
      <c r="A12" t="str">
        <f t="shared" si="0"/>
        <v>China</v>
      </c>
      <c r="B12" t="s">
        <v>97</v>
      </c>
      <c r="C12" t="e">
        <f t="shared" si="1"/>
        <v>#N/A</v>
      </c>
      <c r="D12" t="e">
        <f t="shared" si="2"/>
        <v>#N/A</v>
      </c>
      <c r="E12">
        <f>INDEX($V$2:$V$194, MATCH(B12,$T$2:$T$194,0))</f>
        <v>1412.2</v>
      </c>
      <c r="F12" t="e">
        <f t="shared" si="3"/>
        <v>#N/A</v>
      </c>
      <c r="H12" t="s">
        <v>64</v>
      </c>
      <c r="I12">
        <v>0.94520000000000004</v>
      </c>
      <c r="K12" t="s">
        <v>97</v>
      </c>
      <c r="L12">
        <v>0.92576000000000003</v>
      </c>
      <c r="N12" t="s">
        <v>33</v>
      </c>
      <c r="O12">
        <v>0.93615000000000004</v>
      </c>
      <c r="Q12" t="s">
        <v>179</v>
      </c>
      <c r="R12">
        <v>0.98680000000000001</v>
      </c>
      <c r="T12" t="s">
        <v>16</v>
      </c>
      <c r="U12" s="5">
        <v>74410</v>
      </c>
      <c r="V12">
        <v>9.3000000000000007</v>
      </c>
      <c r="W12">
        <v>12</v>
      </c>
      <c r="X12">
        <v>0.29145728643216079</v>
      </c>
      <c r="Y12">
        <v>12</v>
      </c>
      <c r="Z12">
        <v>0.29145728643216079</v>
      </c>
      <c r="AC12">
        <v>0.92576000000000003</v>
      </c>
      <c r="AD12" t="s">
        <v>16</v>
      </c>
    </row>
    <row r="13" spans="1:30" x14ac:dyDescent="0.2">
      <c r="A13" t="str">
        <f t="shared" si="0"/>
        <v>Germany</v>
      </c>
      <c r="B13" t="s">
        <v>46</v>
      </c>
      <c r="C13">
        <f t="shared" si="1"/>
        <v>0.92383999999999999</v>
      </c>
      <c r="D13">
        <f t="shared" si="2"/>
        <v>58370</v>
      </c>
      <c r="E13">
        <f>INDEX($V$2:$V$194, MATCH(B13,$T$2:$T$194,0))</f>
        <v>83.2</v>
      </c>
      <c r="F13">
        <f t="shared" si="3"/>
        <v>0.97260000000000002</v>
      </c>
      <c r="H13" t="s">
        <v>39</v>
      </c>
      <c r="I13">
        <v>0.93149999999999999</v>
      </c>
      <c r="K13" t="s">
        <v>46</v>
      </c>
      <c r="L13">
        <v>0.92383999999999999</v>
      </c>
      <c r="N13" t="s">
        <v>47</v>
      </c>
      <c r="O13">
        <v>0.93298000000000003</v>
      </c>
      <c r="Q13" t="s">
        <v>52</v>
      </c>
      <c r="R13">
        <v>0.98678999999999994</v>
      </c>
      <c r="T13" t="s">
        <v>46</v>
      </c>
      <c r="U13" s="5">
        <v>58370</v>
      </c>
      <c r="V13">
        <v>83.2</v>
      </c>
      <c r="W13">
        <v>13</v>
      </c>
      <c r="X13">
        <v>0.29522613065326631</v>
      </c>
      <c r="Y13">
        <v>13</v>
      </c>
      <c r="Z13">
        <v>0.29522613065326631</v>
      </c>
      <c r="AC13">
        <v>0.92383999999999999</v>
      </c>
      <c r="AD13" t="s">
        <v>46</v>
      </c>
    </row>
    <row r="14" spans="1:30" x14ac:dyDescent="0.2">
      <c r="A14" t="str">
        <f t="shared" si="0"/>
        <v>Turkiye</v>
      </c>
      <c r="B14" t="s">
        <v>50</v>
      </c>
      <c r="C14" t="e">
        <f t="shared" si="1"/>
        <v>#N/A</v>
      </c>
      <c r="D14" t="e">
        <f t="shared" si="2"/>
        <v>#N/A</v>
      </c>
      <c r="E14">
        <f>INDEX($V$2:$V$194, MATCH(B14,$T$2:$T$194,0))</f>
        <v>85.3</v>
      </c>
      <c r="F14" t="e">
        <f t="shared" si="3"/>
        <v>#N/A</v>
      </c>
      <c r="H14" t="s">
        <v>57</v>
      </c>
      <c r="I14">
        <v>0.93149999999999999</v>
      </c>
      <c r="K14" t="s">
        <v>50</v>
      </c>
      <c r="L14">
        <v>0.92252999999999996</v>
      </c>
      <c r="N14" t="s">
        <v>48</v>
      </c>
      <c r="O14">
        <v>0.92745</v>
      </c>
      <c r="Q14" t="s">
        <v>51</v>
      </c>
      <c r="R14">
        <v>0.98617999999999995</v>
      </c>
      <c r="T14" t="s">
        <v>49</v>
      </c>
      <c r="U14" s="5">
        <v>44600</v>
      </c>
      <c r="V14">
        <v>125.1</v>
      </c>
      <c r="W14">
        <v>14</v>
      </c>
      <c r="X14">
        <v>0.29899497487437188</v>
      </c>
      <c r="Y14">
        <v>14</v>
      </c>
      <c r="Z14">
        <v>0.29899497487437188</v>
      </c>
      <c r="AC14">
        <v>0.92252999999999996</v>
      </c>
      <c r="AD14" t="s">
        <v>49</v>
      </c>
    </row>
    <row r="15" spans="1:30" x14ac:dyDescent="0.2">
      <c r="A15" t="str">
        <f t="shared" si="0"/>
        <v>Australia</v>
      </c>
      <c r="B15" t="s">
        <v>36</v>
      </c>
      <c r="C15">
        <f t="shared" si="1"/>
        <v>0.92218999999999995</v>
      </c>
      <c r="D15">
        <f t="shared" si="2"/>
        <v>55100</v>
      </c>
      <c r="E15">
        <f>INDEX($V$2:$V$194, MATCH(B15,$T$2:$T$194,0))</f>
        <v>25.7</v>
      </c>
      <c r="F15">
        <f t="shared" si="3"/>
        <v>0.86299999999999999</v>
      </c>
      <c r="H15" t="s">
        <v>97</v>
      </c>
      <c r="I15">
        <v>0.93149999999999999</v>
      </c>
      <c r="K15" t="s">
        <v>36</v>
      </c>
      <c r="L15">
        <v>0.92218999999999995</v>
      </c>
      <c r="N15" t="s">
        <v>53</v>
      </c>
      <c r="O15">
        <v>0.92190000000000005</v>
      </c>
      <c r="Q15" t="s">
        <v>31</v>
      </c>
      <c r="R15">
        <v>0.98411000000000004</v>
      </c>
      <c r="T15" t="s">
        <v>52</v>
      </c>
      <c r="U15" s="5">
        <v>58780</v>
      </c>
      <c r="V15">
        <v>10.4</v>
      </c>
      <c r="W15">
        <v>15</v>
      </c>
      <c r="X15">
        <v>0.30276381909547739</v>
      </c>
      <c r="Y15">
        <v>15</v>
      </c>
      <c r="Z15">
        <v>0.30276381909547739</v>
      </c>
      <c r="AC15">
        <v>0.92218999999999995</v>
      </c>
      <c r="AD15" t="s">
        <v>52</v>
      </c>
    </row>
    <row r="16" spans="1:30" x14ac:dyDescent="0.2">
      <c r="A16" t="str">
        <f t="shared" si="0"/>
        <v>Netherlands</v>
      </c>
      <c r="B16" t="s">
        <v>39</v>
      </c>
      <c r="C16">
        <f t="shared" si="1"/>
        <v>0.92118</v>
      </c>
      <c r="D16">
        <f t="shared" si="2"/>
        <v>61000</v>
      </c>
      <c r="E16">
        <f>INDEX($V$2:$V$194, MATCH(B16,$T$2:$T$194,0))</f>
        <v>17.5</v>
      </c>
      <c r="F16">
        <f t="shared" si="3"/>
        <v>0.93149999999999999</v>
      </c>
      <c r="H16" t="s">
        <v>66</v>
      </c>
      <c r="I16">
        <v>0.91779999999999995</v>
      </c>
      <c r="K16" t="s">
        <v>39</v>
      </c>
      <c r="L16">
        <v>0.92118</v>
      </c>
      <c r="N16" t="s">
        <v>50</v>
      </c>
      <c r="O16">
        <v>0.91922999999999999</v>
      </c>
      <c r="Q16" t="s">
        <v>56</v>
      </c>
      <c r="R16">
        <v>0.98096000000000005</v>
      </c>
      <c r="T16" t="s">
        <v>54</v>
      </c>
      <c r="U16" s="5">
        <v>74940</v>
      </c>
      <c r="V16">
        <v>5.4</v>
      </c>
      <c r="W16">
        <v>16</v>
      </c>
      <c r="X16">
        <v>0.30653266331658291</v>
      </c>
      <c r="Y16">
        <v>16</v>
      </c>
      <c r="Z16">
        <v>0.30653266331658291</v>
      </c>
      <c r="AC16">
        <v>0.92118</v>
      </c>
      <c r="AD16" t="s">
        <v>54</v>
      </c>
    </row>
    <row r="17" spans="1:30" x14ac:dyDescent="0.2">
      <c r="A17" t="str">
        <f t="shared" si="0"/>
        <v>U.A.E.</v>
      </c>
      <c r="B17" t="s">
        <v>16</v>
      </c>
      <c r="C17">
        <f t="shared" si="1"/>
        <v>0.91627000000000003</v>
      </c>
      <c r="D17">
        <f t="shared" si="2"/>
        <v>74410</v>
      </c>
      <c r="E17">
        <f>INDEX($V$2:$V$194, MATCH(B17,$T$2:$T$194,0))</f>
        <v>9.3000000000000007</v>
      </c>
      <c r="F17">
        <f t="shared" si="3"/>
        <v>0.78080000000000005</v>
      </c>
      <c r="H17" t="s">
        <v>122</v>
      </c>
      <c r="I17">
        <v>0.91779999999999995</v>
      </c>
      <c r="K17" t="s">
        <v>16</v>
      </c>
      <c r="L17">
        <v>0.91627000000000003</v>
      </c>
      <c r="N17" t="s">
        <v>59</v>
      </c>
      <c r="O17">
        <v>0.91747999999999996</v>
      </c>
      <c r="Q17" t="s">
        <v>38</v>
      </c>
      <c r="R17">
        <v>0.97909000000000002</v>
      </c>
      <c r="T17" t="s">
        <v>57</v>
      </c>
      <c r="U17" s="5">
        <v>48830</v>
      </c>
      <c r="V17">
        <v>5.0999999999999996</v>
      </c>
      <c r="W17">
        <v>17</v>
      </c>
      <c r="X17">
        <v>0.31030150753768843</v>
      </c>
      <c r="Y17">
        <v>17</v>
      </c>
      <c r="Z17">
        <v>0.31030150753768843</v>
      </c>
      <c r="AC17">
        <v>0.91627000000000003</v>
      </c>
      <c r="AD17" t="s">
        <v>57</v>
      </c>
    </row>
    <row r="18" spans="1:30" x14ac:dyDescent="0.2">
      <c r="A18" t="str">
        <f t="shared" si="0"/>
        <v>U.S.A.</v>
      </c>
      <c r="B18" t="s">
        <v>64</v>
      </c>
      <c r="C18">
        <f t="shared" si="1"/>
        <v>0.91357999999999995</v>
      </c>
      <c r="D18">
        <f t="shared" si="2"/>
        <v>70480</v>
      </c>
      <c r="E18">
        <f>INDEX($V$2:$V$194, MATCH(B18,$T$2:$T$194,0))</f>
        <v>333.3</v>
      </c>
      <c r="F18">
        <f t="shared" si="3"/>
        <v>0.94520000000000004</v>
      </c>
      <c r="H18" t="s">
        <v>91</v>
      </c>
      <c r="I18">
        <v>0.91779999999999995</v>
      </c>
      <c r="K18" t="s">
        <v>64</v>
      </c>
      <c r="L18">
        <v>0.91357999999999995</v>
      </c>
      <c r="N18" t="s">
        <v>14</v>
      </c>
      <c r="O18">
        <v>0.91198000000000001</v>
      </c>
      <c r="Q18" t="s">
        <v>74</v>
      </c>
      <c r="R18">
        <v>0.97633000000000003</v>
      </c>
      <c r="T18" t="s">
        <v>60</v>
      </c>
      <c r="U18" s="5">
        <v>42520</v>
      </c>
      <c r="V18">
        <v>47.4</v>
      </c>
      <c r="W18">
        <v>18</v>
      </c>
      <c r="X18">
        <v>0.31407035175879394</v>
      </c>
      <c r="Y18">
        <v>18</v>
      </c>
      <c r="Z18">
        <v>0.31407035175879394</v>
      </c>
      <c r="AC18">
        <v>0.91357999999999995</v>
      </c>
      <c r="AD18" t="s">
        <v>60</v>
      </c>
    </row>
    <row r="19" spans="1:30" x14ac:dyDescent="0.2">
      <c r="A19" t="str">
        <f t="shared" si="0"/>
        <v>Norway</v>
      </c>
      <c r="B19" t="s">
        <v>54</v>
      </c>
      <c r="C19">
        <f t="shared" si="1"/>
        <v>0.91171999999999997</v>
      </c>
      <c r="D19">
        <f t="shared" si="2"/>
        <v>74940</v>
      </c>
      <c r="E19">
        <f>INDEX($V$2:$V$194, MATCH(B19,$T$2:$T$194,0))</f>
        <v>5.4</v>
      </c>
      <c r="F19">
        <f t="shared" si="3"/>
        <v>0.86299999999999999</v>
      </c>
      <c r="H19" t="s">
        <v>63</v>
      </c>
      <c r="I19">
        <v>0.90410000000000001</v>
      </c>
      <c r="K19" t="s">
        <v>54</v>
      </c>
      <c r="L19">
        <v>0.91171999999999997</v>
      </c>
      <c r="N19" t="s">
        <v>18</v>
      </c>
      <c r="O19">
        <v>0.91169999999999995</v>
      </c>
      <c r="Q19" t="s">
        <v>32</v>
      </c>
      <c r="R19">
        <v>0.97467000000000004</v>
      </c>
      <c r="T19" t="s">
        <v>63</v>
      </c>
      <c r="U19" s="5">
        <v>47850</v>
      </c>
      <c r="V19">
        <v>1.5</v>
      </c>
      <c r="W19">
        <v>19</v>
      </c>
      <c r="X19">
        <v>0.31783919597989951</v>
      </c>
      <c r="Y19">
        <v>19</v>
      </c>
      <c r="Z19">
        <v>0.31783919597989951</v>
      </c>
      <c r="AC19">
        <v>0.91171999999999997</v>
      </c>
      <c r="AD19" t="s">
        <v>63</v>
      </c>
    </row>
    <row r="20" spans="1:30" x14ac:dyDescent="0.2">
      <c r="A20" t="str">
        <f t="shared" si="0"/>
        <v>Finland</v>
      </c>
      <c r="B20" t="s">
        <v>38</v>
      </c>
      <c r="C20">
        <f t="shared" si="1"/>
        <v>0.90973000000000004</v>
      </c>
      <c r="D20">
        <f t="shared" si="2"/>
        <v>53040</v>
      </c>
      <c r="E20">
        <f>INDEX($V$2:$V$194, MATCH(B20,$T$2:$T$194,0))</f>
        <v>5.5</v>
      </c>
      <c r="F20">
        <f t="shared" si="3"/>
        <v>0.89039999999999997</v>
      </c>
      <c r="H20" t="s">
        <v>38</v>
      </c>
      <c r="I20">
        <v>0.89039999999999997</v>
      </c>
      <c r="K20" t="s">
        <v>38</v>
      </c>
      <c r="L20">
        <v>0.90973000000000004</v>
      </c>
      <c r="N20" t="s">
        <v>26</v>
      </c>
      <c r="O20">
        <v>0.90666000000000002</v>
      </c>
      <c r="Q20" t="s">
        <v>83</v>
      </c>
      <c r="R20">
        <v>0.97465999999999997</v>
      </c>
      <c r="T20" t="s">
        <v>64</v>
      </c>
      <c r="U20" s="5">
        <v>70480</v>
      </c>
      <c r="V20">
        <v>333.3</v>
      </c>
      <c r="W20">
        <v>20</v>
      </c>
      <c r="X20">
        <v>0.32160804020100503</v>
      </c>
      <c r="Y20">
        <v>20</v>
      </c>
      <c r="Z20">
        <v>0.32160804020100503</v>
      </c>
      <c r="AC20">
        <v>0.90973000000000004</v>
      </c>
      <c r="AD20" t="s">
        <v>64</v>
      </c>
    </row>
    <row r="21" spans="1:30" x14ac:dyDescent="0.2">
      <c r="A21" t="str">
        <f t="shared" si="0"/>
        <v/>
      </c>
      <c r="B21" t="s">
        <v>28</v>
      </c>
      <c r="C21">
        <f t="shared" si="1"/>
        <v>0.90754999999999997</v>
      </c>
      <c r="D21">
        <f t="shared" si="2"/>
        <v>55220</v>
      </c>
      <c r="E21">
        <f>INDEX($V$2:$V$194, MATCH(B21,$T$2:$T$194,0))</f>
        <v>0.4</v>
      </c>
      <c r="F21">
        <f t="shared" si="3"/>
        <v>0.95889999999999997</v>
      </c>
      <c r="H21" t="s">
        <v>67</v>
      </c>
      <c r="I21">
        <v>0.89039999999999997</v>
      </c>
      <c r="K21" t="s">
        <v>28</v>
      </c>
      <c r="L21">
        <v>0.90754999999999997</v>
      </c>
      <c r="N21" t="s">
        <v>55</v>
      </c>
      <c r="O21">
        <v>0.90459999999999996</v>
      </c>
      <c r="Q21" t="s">
        <v>17</v>
      </c>
      <c r="R21">
        <v>0.97309000000000001</v>
      </c>
      <c r="T21" t="s">
        <v>66</v>
      </c>
      <c r="U21" s="5">
        <v>99240</v>
      </c>
      <c r="V21">
        <v>5</v>
      </c>
      <c r="W21">
        <v>21</v>
      </c>
      <c r="X21">
        <v>0.32537688442211055</v>
      </c>
      <c r="Y21">
        <v>21</v>
      </c>
      <c r="Z21">
        <v>0.32537688442211055</v>
      </c>
      <c r="AC21">
        <v>0.90754999999999997</v>
      </c>
      <c r="AD21" t="s">
        <v>66</v>
      </c>
    </row>
    <row r="22" spans="1:30" x14ac:dyDescent="0.2">
      <c r="A22" t="str">
        <f t="shared" si="0"/>
        <v>Brazil</v>
      </c>
      <c r="B22" t="s">
        <v>130</v>
      </c>
      <c r="C22" t="e">
        <f t="shared" si="1"/>
        <v>#N/A</v>
      </c>
      <c r="D22" t="e">
        <f t="shared" si="2"/>
        <v>#N/A</v>
      </c>
      <c r="E22">
        <f>INDEX($V$2:$V$194, MATCH(B22,$T$2:$T$194,0))</f>
        <v>215.3</v>
      </c>
      <c r="F22" t="e">
        <f t="shared" si="3"/>
        <v>#N/A</v>
      </c>
      <c r="H22" t="s">
        <v>161</v>
      </c>
      <c r="I22">
        <v>0.87670000000000003</v>
      </c>
      <c r="K22" t="s">
        <v>130</v>
      </c>
      <c r="L22">
        <v>0.90630999999999995</v>
      </c>
      <c r="N22" t="s">
        <v>71</v>
      </c>
      <c r="O22">
        <v>0.90264</v>
      </c>
      <c r="Q22" t="s">
        <v>39</v>
      </c>
      <c r="R22">
        <v>0.97150999999999998</v>
      </c>
      <c r="T22" t="s">
        <v>68</v>
      </c>
      <c r="U22" s="5">
        <v>42510</v>
      </c>
      <c r="V22">
        <v>2.8</v>
      </c>
      <c r="W22">
        <v>22</v>
      </c>
      <c r="X22">
        <v>0.32914572864321606</v>
      </c>
      <c r="Y22">
        <v>22</v>
      </c>
      <c r="Z22">
        <v>0.32914572864321606</v>
      </c>
      <c r="AC22">
        <v>0.90630999999999995</v>
      </c>
      <c r="AD22" t="s">
        <v>68</v>
      </c>
    </row>
    <row r="23" spans="1:30" x14ac:dyDescent="0.2">
      <c r="A23" t="str">
        <f t="shared" si="0"/>
        <v>Spain</v>
      </c>
      <c r="B23" t="s">
        <v>60</v>
      </c>
      <c r="C23">
        <f t="shared" si="1"/>
        <v>0.90542</v>
      </c>
      <c r="D23">
        <f t="shared" si="2"/>
        <v>42520</v>
      </c>
      <c r="E23">
        <f>INDEX($V$2:$V$194, MATCH(B23,$T$2:$T$194,0))</f>
        <v>47.4</v>
      </c>
      <c r="F23">
        <f t="shared" si="3"/>
        <v>0.80820000000000003</v>
      </c>
      <c r="H23" t="s">
        <v>54</v>
      </c>
      <c r="I23">
        <v>0.86299999999999999</v>
      </c>
      <c r="K23" t="s">
        <v>60</v>
      </c>
      <c r="L23">
        <v>0.90542</v>
      </c>
      <c r="N23" t="s">
        <v>56</v>
      </c>
      <c r="O23">
        <v>0.90027999999999997</v>
      </c>
      <c r="Q23" t="s">
        <v>110</v>
      </c>
      <c r="R23">
        <v>0.96738999999999997</v>
      </c>
      <c r="T23" t="s">
        <v>56</v>
      </c>
      <c r="U23" s="5">
        <v>60840</v>
      </c>
      <c r="V23">
        <v>9</v>
      </c>
      <c r="W23">
        <v>23</v>
      </c>
      <c r="X23">
        <v>0.33291457286432158</v>
      </c>
      <c r="Y23">
        <v>23</v>
      </c>
      <c r="Z23">
        <v>0.33291457286432158</v>
      </c>
      <c r="AC23">
        <v>0.90542</v>
      </c>
      <c r="AD23" t="s">
        <v>56</v>
      </c>
    </row>
    <row r="24" spans="1:30" x14ac:dyDescent="0.2">
      <c r="A24" t="str">
        <f t="shared" si="0"/>
        <v>Bahrain</v>
      </c>
      <c r="B24" t="s">
        <v>63</v>
      </c>
      <c r="C24">
        <f t="shared" si="1"/>
        <v>0.90305000000000002</v>
      </c>
      <c r="D24">
        <f t="shared" si="2"/>
        <v>47850</v>
      </c>
      <c r="E24">
        <f>INDEX($V$2:$V$194, MATCH(B24,$T$2:$T$194,0))</f>
        <v>1.5</v>
      </c>
      <c r="F24">
        <f t="shared" si="3"/>
        <v>0.90410000000000001</v>
      </c>
      <c r="H24" t="s">
        <v>36</v>
      </c>
      <c r="I24">
        <v>0.86299999999999999</v>
      </c>
      <c r="K24" t="s">
        <v>63</v>
      </c>
      <c r="L24">
        <v>0.90305000000000002</v>
      </c>
      <c r="N24" t="s">
        <v>72</v>
      </c>
      <c r="O24">
        <v>0.89610000000000001</v>
      </c>
      <c r="Q24" t="s">
        <v>86</v>
      </c>
      <c r="R24">
        <v>0.96597</v>
      </c>
      <c r="T24" t="s">
        <v>74</v>
      </c>
      <c r="U24" s="5">
        <v>44740</v>
      </c>
      <c r="V24">
        <v>9.3000000000000007</v>
      </c>
      <c r="W24">
        <v>24</v>
      </c>
      <c r="X24">
        <v>0.33668341708542715</v>
      </c>
      <c r="Y24">
        <v>24</v>
      </c>
      <c r="Z24">
        <v>0.33668341708542715</v>
      </c>
      <c r="AC24">
        <v>0.90305000000000002</v>
      </c>
      <c r="AD24" t="s">
        <v>74</v>
      </c>
    </row>
    <row r="25" spans="1:30" x14ac:dyDescent="0.2">
      <c r="A25" t="str">
        <f t="shared" si="0"/>
        <v>South Africa</v>
      </c>
      <c r="B25" t="s">
        <v>107</v>
      </c>
      <c r="C25" t="e">
        <f t="shared" si="1"/>
        <v>#N/A</v>
      </c>
      <c r="D25" t="e">
        <f t="shared" si="2"/>
        <v>#N/A</v>
      </c>
      <c r="E25">
        <f>INDEX($V$2:$V$194, MATCH(B25,$T$2:$T$194,0))</f>
        <v>60</v>
      </c>
      <c r="F25" t="e">
        <f t="shared" si="3"/>
        <v>#N/A</v>
      </c>
      <c r="H25" t="s">
        <v>130</v>
      </c>
      <c r="I25">
        <v>0.86299999999999999</v>
      </c>
      <c r="K25" t="s">
        <v>107</v>
      </c>
      <c r="L25">
        <v>0.88721000000000005</v>
      </c>
      <c r="N25" t="s">
        <v>78</v>
      </c>
      <c r="O25">
        <v>0.88612999999999997</v>
      </c>
      <c r="Q25" t="s">
        <v>54</v>
      </c>
      <c r="R25">
        <v>0.96538999999999997</v>
      </c>
      <c r="T25" t="s">
        <v>76</v>
      </c>
      <c r="U25" s="5">
        <v>26940</v>
      </c>
      <c r="V25">
        <v>19.399999999999999</v>
      </c>
      <c r="W25">
        <v>25</v>
      </c>
      <c r="X25">
        <v>0.34045226130653267</v>
      </c>
      <c r="Y25">
        <v>25</v>
      </c>
      <c r="Z25">
        <v>0.34045226130653267</v>
      </c>
      <c r="AC25">
        <v>0.88721000000000005</v>
      </c>
      <c r="AD25" t="s">
        <v>76</v>
      </c>
    </row>
    <row r="26" spans="1:30" x14ac:dyDescent="0.2">
      <c r="A26" t="str">
        <f t="shared" si="0"/>
        <v>Ecuador</v>
      </c>
      <c r="B26" t="s">
        <v>161</v>
      </c>
      <c r="C26" t="e">
        <f t="shared" si="1"/>
        <v>#N/A</v>
      </c>
      <c r="D26" t="e">
        <f t="shared" si="2"/>
        <v>#N/A</v>
      </c>
      <c r="E26">
        <f>INDEX($V$2:$V$194, MATCH(B26,$T$2:$T$194,0))</f>
        <v>18.100000000000001</v>
      </c>
      <c r="F26" t="e">
        <f t="shared" si="3"/>
        <v>#N/A</v>
      </c>
      <c r="H26" t="s">
        <v>50</v>
      </c>
      <c r="I26">
        <v>0.86299999999999999</v>
      </c>
      <c r="K26" t="s">
        <v>161</v>
      </c>
      <c r="L26">
        <v>0.88507000000000002</v>
      </c>
      <c r="N26" t="s">
        <v>43</v>
      </c>
      <c r="O26">
        <v>0.88424000000000003</v>
      </c>
      <c r="Q26" t="s">
        <v>80</v>
      </c>
      <c r="R26">
        <v>0.96389999999999998</v>
      </c>
      <c r="T26" t="s">
        <v>79</v>
      </c>
      <c r="U26" s="5">
        <v>25660</v>
      </c>
      <c r="V26">
        <v>3.5</v>
      </c>
      <c r="W26">
        <v>26</v>
      </c>
      <c r="X26">
        <v>0.34422110552763818</v>
      </c>
      <c r="Y26">
        <v>26</v>
      </c>
      <c r="Z26">
        <v>0.34422110552763818</v>
      </c>
      <c r="AC26">
        <v>0.88507000000000002</v>
      </c>
      <c r="AD26" t="s">
        <v>79</v>
      </c>
    </row>
    <row r="27" spans="1:30" x14ac:dyDescent="0.2">
      <c r="A27" t="str">
        <f t="shared" si="0"/>
        <v>Lithuania</v>
      </c>
      <c r="B27" t="s">
        <v>68</v>
      </c>
      <c r="C27">
        <f t="shared" si="1"/>
        <v>0.88390000000000002</v>
      </c>
      <c r="D27">
        <f t="shared" si="2"/>
        <v>42510</v>
      </c>
      <c r="E27">
        <f>INDEX($V$2:$V$194, MATCH(B27,$T$2:$T$194,0))</f>
        <v>2.8</v>
      </c>
      <c r="F27">
        <f t="shared" si="3"/>
        <v>0.83560000000000001</v>
      </c>
      <c r="H27" t="s">
        <v>79</v>
      </c>
      <c r="I27">
        <v>0.86299999999999999</v>
      </c>
      <c r="K27" t="s">
        <v>68</v>
      </c>
      <c r="L27">
        <v>0.88390000000000002</v>
      </c>
      <c r="N27" t="s">
        <v>75</v>
      </c>
      <c r="O27">
        <v>0.88046999999999997</v>
      </c>
      <c r="Q27" t="s">
        <v>68</v>
      </c>
      <c r="R27">
        <v>0.96309</v>
      </c>
      <c r="T27" t="s">
        <v>81</v>
      </c>
      <c r="U27" s="5">
        <v>74250</v>
      </c>
      <c r="V27">
        <v>8.6999999999999993</v>
      </c>
      <c r="W27">
        <v>27</v>
      </c>
      <c r="X27">
        <v>0.34798994974874375</v>
      </c>
      <c r="Y27">
        <v>27</v>
      </c>
      <c r="Z27">
        <v>0.34798994974874375</v>
      </c>
      <c r="AC27">
        <v>0.88390000000000002</v>
      </c>
      <c r="AD27" t="s">
        <v>81</v>
      </c>
    </row>
    <row r="28" spans="1:30" x14ac:dyDescent="0.2">
      <c r="A28" t="str">
        <f t="shared" si="0"/>
        <v>Sweden</v>
      </c>
      <c r="B28" t="s">
        <v>52</v>
      </c>
      <c r="C28">
        <f t="shared" si="1"/>
        <v>0.88361000000000001</v>
      </c>
      <c r="D28">
        <f t="shared" si="2"/>
        <v>58780</v>
      </c>
      <c r="E28">
        <f>INDEX($V$2:$V$194, MATCH(B28,$T$2:$T$194,0))</f>
        <v>10.4</v>
      </c>
      <c r="F28">
        <f t="shared" si="3"/>
        <v>0.79449999999999998</v>
      </c>
      <c r="H28" t="s">
        <v>76</v>
      </c>
      <c r="I28">
        <v>0.84930000000000005</v>
      </c>
      <c r="K28" t="s">
        <v>52</v>
      </c>
      <c r="L28">
        <v>0.88361000000000001</v>
      </c>
      <c r="N28" t="s">
        <v>82</v>
      </c>
      <c r="O28">
        <v>0.87487999999999999</v>
      </c>
      <c r="Q28" t="s">
        <v>64</v>
      </c>
      <c r="R28">
        <v>0.96052000000000004</v>
      </c>
      <c r="T28" t="s">
        <v>50</v>
      </c>
      <c r="U28" s="5">
        <v>32730</v>
      </c>
      <c r="V28">
        <v>85.3</v>
      </c>
      <c r="W28">
        <v>28</v>
      </c>
      <c r="X28">
        <v>0.35175879396984921</v>
      </c>
      <c r="Y28">
        <v>28</v>
      </c>
      <c r="Z28">
        <v>0.35175879396984921</v>
      </c>
      <c r="AC28">
        <v>0.88361000000000001</v>
      </c>
    </row>
    <row r="29" spans="1:30" x14ac:dyDescent="0.2">
      <c r="A29" t="str">
        <f t="shared" si="0"/>
        <v>Uruguay</v>
      </c>
      <c r="B29" t="s">
        <v>79</v>
      </c>
      <c r="C29">
        <f t="shared" si="1"/>
        <v>0.88321000000000005</v>
      </c>
      <c r="D29">
        <f t="shared" si="2"/>
        <v>25660</v>
      </c>
      <c r="E29">
        <f>INDEX($V$2:$V$194, MATCH(B29,$T$2:$T$194,0))</f>
        <v>3.5</v>
      </c>
      <c r="F29">
        <f t="shared" si="3"/>
        <v>0.86299999999999999</v>
      </c>
      <c r="H29" t="s">
        <v>124</v>
      </c>
      <c r="I29">
        <v>0.84930000000000005</v>
      </c>
      <c r="K29" t="s">
        <v>79</v>
      </c>
      <c r="L29">
        <v>0.88321000000000005</v>
      </c>
      <c r="N29" t="s">
        <v>62</v>
      </c>
      <c r="O29">
        <v>0.87390000000000001</v>
      </c>
      <c r="Q29" t="s">
        <v>101</v>
      </c>
      <c r="R29">
        <v>0.96033999999999997</v>
      </c>
      <c r="T29" t="s">
        <v>83</v>
      </c>
      <c r="U29" s="5">
        <v>54910</v>
      </c>
      <c r="V29">
        <v>0.5</v>
      </c>
      <c r="W29">
        <v>29</v>
      </c>
      <c r="X29">
        <v>0.35552763819095479</v>
      </c>
      <c r="Y29">
        <v>29</v>
      </c>
      <c r="Z29">
        <v>0.35552763819095479</v>
      </c>
      <c r="AC29">
        <v>0.88321000000000005</v>
      </c>
    </row>
    <row r="30" spans="1:30" x14ac:dyDescent="0.2">
      <c r="A30" t="str">
        <f t="shared" si="0"/>
        <v>Ireland</v>
      </c>
      <c r="B30" t="s">
        <v>66</v>
      </c>
      <c r="C30">
        <f t="shared" si="1"/>
        <v>0.87678</v>
      </c>
      <c r="D30">
        <f t="shared" si="2"/>
        <v>99240</v>
      </c>
      <c r="E30">
        <f>INDEX($V$2:$V$194, MATCH(B30,$T$2:$T$194,0))</f>
        <v>5</v>
      </c>
      <c r="F30">
        <f t="shared" si="3"/>
        <v>0.91779999999999995</v>
      </c>
      <c r="H30" t="s">
        <v>68</v>
      </c>
      <c r="I30">
        <v>0.83560000000000001</v>
      </c>
      <c r="K30" t="s">
        <v>66</v>
      </c>
      <c r="L30">
        <v>0.87678</v>
      </c>
      <c r="N30" t="s">
        <v>58</v>
      </c>
      <c r="O30">
        <v>0.87248999999999999</v>
      </c>
      <c r="Q30" t="s">
        <v>60</v>
      </c>
      <c r="R30">
        <v>0.96031</v>
      </c>
      <c r="T30" t="s">
        <v>86</v>
      </c>
      <c r="U30" s="5">
        <v>35230</v>
      </c>
      <c r="V30">
        <v>1.8</v>
      </c>
      <c r="W30">
        <v>30</v>
      </c>
      <c r="X30">
        <v>0.3592964824120603</v>
      </c>
      <c r="Y30">
        <v>30</v>
      </c>
      <c r="Z30">
        <v>0.3592964824120603</v>
      </c>
      <c r="AC30">
        <v>0.87678</v>
      </c>
    </row>
    <row r="31" spans="1:30" x14ac:dyDescent="0.2">
      <c r="A31" t="str">
        <f t="shared" si="0"/>
        <v/>
      </c>
      <c r="B31" t="s">
        <v>83</v>
      </c>
      <c r="C31" t="e">
        <f t="shared" si="1"/>
        <v>#N/A</v>
      </c>
      <c r="D31" t="e">
        <f t="shared" si="2"/>
        <v>#N/A</v>
      </c>
      <c r="E31">
        <f>INDEX($V$2:$V$194, MATCH(B31,$T$2:$T$194,0))</f>
        <v>0.5</v>
      </c>
      <c r="F31" t="e">
        <f t="shared" si="3"/>
        <v>#N/A</v>
      </c>
      <c r="H31" t="s">
        <v>89</v>
      </c>
      <c r="I31">
        <v>0.83560000000000001</v>
      </c>
      <c r="K31" t="s">
        <v>83</v>
      </c>
      <c r="L31">
        <v>0.87492000000000003</v>
      </c>
      <c r="N31" t="s">
        <v>88</v>
      </c>
      <c r="O31">
        <v>0.87029999999999996</v>
      </c>
      <c r="Q31" t="s">
        <v>66</v>
      </c>
      <c r="R31">
        <v>0.95987</v>
      </c>
      <c r="T31" t="s">
        <v>13</v>
      </c>
      <c r="U31" s="5">
        <v>14480</v>
      </c>
      <c r="V31">
        <v>41.2</v>
      </c>
      <c r="W31">
        <v>31</v>
      </c>
      <c r="X31">
        <v>0.36306532663316582</v>
      </c>
      <c r="Y31">
        <v>31</v>
      </c>
      <c r="Z31">
        <v>0.36306532663316582</v>
      </c>
      <c r="AC31">
        <v>0.87492000000000003</v>
      </c>
    </row>
    <row r="32" spans="1:30" x14ac:dyDescent="0.2">
      <c r="A32" t="str">
        <f t="shared" si="0"/>
        <v>Croatia</v>
      </c>
      <c r="B32" t="s">
        <v>91</v>
      </c>
      <c r="C32" t="e">
        <f t="shared" si="1"/>
        <v>#N/A</v>
      </c>
      <c r="D32" t="e">
        <f t="shared" si="2"/>
        <v>#N/A</v>
      </c>
      <c r="E32">
        <f>INDEX($V$2:$V$194, MATCH(B32,$T$2:$T$194,0))</f>
        <v>3.9</v>
      </c>
      <c r="F32" t="e">
        <f t="shared" si="3"/>
        <v>#N/A</v>
      </c>
      <c r="H32" t="s">
        <v>107</v>
      </c>
      <c r="I32">
        <v>0.83560000000000001</v>
      </c>
      <c r="K32" t="s">
        <v>91</v>
      </c>
      <c r="L32">
        <v>0.87346999999999997</v>
      </c>
      <c r="N32" t="s">
        <v>90</v>
      </c>
      <c r="O32">
        <v>0.86980000000000002</v>
      </c>
      <c r="Q32" t="s">
        <v>81</v>
      </c>
      <c r="R32">
        <v>0.95757000000000003</v>
      </c>
      <c r="T32" t="s">
        <v>89</v>
      </c>
      <c r="U32" s="5">
        <v>25670</v>
      </c>
      <c r="V32">
        <v>19.5</v>
      </c>
      <c r="W32">
        <v>32</v>
      </c>
      <c r="X32">
        <v>0.36683417085427139</v>
      </c>
      <c r="Y32">
        <v>32</v>
      </c>
      <c r="Z32">
        <v>0.36683417085427139</v>
      </c>
      <c r="AC32">
        <v>0.87346999999999997</v>
      </c>
    </row>
    <row r="33" spans="1:29" x14ac:dyDescent="0.2">
      <c r="A33" t="str">
        <f t="shared" si="0"/>
        <v>Slovenia</v>
      </c>
      <c r="B33" t="s">
        <v>94</v>
      </c>
      <c r="C33" t="e">
        <f t="shared" si="1"/>
        <v>#N/A</v>
      </c>
      <c r="D33" t="e">
        <f t="shared" si="2"/>
        <v>#N/A</v>
      </c>
      <c r="E33">
        <f>INDEX($V$2:$V$194, MATCH(B33,$T$2:$T$194,0))</f>
        <v>2.1</v>
      </c>
      <c r="F33" t="e">
        <f t="shared" si="3"/>
        <v>#N/A</v>
      </c>
      <c r="H33" t="s">
        <v>81</v>
      </c>
      <c r="I33">
        <v>0.82189999999999996</v>
      </c>
      <c r="K33" t="s">
        <v>94</v>
      </c>
      <c r="L33">
        <v>0.86395999999999995</v>
      </c>
      <c r="N33" t="s">
        <v>42</v>
      </c>
      <c r="O33">
        <v>0.86804000000000003</v>
      </c>
      <c r="Q33" t="s">
        <v>93</v>
      </c>
      <c r="R33">
        <v>0.95118000000000003</v>
      </c>
      <c r="T33" t="s">
        <v>91</v>
      </c>
      <c r="U33" s="5">
        <v>34740</v>
      </c>
      <c r="V33">
        <v>3.9</v>
      </c>
      <c r="W33">
        <v>33</v>
      </c>
      <c r="X33">
        <v>0.37060301507537685</v>
      </c>
      <c r="Y33">
        <v>33</v>
      </c>
      <c r="Z33">
        <v>0.37060301507537685</v>
      </c>
      <c r="AC33">
        <v>0.86395999999999995</v>
      </c>
    </row>
    <row r="34" spans="1:29" x14ac:dyDescent="0.2">
      <c r="A34" t="str">
        <f t="shared" si="0"/>
        <v>Chile</v>
      </c>
      <c r="B34" t="s">
        <v>89</v>
      </c>
      <c r="C34" t="e">
        <f t="shared" si="1"/>
        <v>#N/A</v>
      </c>
      <c r="D34" t="e">
        <f t="shared" si="2"/>
        <v>#N/A</v>
      </c>
      <c r="E34">
        <f>INDEX($V$2:$V$194, MATCH(B34,$T$2:$T$194,0))</f>
        <v>19.5</v>
      </c>
      <c r="F34" t="e">
        <f t="shared" si="3"/>
        <v>#N/A</v>
      </c>
      <c r="H34" t="s">
        <v>60</v>
      </c>
      <c r="I34">
        <v>0.80820000000000003</v>
      </c>
      <c r="K34" t="s">
        <v>89</v>
      </c>
      <c r="L34">
        <v>0.86119000000000001</v>
      </c>
      <c r="N34" t="s">
        <v>95</v>
      </c>
      <c r="O34">
        <v>0.86538999999999999</v>
      </c>
      <c r="Q34" s="6" t="s">
        <v>36</v>
      </c>
      <c r="R34" s="6">
        <v>0.95091999999999999</v>
      </c>
      <c r="T34" t="s">
        <v>94</v>
      </c>
      <c r="U34" s="5">
        <v>43770</v>
      </c>
      <c r="V34">
        <v>2.1</v>
      </c>
      <c r="W34">
        <v>34</v>
      </c>
      <c r="X34">
        <v>0.37437185929648242</v>
      </c>
      <c r="Y34">
        <v>34</v>
      </c>
      <c r="Z34">
        <v>0.37437185929648242</v>
      </c>
      <c r="AC34">
        <v>0.86119000000000001</v>
      </c>
    </row>
    <row r="35" spans="1:29" x14ac:dyDescent="0.2">
      <c r="A35" t="str">
        <f t="shared" si="0"/>
        <v>Canada</v>
      </c>
      <c r="B35" t="s">
        <v>122</v>
      </c>
      <c r="C35" t="e">
        <f t="shared" si="1"/>
        <v>#N/A</v>
      </c>
      <c r="D35" t="e">
        <f t="shared" si="2"/>
        <v>#N/A</v>
      </c>
      <c r="E35">
        <f>INDEX($V$2:$V$194, MATCH(B35,$T$2:$T$194,0))</f>
        <v>38.200000000000003</v>
      </c>
      <c r="F35" t="e">
        <f t="shared" si="3"/>
        <v>#N/A</v>
      </c>
      <c r="H35" t="s">
        <v>96</v>
      </c>
      <c r="I35">
        <v>0.80820000000000003</v>
      </c>
      <c r="K35" t="s">
        <v>122</v>
      </c>
      <c r="L35">
        <v>0.85516000000000003</v>
      </c>
      <c r="N35" t="s">
        <v>96</v>
      </c>
      <c r="O35">
        <v>0.85645000000000004</v>
      </c>
      <c r="Q35" t="s">
        <v>49</v>
      </c>
      <c r="R35">
        <v>0.95091000000000003</v>
      </c>
      <c r="T35" t="s">
        <v>96</v>
      </c>
      <c r="U35" s="5">
        <v>50660</v>
      </c>
      <c r="V35">
        <v>67.8</v>
      </c>
      <c r="W35">
        <v>35</v>
      </c>
      <c r="X35">
        <v>0.37814070351758794</v>
      </c>
      <c r="Y35">
        <v>35</v>
      </c>
      <c r="Z35">
        <v>0.37814070351758794</v>
      </c>
      <c r="AC35">
        <v>0.85516000000000003</v>
      </c>
    </row>
    <row r="36" spans="1:29" x14ac:dyDescent="0.2">
      <c r="A36" t="str">
        <f t="shared" si="0"/>
        <v>Israel</v>
      </c>
      <c r="B36" t="s">
        <v>74</v>
      </c>
      <c r="C36">
        <f t="shared" si="1"/>
        <v>0.85411999999999999</v>
      </c>
      <c r="D36">
        <f t="shared" si="2"/>
        <v>44740</v>
      </c>
      <c r="E36">
        <f>INDEX($V$2:$V$194, MATCH(B36,$T$2:$T$194,0))</f>
        <v>9.3000000000000007</v>
      </c>
      <c r="F36">
        <f t="shared" si="3"/>
        <v>0.6986</v>
      </c>
      <c r="H36" t="s">
        <v>156</v>
      </c>
      <c r="I36">
        <v>0.79449999999999998</v>
      </c>
      <c r="K36" t="s">
        <v>74</v>
      </c>
      <c r="L36">
        <v>0.85411999999999999</v>
      </c>
      <c r="N36" t="s">
        <v>84</v>
      </c>
      <c r="O36">
        <v>0.85609999999999997</v>
      </c>
      <c r="Q36" t="s">
        <v>233</v>
      </c>
      <c r="R36">
        <v>0.94911999999999996</v>
      </c>
      <c r="T36" t="s">
        <v>97</v>
      </c>
      <c r="U36" s="5">
        <v>18140</v>
      </c>
      <c r="V36" s="7">
        <v>1412.2</v>
      </c>
      <c r="W36">
        <v>36</v>
      </c>
      <c r="X36">
        <v>0.38190954773869346</v>
      </c>
      <c r="Y36">
        <v>36</v>
      </c>
      <c r="Z36">
        <v>0.38190954773869346</v>
      </c>
      <c r="AC36">
        <v>0.85411999999999999</v>
      </c>
    </row>
    <row r="37" spans="1:29" x14ac:dyDescent="0.2">
      <c r="A37" t="str">
        <f t="shared" si="0"/>
        <v>Serbia</v>
      </c>
      <c r="B37" t="s">
        <v>67</v>
      </c>
      <c r="C37" t="e">
        <f t="shared" si="1"/>
        <v>#N/A</v>
      </c>
      <c r="D37" t="e">
        <f t="shared" si="2"/>
        <v>#N/A</v>
      </c>
      <c r="E37">
        <f>INDEX($V$2:$V$194, MATCH(B37,$T$2:$T$194,0))</f>
        <v>6.7</v>
      </c>
      <c r="F37" t="e">
        <f t="shared" si="3"/>
        <v>#N/A</v>
      </c>
      <c r="H37" t="s">
        <v>52</v>
      </c>
      <c r="I37">
        <v>0.79449999999999998</v>
      </c>
      <c r="K37" t="s">
        <v>67</v>
      </c>
      <c r="L37">
        <v>0.85397000000000001</v>
      </c>
      <c r="N37" t="s">
        <v>61</v>
      </c>
      <c r="O37">
        <v>0.85375999999999996</v>
      </c>
      <c r="Q37" t="s">
        <v>89</v>
      </c>
      <c r="R37">
        <v>0.94552999999999998</v>
      </c>
      <c r="T37" t="s">
        <v>100</v>
      </c>
      <c r="U37" s="5">
        <v>32160</v>
      </c>
      <c r="V37">
        <v>10.4</v>
      </c>
      <c r="W37">
        <v>37</v>
      </c>
      <c r="X37">
        <v>0.38567839195979903</v>
      </c>
      <c r="Y37">
        <v>37</v>
      </c>
      <c r="Z37">
        <v>0.38567839195979903</v>
      </c>
      <c r="AC37">
        <v>0.85397000000000001</v>
      </c>
    </row>
    <row r="38" spans="1:29" x14ac:dyDescent="0.2">
      <c r="A38" t="str">
        <f t="shared" si="0"/>
        <v>France</v>
      </c>
      <c r="B38" t="s">
        <v>96</v>
      </c>
      <c r="C38" t="e">
        <f t="shared" si="1"/>
        <v>#N/A</v>
      </c>
      <c r="D38" t="e">
        <f t="shared" si="2"/>
        <v>#N/A</v>
      </c>
      <c r="E38">
        <f>INDEX($V$2:$V$194, MATCH(B38,$T$2:$T$194,0))</f>
        <v>67.8</v>
      </c>
      <c r="F38" t="e">
        <f t="shared" si="3"/>
        <v>#N/A</v>
      </c>
      <c r="H38" t="s">
        <v>86</v>
      </c>
      <c r="I38">
        <v>0.78080000000000005</v>
      </c>
      <c r="K38" t="s">
        <v>96</v>
      </c>
      <c r="L38">
        <v>0.84399999999999997</v>
      </c>
      <c r="N38" t="s">
        <v>92</v>
      </c>
      <c r="O38">
        <v>0.85297999999999996</v>
      </c>
      <c r="Q38" t="s">
        <v>79</v>
      </c>
      <c r="R38">
        <v>0.94374000000000002</v>
      </c>
      <c r="T38" t="s">
        <v>101</v>
      </c>
      <c r="U38" s="5">
        <v>37710</v>
      </c>
      <c r="V38">
        <v>37.799999999999997</v>
      </c>
      <c r="W38">
        <v>38</v>
      </c>
      <c r="X38">
        <v>0.38944723618090449</v>
      </c>
      <c r="Y38">
        <v>38</v>
      </c>
      <c r="Z38">
        <v>0.38944723618090449</v>
      </c>
      <c r="AC38">
        <v>0.84399999999999997</v>
      </c>
    </row>
    <row r="39" spans="1:29" x14ac:dyDescent="0.2">
      <c r="A39" t="str">
        <f t="shared" si="0"/>
        <v>Switzerland</v>
      </c>
      <c r="B39" t="s">
        <v>81</v>
      </c>
      <c r="C39">
        <f t="shared" si="1"/>
        <v>0.84079999999999999</v>
      </c>
      <c r="D39">
        <f t="shared" si="2"/>
        <v>74250</v>
      </c>
      <c r="E39">
        <f>INDEX($V$2:$V$194, MATCH(B39,$T$2:$T$194,0))</f>
        <v>8.6999999999999993</v>
      </c>
      <c r="F39">
        <f t="shared" si="3"/>
        <v>0.82189999999999996</v>
      </c>
      <c r="H39" t="s">
        <v>119</v>
      </c>
      <c r="I39">
        <v>0.78080000000000005</v>
      </c>
      <c r="K39" t="s">
        <v>81</v>
      </c>
      <c r="L39">
        <v>0.84079999999999999</v>
      </c>
      <c r="N39" t="s">
        <v>104</v>
      </c>
      <c r="O39">
        <v>0.85082000000000002</v>
      </c>
      <c r="Q39" t="s">
        <v>135</v>
      </c>
      <c r="R39">
        <v>0.94101000000000001</v>
      </c>
      <c r="T39" t="s">
        <v>102</v>
      </c>
      <c r="U39" s="5">
        <v>42230</v>
      </c>
      <c r="V39">
        <v>1.2</v>
      </c>
      <c r="W39">
        <v>39</v>
      </c>
      <c r="X39">
        <v>0.39321608040201006</v>
      </c>
      <c r="Y39">
        <v>39</v>
      </c>
      <c r="Z39">
        <v>0.39321608040201006</v>
      </c>
      <c r="AC39">
        <v>0.84079999999999999</v>
      </c>
    </row>
    <row r="40" spans="1:29" x14ac:dyDescent="0.2">
      <c r="A40" t="str">
        <f t="shared" si="0"/>
        <v>Austria</v>
      </c>
      <c r="B40" t="s">
        <v>56</v>
      </c>
      <c r="C40">
        <f t="shared" si="1"/>
        <v>0.83828999999999998</v>
      </c>
      <c r="D40">
        <f t="shared" si="2"/>
        <v>60840</v>
      </c>
      <c r="E40">
        <f>INDEX($V$2:$V$194, MATCH(B40,$T$2:$T$194,0))</f>
        <v>9</v>
      </c>
      <c r="F40">
        <f t="shared" si="3"/>
        <v>0.78080000000000005</v>
      </c>
      <c r="H40" t="s">
        <v>56</v>
      </c>
      <c r="I40">
        <v>0.78080000000000005</v>
      </c>
      <c r="K40" t="s">
        <v>56</v>
      </c>
      <c r="L40">
        <v>0.83828999999999998</v>
      </c>
      <c r="N40" t="s">
        <v>106</v>
      </c>
      <c r="O40">
        <v>0.84416000000000002</v>
      </c>
      <c r="Q40" t="s">
        <v>119</v>
      </c>
      <c r="R40">
        <v>0.93740999999999997</v>
      </c>
      <c r="T40" t="s">
        <v>67</v>
      </c>
      <c r="U40" s="5">
        <v>23170</v>
      </c>
      <c r="V40">
        <v>6.7</v>
      </c>
      <c r="W40">
        <v>40</v>
      </c>
      <c r="X40">
        <v>0.39698492462311558</v>
      </c>
      <c r="Y40">
        <v>40</v>
      </c>
      <c r="Z40">
        <v>0.39698492462311558</v>
      </c>
      <c r="AC40">
        <v>0.83828999999999998</v>
      </c>
    </row>
    <row r="41" spans="1:29" x14ac:dyDescent="0.2">
      <c r="A41" t="str">
        <f t="shared" si="0"/>
        <v/>
      </c>
      <c r="B41" t="s">
        <v>144</v>
      </c>
      <c r="C41" t="str">
        <f>IF(ISNUMBER(MATCH(B41,$AD$2:$AD$27,0)),AC41,"")</f>
        <v/>
      </c>
      <c r="D41" t="str">
        <f>IF(ISNUMBER(C41),INDEX($U$2:$U$194, MATCH(B41,$T$2:$T$194,0)),"")</f>
        <v/>
      </c>
      <c r="H41" t="s">
        <v>94</v>
      </c>
      <c r="I41">
        <v>0.78080000000000005</v>
      </c>
      <c r="K41" t="s">
        <v>144</v>
      </c>
      <c r="L41">
        <v>0.8377</v>
      </c>
      <c r="N41" t="s">
        <v>109</v>
      </c>
      <c r="O41">
        <v>0.84262000000000004</v>
      </c>
      <c r="Q41" t="s">
        <v>46</v>
      </c>
      <c r="R41">
        <v>0.92359000000000002</v>
      </c>
      <c r="T41" t="s">
        <v>107</v>
      </c>
      <c r="U41" s="5">
        <v>13360</v>
      </c>
      <c r="V41">
        <v>60</v>
      </c>
      <c r="W41">
        <v>41</v>
      </c>
      <c r="X41">
        <v>0.40075376884422109</v>
      </c>
      <c r="Y41">
        <v>41</v>
      </c>
      <c r="Z41">
        <v>0.40075376884422109</v>
      </c>
      <c r="AC41">
        <v>0.8377</v>
      </c>
    </row>
    <row r="42" spans="1:29" x14ac:dyDescent="0.2">
      <c r="A42" t="str">
        <f t="shared" si="0"/>
        <v/>
      </c>
      <c r="B42" t="s">
        <v>119</v>
      </c>
      <c r="C42" t="str">
        <f>IF(ISNUMBER(MATCH(B42,$AD$2:$AD$27,0)),AC42,"")</f>
        <v/>
      </c>
      <c r="D42" t="str">
        <f>IF(ISNUMBER(C42),INDEX($U$2:$U$194, MATCH(B42,$T$2:$T$194,0)),"")</f>
        <v/>
      </c>
      <c r="H42" t="s">
        <v>16</v>
      </c>
      <c r="I42">
        <v>0.78080000000000005</v>
      </c>
      <c r="K42" t="s">
        <v>119</v>
      </c>
      <c r="L42">
        <v>0.82218999999999998</v>
      </c>
      <c r="N42" t="s">
        <v>87</v>
      </c>
      <c r="O42">
        <v>0.84128999999999998</v>
      </c>
      <c r="Q42" t="s">
        <v>76</v>
      </c>
      <c r="R42">
        <v>0.92352999999999996</v>
      </c>
      <c r="T42" t="s">
        <v>110</v>
      </c>
      <c r="U42" s="5">
        <v>39840</v>
      </c>
      <c r="V42">
        <v>4.5</v>
      </c>
      <c r="W42">
        <v>42</v>
      </c>
      <c r="X42">
        <v>0.40452261306532666</v>
      </c>
      <c r="Y42">
        <v>42</v>
      </c>
      <c r="Z42">
        <v>0.40452261306532666</v>
      </c>
      <c r="AC42">
        <v>0.82218999999999998</v>
      </c>
    </row>
    <row r="43" spans="1:29" x14ac:dyDescent="0.2">
      <c r="A43" t="str">
        <f t="shared" si="0"/>
        <v/>
      </c>
      <c r="B43" t="s">
        <v>102</v>
      </c>
      <c r="C43" t="str">
        <f>IF(ISNUMBER(MATCH(B43,$AD$2:$AD$27,0)),AC43,"")</f>
        <v/>
      </c>
      <c r="D43" t="str">
        <f>IF(ISNUMBER(C43),INDEX($U$2:$U$194, MATCH(B43,$T$2:$T$194,0)),"")</f>
        <v/>
      </c>
      <c r="H43" t="s">
        <v>144</v>
      </c>
      <c r="I43">
        <v>0.75339999999999996</v>
      </c>
      <c r="K43" t="s">
        <v>102</v>
      </c>
      <c r="L43">
        <v>0.82164999999999999</v>
      </c>
      <c r="N43" t="s">
        <v>40</v>
      </c>
      <c r="O43">
        <v>0.84028999999999998</v>
      </c>
      <c r="Q43" t="s">
        <v>206</v>
      </c>
      <c r="R43">
        <v>0.92306999999999995</v>
      </c>
      <c r="T43" t="s">
        <v>111</v>
      </c>
      <c r="U43" s="5">
        <v>22270</v>
      </c>
      <c r="V43">
        <v>45.8</v>
      </c>
      <c r="W43">
        <v>43</v>
      </c>
      <c r="X43">
        <v>0.40829145728643212</v>
      </c>
      <c r="Y43">
        <v>43</v>
      </c>
      <c r="Z43">
        <v>0.40829145728643212</v>
      </c>
      <c r="AC43">
        <v>0.82164999999999999</v>
      </c>
    </row>
    <row r="44" spans="1:29" x14ac:dyDescent="0.2">
      <c r="A44" t="str">
        <f t="shared" si="0"/>
        <v/>
      </c>
      <c r="B44" t="s">
        <v>264</v>
      </c>
      <c r="C44" t="str">
        <f>IF(ISNUMBER(MATCH(B44,$AD$2:$AD$27,0)),AC44,"")</f>
        <v/>
      </c>
      <c r="D44" t="str">
        <f>IF(ISNUMBER(C44),INDEX($U$2:$U$194, MATCH(B44,$T$2:$T$194,0)),"")</f>
        <v/>
      </c>
      <c r="H44" t="s">
        <v>101</v>
      </c>
      <c r="I44">
        <v>0.75339999999999996</v>
      </c>
      <c r="K44" t="s">
        <v>264</v>
      </c>
      <c r="L44">
        <v>0.82064999999999999</v>
      </c>
      <c r="N44" t="s">
        <v>114</v>
      </c>
      <c r="O44">
        <v>0.83887999999999996</v>
      </c>
      <c r="Q44" t="s">
        <v>115</v>
      </c>
      <c r="R44">
        <v>0.92291000000000001</v>
      </c>
      <c r="T44" t="s">
        <v>93</v>
      </c>
      <c r="U44" s="5">
        <v>28710</v>
      </c>
      <c r="V44">
        <v>143.6</v>
      </c>
      <c r="W44">
        <v>44</v>
      </c>
      <c r="X44">
        <v>0.4120603015075377</v>
      </c>
      <c r="Y44">
        <v>44</v>
      </c>
      <c r="Z44">
        <v>0.4120603015075377</v>
      </c>
      <c r="AC44">
        <v>0.82064999999999999</v>
      </c>
    </row>
    <row r="45" spans="1:29" x14ac:dyDescent="0.2">
      <c r="A45" t="str">
        <f t="shared" si="0"/>
        <v/>
      </c>
      <c r="B45" t="s">
        <v>222</v>
      </c>
      <c r="C45" t="str">
        <f>IF(ISNUMBER(MATCH(B45,$AD$2:$AD$27,0)),AC45,"")</f>
        <v/>
      </c>
      <c r="D45" t="str">
        <f>IF(ISNUMBER(C45),INDEX($U$2:$U$194, MATCH(B45,$T$2:$T$194,0)),"")</f>
        <v/>
      </c>
      <c r="H45" t="s">
        <v>135</v>
      </c>
      <c r="I45">
        <v>0.75339999999999996</v>
      </c>
      <c r="K45" t="s">
        <v>222</v>
      </c>
      <c r="L45">
        <v>0.81842000000000004</v>
      </c>
      <c r="N45" t="s">
        <v>117</v>
      </c>
      <c r="O45">
        <v>0.83194000000000001</v>
      </c>
      <c r="Q45" t="s">
        <v>96</v>
      </c>
      <c r="R45">
        <v>0.92281000000000002</v>
      </c>
      <c r="T45" t="s">
        <v>35</v>
      </c>
      <c r="U45" s="8" t="s">
        <v>118</v>
      </c>
      <c r="V45">
        <v>0.04</v>
      </c>
      <c r="W45">
        <v>45</v>
      </c>
      <c r="X45">
        <v>0.41582914572864321</v>
      </c>
      <c r="Y45">
        <v>45</v>
      </c>
      <c r="Z45">
        <v>0.41582914572864321</v>
      </c>
      <c r="AC45">
        <v>0.81842000000000004</v>
      </c>
    </row>
    <row r="46" spans="1:29" x14ac:dyDescent="0.2">
      <c r="A46" t="str">
        <f t="shared" si="0"/>
        <v/>
      </c>
      <c r="B46" t="s">
        <v>100</v>
      </c>
      <c r="C46" t="str">
        <f>IF(ISNUMBER(MATCH(B46,$AD$2:$AD$27,0)),AC46,"")</f>
        <v/>
      </c>
      <c r="D46" t="str">
        <f>IF(ISNUMBER(C46),INDEX($U$2:$U$194, MATCH(B46,$T$2:$T$194,0)),"")</f>
        <v/>
      </c>
      <c r="H46" t="s">
        <v>264</v>
      </c>
      <c r="I46">
        <v>0.75339999999999996</v>
      </c>
      <c r="K46" t="s">
        <v>100</v>
      </c>
      <c r="L46">
        <v>0.81452999999999998</v>
      </c>
      <c r="N46" t="s">
        <v>85</v>
      </c>
      <c r="O46">
        <v>0.83038999999999996</v>
      </c>
      <c r="Q46" t="s">
        <v>67</v>
      </c>
      <c r="R46">
        <v>0.92205999999999999</v>
      </c>
      <c r="T46" t="s">
        <v>37</v>
      </c>
      <c r="U46" s="5">
        <v>82230</v>
      </c>
      <c r="V46">
        <v>0.6</v>
      </c>
      <c r="W46">
        <v>46</v>
      </c>
      <c r="X46">
        <v>0.41959798994974873</v>
      </c>
      <c r="Y46">
        <v>46</v>
      </c>
      <c r="Z46">
        <v>0.41959798994974873</v>
      </c>
      <c r="AC46">
        <v>0.81452999999999998</v>
      </c>
    </row>
    <row r="47" spans="1:29" x14ac:dyDescent="0.2">
      <c r="A47" t="str">
        <f t="shared" si="0"/>
        <v/>
      </c>
      <c r="B47" t="s">
        <v>151</v>
      </c>
      <c r="C47" t="str">
        <f>IF(ISNUMBER(MATCH(B47,$AD$2:$AD$27,0)),AC47,"")</f>
        <v/>
      </c>
      <c r="D47" t="str">
        <f>IF(ISNUMBER(C47),INDEX($U$2:$U$194, MATCH(B47,$T$2:$T$194,0)),"")</f>
        <v/>
      </c>
      <c r="H47" t="s">
        <v>83</v>
      </c>
      <c r="I47">
        <v>0.73970000000000002</v>
      </c>
      <c r="K47" t="s">
        <v>151</v>
      </c>
      <c r="L47">
        <v>0.81440999999999997</v>
      </c>
      <c r="N47" t="s">
        <v>35</v>
      </c>
      <c r="O47">
        <v>0.82630999999999999</v>
      </c>
      <c r="Q47" t="s">
        <v>121</v>
      </c>
      <c r="R47">
        <v>0.92042999999999997</v>
      </c>
      <c r="T47" t="s">
        <v>119</v>
      </c>
      <c r="U47" s="5">
        <v>13350</v>
      </c>
      <c r="V47">
        <v>3.4</v>
      </c>
      <c r="W47">
        <v>47</v>
      </c>
      <c r="X47">
        <v>0.4233668341708543</v>
      </c>
      <c r="Y47">
        <v>47</v>
      </c>
      <c r="Z47">
        <v>0.4233668341708543</v>
      </c>
      <c r="AC47">
        <v>0.81440999999999997</v>
      </c>
    </row>
    <row r="48" spans="1:29" x14ac:dyDescent="0.2">
      <c r="A48" t="str">
        <f t="shared" si="0"/>
        <v/>
      </c>
      <c r="B48" t="s">
        <v>86</v>
      </c>
      <c r="C48" t="str">
        <f>IF(ISNUMBER(MATCH(B48,$AD$2:$AD$27,0)),AC48,"")</f>
        <v/>
      </c>
      <c r="D48" t="str">
        <f>IF(ISNUMBER(C48),INDEX($U$2:$U$194, MATCH(B48,$T$2:$T$194,0)),"")</f>
        <v/>
      </c>
      <c r="H48" t="s">
        <v>158</v>
      </c>
      <c r="I48">
        <v>0.73970000000000002</v>
      </c>
      <c r="K48" t="s">
        <v>86</v>
      </c>
      <c r="L48">
        <v>0.80915000000000004</v>
      </c>
      <c r="N48" t="s">
        <v>13</v>
      </c>
      <c r="O48">
        <v>0.82401999999999997</v>
      </c>
      <c r="Q48" t="s">
        <v>91</v>
      </c>
      <c r="R48">
        <v>0.91798999999999997</v>
      </c>
      <c r="T48" t="s">
        <v>122</v>
      </c>
      <c r="U48" s="5">
        <v>55970</v>
      </c>
      <c r="V48">
        <v>38.200000000000003</v>
      </c>
      <c r="W48">
        <v>48</v>
      </c>
      <c r="X48">
        <v>0.42713567839195976</v>
      </c>
      <c r="Y48">
        <v>48</v>
      </c>
      <c r="Z48">
        <v>0.42713567839195976</v>
      </c>
      <c r="AC48">
        <v>0.80915000000000004</v>
      </c>
    </row>
    <row r="49" spans="1:29" x14ac:dyDescent="0.2">
      <c r="A49" t="str">
        <f t="shared" si="0"/>
        <v/>
      </c>
      <c r="B49" t="s">
        <v>110</v>
      </c>
      <c r="C49" t="str">
        <f>IF(ISNUMBER(MATCH(B49,$AD$2:$AD$27,0)),AC49,"")</f>
        <v/>
      </c>
      <c r="D49" t="str">
        <f>IF(ISNUMBER(C49),INDEX($U$2:$U$194, MATCH(B49,$T$2:$T$194,0)),"")</f>
        <v/>
      </c>
      <c r="H49" t="s">
        <v>165</v>
      </c>
      <c r="I49">
        <v>0.73970000000000002</v>
      </c>
      <c r="K49" t="s">
        <v>110</v>
      </c>
      <c r="L49">
        <v>0.80774000000000001</v>
      </c>
      <c r="N49" t="s">
        <v>65</v>
      </c>
      <c r="O49">
        <v>0.81620000000000004</v>
      </c>
      <c r="Q49" t="s">
        <v>193</v>
      </c>
      <c r="R49">
        <v>0.91710999999999998</v>
      </c>
      <c r="T49" t="s">
        <v>124</v>
      </c>
      <c r="U49" s="5">
        <v>16950</v>
      </c>
      <c r="V49">
        <v>2.8</v>
      </c>
      <c r="W49">
        <v>49</v>
      </c>
      <c r="X49">
        <v>0.43090452261306533</v>
      </c>
      <c r="Y49">
        <v>49</v>
      </c>
      <c r="Z49">
        <v>0.43090452261306533</v>
      </c>
      <c r="AC49">
        <v>0.80774000000000001</v>
      </c>
    </row>
    <row r="50" spans="1:29" x14ac:dyDescent="0.2">
      <c r="A50" t="str">
        <f t="shared" si="0"/>
        <v/>
      </c>
      <c r="B50" t="s">
        <v>175</v>
      </c>
      <c r="C50" t="str">
        <f>IF(ISNUMBER(MATCH(B50,$AD$2:$AD$27,0)),AC50,"")</f>
        <v/>
      </c>
      <c r="D50" t="str">
        <f>IF(ISNUMBER(C50),INDEX($U$2:$U$194, MATCH(B50,$T$2:$T$194,0)),"")</f>
        <v/>
      </c>
      <c r="H50" t="s">
        <v>151</v>
      </c>
      <c r="I50">
        <v>0.72599999999999998</v>
      </c>
      <c r="K50" t="s">
        <v>175</v>
      </c>
      <c r="L50">
        <v>0.80542999999999998</v>
      </c>
      <c r="N50" t="s">
        <v>120</v>
      </c>
      <c r="O50">
        <v>0.81059000000000003</v>
      </c>
      <c r="Q50" t="s">
        <v>139</v>
      </c>
      <c r="R50">
        <v>0.91707000000000005</v>
      </c>
      <c r="T50" t="s">
        <v>127</v>
      </c>
      <c r="U50" s="5">
        <v>38730</v>
      </c>
      <c r="V50">
        <v>10.3</v>
      </c>
      <c r="W50">
        <v>50</v>
      </c>
      <c r="X50">
        <v>0.43467336683417085</v>
      </c>
      <c r="Y50">
        <v>50</v>
      </c>
      <c r="Z50">
        <v>0.43467336683417085</v>
      </c>
      <c r="AC50">
        <v>0.80542999999999998</v>
      </c>
    </row>
    <row r="51" spans="1:29" x14ac:dyDescent="0.2">
      <c r="A51" t="str">
        <f t="shared" si="0"/>
        <v/>
      </c>
      <c r="B51" t="s">
        <v>101</v>
      </c>
      <c r="C51" t="str">
        <f>IF(ISNUMBER(MATCH(B51,$AD$2:$AD$27,0)),AC51,"")</f>
        <v/>
      </c>
      <c r="D51" t="str">
        <f>IF(ISNUMBER(C51),INDEX($U$2:$U$194, MATCH(B51,$T$2:$T$194,0)),"")</f>
        <v/>
      </c>
      <c r="H51" t="s">
        <v>175</v>
      </c>
      <c r="I51">
        <v>0.72599999999999998</v>
      </c>
      <c r="K51" t="s">
        <v>101</v>
      </c>
      <c r="L51">
        <v>0.80371000000000004</v>
      </c>
      <c r="N51" t="s">
        <v>67</v>
      </c>
      <c r="O51">
        <v>0.80940999999999996</v>
      </c>
      <c r="Q51" t="s">
        <v>181</v>
      </c>
      <c r="R51">
        <v>0.91586000000000001</v>
      </c>
      <c r="T51" t="s">
        <v>130</v>
      </c>
      <c r="U51" s="5">
        <v>15600</v>
      </c>
      <c r="V51">
        <v>215.3</v>
      </c>
      <c r="W51">
        <v>51</v>
      </c>
      <c r="X51">
        <v>0.43844221105527637</v>
      </c>
      <c r="Y51">
        <v>51</v>
      </c>
      <c r="Z51">
        <v>0.43844221105527637</v>
      </c>
      <c r="AC51">
        <v>0.80371000000000004</v>
      </c>
    </row>
    <row r="52" spans="1:29" x14ac:dyDescent="0.2">
      <c r="A52" t="str">
        <f t="shared" si="0"/>
        <v/>
      </c>
      <c r="B52" t="s">
        <v>156</v>
      </c>
      <c r="C52" t="str">
        <f>IF(ISNUMBER(MATCH(B52,$AD$2:$AD$27,0)),AC52,"")</f>
        <v/>
      </c>
      <c r="D52" t="str">
        <f>IF(ISNUMBER(C52),INDEX($U$2:$U$194, MATCH(B52,$T$2:$T$194,0)),"")</f>
        <v/>
      </c>
      <c r="H52" t="s">
        <v>168</v>
      </c>
      <c r="I52">
        <v>0.72599999999999998</v>
      </c>
      <c r="K52" t="s">
        <v>156</v>
      </c>
      <c r="L52">
        <v>0.80345999999999995</v>
      </c>
      <c r="N52" t="s">
        <v>70</v>
      </c>
      <c r="O52">
        <v>0.80767999999999995</v>
      </c>
      <c r="Q52" t="s">
        <v>185</v>
      </c>
      <c r="R52">
        <v>0.91561000000000003</v>
      </c>
      <c r="T52" t="s">
        <v>132</v>
      </c>
      <c r="U52" s="5">
        <v>47190</v>
      </c>
      <c r="V52">
        <v>59</v>
      </c>
      <c r="W52">
        <v>52</v>
      </c>
      <c r="X52">
        <v>0.44221105527638194</v>
      </c>
      <c r="Y52">
        <v>52</v>
      </c>
      <c r="Z52">
        <v>0.44221105527638194</v>
      </c>
      <c r="AC52">
        <v>0.80345999999999995</v>
      </c>
    </row>
    <row r="53" spans="1:29" x14ac:dyDescent="0.2">
      <c r="A53" t="str">
        <f t="shared" si="0"/>
        <v/>
      </c>
      <c r="B53" t="s">
        <v>111</v>
      </c>
      <c r="C53" t="str">
        <f>IF(ISNUMBER(MATCH(B53,$AD$2:$AD$27,0)),AC53,"")</f>
        <v/>
      </c>
      <c r="D53" t="str">
        <f>IF(ISNUMBER(C53),INDEX($U$2:$U$194, MATCH(B53,$T$2:$T$194,0)),"")</f>
        <v/>
      </c>
      <c r="H53" t="s">
        <v>150</v>
      </c>
      <c r="I53">
        <v>0.72599999999999998</v>
      </c>
      <c r="K53" t="s">
        <v>111</v>
      </c>
      <c r="L53">
        <v>0.79649000000000003</v>
      </c>
      <c r="N53" t="s">
        <v>105</v>
      </c>
      <c r="O53">
        <v>0.80320000000000003</v>
      </c>
      <c r="Q53" t="s">
        <v>94</v>
      </c>
      <c r="R53">
        <v>0.91071999999999997</v>
      </c>
      <c r="T53" t="s">
        <v>135</v>
      </c>
      <c r="U53" s="5">
        <v>19110</v>
      </c>
      <c r="V53">
        <v>71.7</v>
      </c>
      <c r="W53">
        <v>53</v>
      </c>
      <c r="X53">
        <v>0.44597989949748745</v>
      </c>
      <c r="Y53">
        <v>53</v>
      </c>
      <c r="Z53">
        <v>0.44597989949748745</v>
      </c>
      <c r="AC53">
        <v>0.79649000000000003</v>
      </c>
    </row>
    <row r="54" spans="1:29" x14ac:dyDescent="0.2">
      <c r="A54" t="str">
        <f t="shared" si="0"/>
        <v/>
      </c>
      <c r="B54" t="s">
        <v>124</v>
      </c>
      <c r="C54" t="str">
        <f>IF(ISNUMBER(MATCH(B54,$AD$2:$AD$27,0)),AC54,"")</f>
        <v/>
      </c>
      <c r="D54" t="str">
        <f>IF(ISNUMBER(C54),INDEX($U$2:$U$194, MATCH(B54,$T$2:$T$194,0)),"")</f>
        <v/>
      </c>
      <c r="H54" t="s">
        <v>74</v>
      </c>
      <c r="I54">
        <v>0.6986</v>
      </c>
      <c r="K54" t="s">
        <v>124</v>
      </c>
      <c r="L54">
        <v>0.79220000000000002</v>
      </c>
      <c r="N54" t="s">
        <v>77</v>
      </c>
      <c r="O54">
        <v>0.80257000000000001</v>
      </c>
      <c r="Q54" t="s">
        <v>95</v>
      </c>
      <c r="R54">
        <v>0.90712999999999999</v>
      </c>
      <c r="T54" t="s">
        <v>137</v>
      </c>
      <c r="U54" s="5">
        <v>88070</v>
      </c>
      <c r="V54">
        <v>2.9</v>
      </c>
      <c r="W54">
        <v>54</v>
      </c>
      <c r="X54">
        <v>0.44974874371859297</v>
      </c>
      <c r="Y54">
        <v>54</v>
      </c>
      <c r="Z54">
        <v>0.44974874371859297</v>
      </c>
      <c r="AC54">
        <v>0.79220000000000002</v>
      </c>
    </row>
    <row r="55" spans="1:29" x14ac:dyDescent="0.2">
      <c r="A55" t="str">
        <f t="shared" si="0"/>
        <v/>
      </c>
      <c r="B55" t="s">
        <v>127</v>
      </c>
      <c r="C55" t="str">
        <f>IF(ISNUMBER(MATCH(B55,$AD$2:$AD$27,0)),AC55,"")</f>
        <v/>
      </c>
      <c r="D55" t="str">
        <f>IF(ISNUMBER(C55),INDEX($U$2:$U$194, MATCH(B55,$T$2:$T$194,0)),"")</f>
        <v/>
      </c>
      <c r="H55" t="s">
        <v>51</v>
      </c>
      <c r="I55">
        <v>0.6986</v>
      </c>
      <c r="K55" t="s">
        <v>127</v>
      </c>
      <c r="L55">
        <v>0.78774999999999995</v>
      </c>
      <c r="N55" t="s">
        <v>138</v>
      </c>
      <c r="O55">
        <v>0.79823</v>
      </c>
      <c r="Q55" t="s">
        <v>132</v>
      </c>
      <c r="R55">
        <v>0.90166999999999997</v>
      </c>
      <c r="T55" t="s">
        <v>121</v>
      </c>
      <c r="U55" s="5">
        <v>45130</v>
      </c>
      <c r="V55">
        <v>10.7</v>
      </c>
      <c r="W55">
        <v>55</v>
      </c>
      <c r="X55">
        <v>0.45351758793969849</v>
      </c>
      <c r="Y55">
        <v>55</v>
      </c>
      <c r="Z55">
        <v>0.45351758793969849</v>
      </c>
      <c r="AC55">
        <v>0.78774999999999995</v>
      </c>
    </row>
    <row r="56" spans="1:29" x14ac:dyDescent="0.2">
      <c r="A56" t="str">
        <f t="shared" si="0"/>
        <v/>
      </c>
      <c r="B56" t="s">
        <v>249</v>
      </c>
      <c r="C56" t="str">
        <f>IF(ISNUMBER(MATCH(B56,$AD$2:$AD$27,0)),AC56,"")</f>
        <v/>
      </c>
      <c r="D56" t="str">
        <f>IF(ISNUMBER(C56),INDEX($U$2:$U$194, MATCH(B56,$T$2:$T$194,0)),"")</f>
        <v/>
      </c>
      <c r="H56" t="s">
        <v>102</v>
      </c>
      <c r="I56">
        <v>0.6986</v>
      </c>
      <c r="K56" t="s">
        <v>249</v>
      </c>
      <c r="L56">
        <v>0.77703999999999995</v>
      </c>
      <c r="N56" t="s">
        <v>73</v>
      </c>
      <c r="O56">
        <v>0.79766999999999999</v>
      </c>
      <c r="Q56" t="s">
        <v>97</v>
      </c>
      <c r="R56">
        <v>0.89954000000000001</v>
      </c>
      <c r="T56" t="s">
        <v>139</v>
      </c>
      <c r="U56" s="5">
        <v>27800</v>
      </c>
      <c r="V56">
        <v>6.5</v>
      </c>
      <c r="W56">
        <v>56</v>
      </c>
      <c r="X56">
        <v>0.457286432160804</v>
      </c>
      <c r="Y56">
        <v>56</v>
      </c>
      <c r="Z56">
        <v>0.457286432160804</v>
      </c>
      <c r="AC56">
        <v>0.77703999999999995</v>
      </c>
    </row>
    <row r="57" spans="1:29" x14ac:dyDescent="0.2">
      <c r="A57" t="str">
        <f t="shared" si="0"/>
        <v/>
      </c>
      <c r="B57" t="s">
        <v>93</v>
      </c>
      <c r="C57" t="str">
        <f>IF(ISNUMBER(MATCH(B57,$AD$2:$AD$27,0)),AC57,"")</f>
        <v/>
      </c>
      <c r="D57" t="str">
        <f>IF(ISNUMBER(C57),INDEX($U$2:$U$194, MATCH(B57,$T$2:$T$194,0)),"")</f>
        <v/>
      </c>
      <c r="H57" t="s">
        <v>152</v>
      </c>
      <c r="I57">
        <v>0.6986</v>
      </c>
      <c r="K57" t="s">
        <v>93</v>
      </c>
      <c r="L57">
        <v>0.77659999999999996</v>
      </c>
      <c r="N57" t="s">
        <v>37</v>
      </c>
      <c r="O57">
        <v>0.79547999999999996</v>
      </c>
      <c r="Q57" t="s">
        <v>143</v>
      </c>
      <c r="R57">
        <v>0.89868999999999999</v>
      </c>
      <c r="T57" t="s">
        <v>141</v>
      </c>
      <c r="U57" s="5">
        <v>54640</v>
      </c>
      <c r="V57">
        <v>11.7</v>
      </c>
      <c r="W57">
        <v>57</v>
      </c>
      <c r="X57">
        <v>0.46105527638190957</v>
      </c>
      <c r="Y57">
        <v>57</v>
      </c>
      <c r="Z57">
        <v>0.46105527638190957</v>
      </c>
      <c r="AC57">
        <v>0.77659999999999996</v>
      </c>
    </row>
    <row r="58" spans="1:29" x14ac:dyDescent="0.2">
      <c r="A58" t="str">
        <f t="shared" si="0"/>
        <v/>
      </c>
      <c r="B58" t="s">
        <v>139</v>
      </c>
      <c r="C58" t="str">
        <f>IF(ISNUMBER(MATCH(B58,$AD$2:$AD$27,0)),AC58,"")</f>
        <v/>
      </c>
      <c r="D58" t="str">
        <f>IF(ISNUMBER(C58),INDEX($U$2:$U$194, MATCH(B58,$T$2:$T$194,0)),"")</f>
        <v/>
      </c>
      <c r="H58" t="s">
        <v>148</v>
      </c>
      <c r="I58">
        <v>0.6986</v>
      </c>
      <c r="K58" t="s">
        <v>139</v>
      </c>
      <c r="L58">
        <v>0.77271000000000001</v>
      </c>
      <c r="N58" t="s">
        <v>44</v>
      </c>
      <c r="O58">
        <v>0.79022999999999999</v>
      </c>
      <c r="Q58" t="s">
        <v>148</v>
      </c>
      <c r="R58">
        <v>0.89851000000000003</v>
      </c>
      <c r="T58" t="s">
        <v>51</v>
      </c>
      <c r="U58" s="5">
        <v>28650</v>
      </c>
      <c r="V58">
        <v>33.6</v>
      </c>
      <c r="W58">
        <v>58</v>
      </c>
      <c r="X58">
        <v>0.46482412060301509</v>
      </c>
      <c r="Y58">
        <v>58</v>
      </c>
      <c r="Z58">
        <v>0.46482412060301509</v>
      </c>
      <c r="AC58">
        <v>0.77271000000000001</v>
      </c>
    </row>
    <row r="59" spans="1:29" x14ac:dyDescent="0.2">
      <c r="A59" t="str">
        <f t="shared" si="0"/>
        <v/>
      </c>
      <c r="B59" t="s">
        <v>137</v>
      </c>
      <c r="C59" t="str">
        <f>IF(ISNUMBER(MATCH(B59,$AD$2:$AD$27,0)),AC59,"")</f>
        <v/>
      </c>
      <c r="D59" t="str">
        <f>IF(ISNUMBER(C59),INDEX($U$2:$U$194, MATCH(B59,$T$2:$T$194,0)),"")</f>
        <v/>
      </c>
      <c r="H59" t="s">
        <v>172</v>
      </c>
      <c r="I59">
        <v>0.68489999999999995</v>
      </c>
      <c r="K59" t="s">
        <v>137</v>
      </c>
      <c r="L59">
        <v>0.76549</v>
      </c>
      <c r="N59" t="s">
        <v>136</v>
      </c>
      <c r="O59">
        <v>0.78766000000000003</v>
      </c>
      <c r="Q59" t="s">
        <v>127</v>
      </c>
      <c r="R59">
        <v>0.89790999999999999</v>
      </c>
      <c r="T59" t="s">
        <v>144</v>
      </c>
      <c r="U59" s="5">
        <v>12480</v>
      </c>
      <c r="V59">
        <v>33.700000000000003</v>
      </c>
      <c r="W59">
        <v>59</v>
      </c>
      <c r="X59">
        <v>0.46859296482412061</v>
      </c>
      <c r="Y59">
        <v>59</v>
      </c>
      <c r="Z59">
        <v>0.46859296482412061</v>
      </c>
      <c r="AC59">
        <v>0.76549</v>
      </c>
    </row>
    <row r="60" spans="1:29" x14ac:dyDescent="0.2">
      <c r="A60" t="str">
        <f t="shared" si="0"/>
        <v/>
      </c>
      <c r="B60" t="s">
        <v>152</v>
      </c>
      <c r="C60" t="str">
        <f>IF(ISNUMBER(MATCH(B60,$AD$2:$AD$27,0)),AC60,"")</f>
        <v/>
      </c>
      <c r="D60" t="str">
        <f>IF(ISNUMBER(C60),INDEX($U$2:$U$194, MATCH(B60,$T$2:$T$194,0)),"")</f>
        <v/>
      </c>
      <c r="H60" t="s">
        <v>139</v>
      </c>
      <c r="I60">
        <v>0.67120000000000002</v>
      </c>
      <c r="K60" t="s">
        <v>152</v>
      </c>
      <c r="L60">
        <v>0.76483999999999996</v>
      </c>
      <c r="N60" t="s">
        <v>147</v>
      </c>
      <c r="O60">
        <v>0.78449999999999998</v>
      </c>
      <c r="Q60" t="s">
        <v>107</v>
      </c>
      <c r="R60">
        <v>0.89512000000000003</v>
      </c>
      <c r="T60" t="s">
        <v>146</v>
      </c>
      <c r="U60" s="5">
        <v>35540</v>
      </c>
      <c r="V60">
        <v>9.6</v>
      </c>
      <c r="W60">
        <v>60</v>
      </c>
      <c r="X60">
        <v>0.47236180904522612</v>
      </c>
      <c r="Y60">
        <v>60</v>
      </c>
      <c r="Z60">
        <v>0.47236180904522612</v>
      </c>
      <c r="AC60">
        <v>0.76483999999999996</v>
      </c>
    </row>
    <row r="61" spans="1:29" x14ac:dyDescent="0.2">
      <c r="A61" t="str">
        <f t="shared" si="0"/>
        <v/>
      </c>
      <c r="B61" t="s">
        <v>158</v>
      </c>
      <c r="C61" t="str">
        <f>IF(ISNUMBER(MATCH(B61,$AD$2:$AD$27,0)),AC61,"")</f>
        <v/>
      </c>
      <c r="D61" t="str">
        <f>IF(ISNUMBER(C61),INDEX($U$2:$U$194, MATCH(B61,$T$2:$T$194,0)),"")</f>
        <v/>
      </c>
      <c r="H61" t="s">
        <v>100</v>
      </c>
      <c r="I61">
        <v>0.67120000000000002</v>
      </c>
      <c r="K61" t="s">
        <v>158</v>
      </c>
      <c r="L61">
        <v>0.76366000000000001</v>
      </c>
      <c r="N61" t="s">
        <v>149</v>
      </c>
      <c r="O61">
        <v>0.78356000000000003</v>
      </c>
      <c r="Q61" t="s">
        <v>102</v>
      </c>
      <c r="R61">
        <v>0.89405999999999997</v>
      </c>
      <c r="T61" t="s">
        <v>148</v>
      </c>
      <c r="U61" s="5">
        <v>38540</v>
      </c>
      <c r="V61">
        <v>5.4</v>
      </c>
      <c r="W61">
        <v>61</v>
      </c>
      <c r="X61">
        <v>0.47613065326633164</v>
      </c>
      <c r="Y61">
        <v>61</v>
      </c>
      <c r="Z61">
        <v>0.47613065326633164</v>
      </c>
      <c r="AC61">
        <v>0.76366000000000001</v>
      </c>
    </row>
    <row r="62" spans="1:29" x14ac:dyDescent="0.2">
      <c r="A62" t="str">
        <f t="shared" si="0"/>
        <v/>
      </c>
      <c r="B62" t="s">
        <v>132</v>
      </c>
      <c r="C62" t="str">
        <f>IF(ISNUMBER(MATCH(B62,$AD$2:$AD$27,0)),AC62,"")</f>
        <v/>
      </c>
      <c r="D62" t="str">
        <f>IF(ISNUMBER(C62),INDEX($U$2:$U$194, MATCH(B62,$T$2:$T$194,0)),"")</f>
        <v/>
      </c>
      <c r="H62" t="s">
        <v>132</v>
      </c>
      <c r="I62">
        <v>0.65749999999999997</v>
      </c>
      <c r="K62" t="s">
        <v>132</v>
      </c>
      <c r="L62">
        <v>0.76239000000000001</v>
      </c>
      <c r="N62" t="s">
        <v>125</v>
      </c>
      <c r="O62">
        <v>0.77930999999999995</v>
      </c>
      <c r="Q62" t="s">
        <v>150</v>
      </c>
      <c r="R62">
        <v>0.89327000000000001</v>
      </c>
      <c r="T62" t="s">
        <v>150</v>
      </c>
      <c r="U62" s="5">
        <v>23340</v>
      </c>
      <c r="V62">
        <v>5.2</v>
      </c>
      <c r="W62">
        <v>62</v>
      </c>
      <c r="X62">
        <v>0.47989949748743721</v>
      </c>
      <c r="Y62">
        <v>62</v>
      </c>
      <c r="Z62">
        <v>0.47989949748743721</v>
      </c>
      <c r="AC62">
        <v>0.76239000000000001</v>
      </c>
    </row>
    <row r="63" spans="1:29" x14ac:dyDescent="0.2">
      <c r="A63" t="str">
        <f t="shared" si="0"/>
        <v/>
      </c>
      <c r="B63" t="s">
        <v>135</v>
      </c>
      <c r="C63" t="str">
        <f>IF(ISNUMBER(MATCH(B63,$AD$2:$AD$27,0)),AC63,"")</f>
        <v/>
      </c>
      <c r="D63" t="str">
        <f>IF(ISNUMBER(C63),INDEX($U$2:$U$194, MATCH(B63,$T$2:$T$194,0)),"")</f>
        <v/>
      </c>
      <c r="H63" t="s">
        <v>35</v>
      </c>
      <c r="I63">
        <v>0.65749999999999997</v>
      </c>
      <c r="K63" t="s">
        <v>135</v>
      </c>
      <c r="L63">
        <v>0.76105</v>
      </c>
      <c r="N63" t="s">
        <v>133</v>
      </c>
      <c r="O63">
        <v>0.77764</v>
      </c>
      <c r="Q63" t="s">
        <v>172</v>
      </c>
      <c r="R63">
        <v>0.89224000000000003</v>
      </c>
      <c r="T63" t="s">
        <v>151</v>
      </c>
      <c r="U63" s="5">
        <v>16000</v>
      </c>
      <c r="V63">
        <v>2.8</v>
      </c>
      <c r="W63">
        <v>63</v>
      </c>
      <c r="X63">
        <v>0.48366834170854273</v>
      </c>
      <c r="Y63">
        <v>63</v>
      </c>
      <c r="Z63">
        <v>0.48366834170854273</v>
      </c>
      <c r="AC63">
        <v>0.76105</v>
      </c>
    </row>
    <row r="64" spans="1:29" x14ac:dyDescent="0.2">
      <c r="A64" t="str">
        <f t="shared" si="0"/>
        <v/>
      </c>
      <c r="B64" t="s">
        <v>209</v>
      </c>
      <c r="C64" t="str">
        <f>IF(ISNUMBER(MATCH(B64,$AD$2:$AD$27,0)),AC64,"")</f>
        <v/>
      </c>
      <c r="D64" t="str">
        <f>IF(ISNUMBER(C64),INDEX($U$2:$U$194, MATCH(B64,$T$2:$T$194,0)),"")</f>
        <v/>
      </c>
      <c r="H64" t="s">
        <v>197</v>
      </c>
      <c r="I64">
        <v>0.65749999999999997</v>
      </c>
      <c r="K64" t="s">
        <v>209</v>
      </c>
      <c r="L64">
        <v>0.75905</v>
      </c>
      <c r="N64" t="s">
        <v>103</v>
      </c>
      <c r="O64">
        <v>0.77747999999999995</v>
      </c>
      <c r="Q64" t="s">
        <v>214</v>
      </c>
      <c r="R64">
        <v>0.89126000000000005</v>
      </c>
      <c r="T64" t="s">
        <v>152</v>
      </c>
      <c r="U64" s="5">
        <v>9470</v>
      </c>
      <c r="V64">
        <v>35.299999999999997</v>
      </c>
      <c r="W64">
        <v>64</v>
      </c>
      <c r="X64">
        <v>0.48743718592964824</v>
      </c>
      <c r="Y64">
        <v>64</v>
      </c>
      <c r="Z64">
        <v>0.48743718592964824</v>
      </c>
      <c r="AC64">
        <v>0.75905</v>
      </c>
    </row>
    <row r="65" spans="1:29" x14ac:dyDescent="0.2">
      <c r="A65" t="str">
        <f t="shared" si="0"/>
        <v/>
      </c>
      <c r="B65" t="s">
        <v>37</v>
      </c>
      <c r="C65" t="str">
        <f>IF(ISNUMBER(MATCH(B65,$AD$2:$AD$27,0)),AC65,"")</f>
        <v/>
      </c>
      <c r="D65" t="str">
        <f>IF(ISNUMBER(C65),INDEX($U$2:$U$194, MATCH(B65,$T$2:$T$194,0)),"")</f>
        <v/>
      </c>
      <c r="H65" t="s">
        <v>110</v>
      </c>
      <c r="I65">
        <v>0.65749999999999997</v>
      </c>
      <c r="K65" t="s">
        <v>37</v>
      </c>
      <c r="L65">
        <v>0.75553999999999999</v>
      </c>
      <c r="N65" t="s">
        <v>69</v>
      </c>
      <c r="O65">
        <v>0.77149999999999996</v>
      </c>
      <c r="Q65" t="s">
        <v>211</v>
      </c>
      <c r="R65">
        <v>0.88273000000000001</v>
      </c>
      <c r="T65" t="s">
        <v>156</v>
      </c>
      <c r="U65" s="5">
        <v>12310</v>
      </c>
      <c r="V65">
        <v>275.5</v>
      </c>
      <c r="W65">
        <v>65</v>
      </c>
      <c r="X65">
        <v>0.49120603015075376</v>
      </c>
      <c r="Y65">
        <v>65</v>
      </c>
      <c r="Z65">
        <v>0.49120603015075376</v>
      </c>
      <c r="AC65">
        <v>0.75553999999999999</v>
      </c>
    </row>
    <row r="66" spans="1:29" x14ac:dyDescent="0.2">
      <c r="A66" t="str">
        <f t="shared" si="0"/>
        <v/>
      </c>
      <c r="B66" t="s">
        <v>165</v>
      </c>
      <c r="C66" t="str">
        <f>IF(ISNUMBER(MATCH(B66,$AD$2:$AD$27,0)),AC66,"")</f>
        <v/>
      </c>
      <c r="D66" t="str">
        <f>IF(ISNUMBER(C66),INDEX($U$2:$U$194, MATCH(B66,$T$2:$T$194,0)),"")</f>
        <v/>
      </c>
      <c r="H66" t="s">
        <v>222</v>
      </c>
      <c r="I66">
        <v>0.65749999999999997</v>
      </c>
      <c r="K66" t="s">
        <v>165</v>
      </c>
      <c r="L66">
        <v>0.75209999999999999</v>
      </c>
      <c r="N66" t="s">
        <v>123</v>
      </c>
      <c r="O66">
        <v>0.76027</v>
      </c>
      <c r="Q66" t="s">
        <v>187</v>
      </c>
      <c r="R66">
        <v>0.88153999999999999</v>
      </c>
      <c r="T66" t="s">
        <v>158</v>
      </c>
      <c r="U66" s="5">
        <v>20960</v>
      </c>
      <c r="V66">
        <v>127.5</v>
      </c>
      <c r="W66">
        <v>66</v>
      </c>
      <c r="X66">
        <v>0.49497487437185933</v>
      </c>
      <c r="Y66">
        <v>66</v>
      </c>
      <c r="Z66">
        <v>0.49497487437185933</v>
      </c>
      <c r="AC66">
        <v>0.75209999999999999</v>
      </c>
    </row>
    <row r="67" spans="1:29" x14ac:dyDescent="0.2">
      <c r="A67" t="str">
        <f t="shared" ref="A67:A130" si="5">IF(E67&gt;1, B67, "")</f>
        <v/>
      </c>
      <c r="B67" t="s">
        <v>35</v>
      </c>
      <c r="C67" t="str">
        <f>IF(ISNUMBER(MATCH(B67,$AD$2:$AD$27,0)),AC67,"")</f>
        <v/>
      </c>
      <c r="D67" t="str">
        <f>IF(ISNUMBER(C67),INDEX($U$2:$U$194, MATCH(B67,$T$2:$T$194,0)),"")</f>
        <v/>
      </c>
      <c r="H67" t="s">
        <v>127</v>
      </c>
      <c r="I67">
        <v>0.64380000000000004</v>
      </c>
      <c r="K67" t="s">
        <v>35</v>
      </c>
      <c r="L67">
        <v>0.74156999999999995</v>
      </c>
      <c r="N67" t="s">
        <v>142</v>
      </c>
      <c r="O67">
        <v>0.75800999999999996</v>
      </c>
      <c r="Q67" t="s">
        <v>124</v>
      </c>
      <c r="R67">
        <v>0.87824000000000002</v>
      </c>
      <c r="T67" t="s">
        <v>160</v>
      </c>
      <c r="U67" s="5">
        <v>74630</v>
      </c>
      <c r="V67">
        <v>4.3</v>
      </c>
      <c r="W67">
        <v>67</v>
      </c>
      <c r="X67">
        <v>0.49874371859296485</v>
      </c>
      <c r="Y67">
        <v>67</v>
      </c>
      <c r="Z67">
        <v>0.49874371859296485</v>
      </c>
      <c r="AC67">
        <v>0.74156999999999995</v>
      </c>
    </row>
    <row r="68" spans="1:29" x14ac:dyDescent="0.2">
      <c r="A68" t="str">
        <f t="shared" si="5"/>
        <v/>
      </c>
      <c r="B68" t="s">
        <v>176</v>
      </c>
      <c r="C68" t="str">
        <f>IF(ISNUMBER(MATCH(B68,$AD$2:$AD$27,0)),AC68,"")</f>
        <v/>
      </c>
      <c r="D68" t="str">
        <f>IF(ISNUMBER(C68),INDEX($U$2:$U$194, MATCH(B68,$T$2:$T$194,0)),"")</f>
        <v/>
      </c>
      <c r="H68" t="s">
        <v>93</v>
      </c>
      <c r="I68">
        <v>0.64380000000000004</v>
      </c>
      <c r="K68" t="s">
        <v>176</v>
      </c>
      <c r="L68">
        <v>0.73863000000000001</v>
      </c>
      <c r="N68" t="s">
        <v>163</v>
      </c>
      <c r="O68">
        <v>0.75500999999999996</v>
      </c>
      <c r="Q68" t="s">
        <v>170</v>
      </c>
      <c r="R68">
        <v>0.87797000000000003</v>
      </c>
      <c r="T68" t="s">
        <v>161</v>
      </c>
      <c r="U68" s="5">
        <v>11500</v>
      </c>
      <c r="V68">
        <v>18.100000000000001</v>
      </c>
      <c r="W68">
        <v>68</v>
      </c>
      <c r="X68">
        <v>0.50251256281407031</v>
      </c>
      <c r="Y68">
        <v>68</v>
      </c>
      <c r="Z68">
        <v>0.50251256281407031</v>
      </c>
      <c r="AC68">
        <v>0.73863000000000001</v>
      </c>
    </row>
    <row r="69" spans="1:29" x14ac:dyDescent="0.2">
      <c r="A69" t="str">
        <f t="shared" si="5"/>
        <v/>
      </c>
      <c r="B69" t="s">
        <v>230</v>
      </c>
      <c r="C69" t="str">
        <f>IF(ISNUMBER(MATCH(B69,$AD$2:$AD$27,0)),AC69,"")</f>
        <v/>
      </c>
      <c r="D69" t="str">
        <f>IF(ISNUMBER(C69),INDEX($U$2:$U$194, MATCH(B69,$T$2:$T$194,0)),"")</f>
        <v/>
      </c>
      <c r="H69" t="s">
        <v>37</v>
      </c>
      <c r="I69">
        <v>0.63009999999999999</v>
      </c>
      <c r="K69" t="s">
        <v>230</v>
      </c>
      <c r="L69">
        <v>0.73743999999999998</v>
      </c>
      <c r="N69" t="s">
        <v>129</v>
      </c>
      <c r="O69">
        <v>0.75378000000000001</v>
      </c>
      <c r="Q69" t="s">
        <v>152</v>
      </c>
      <c r="R69">
        <v>0.87687000000000004</v>
      </c>
      <c r="T69" t="s">
        <v>165</v>
      </c>
      <c r="U69" s="5">
        <v>16580</v>
      </c>
      <c r="V69">
        <v>51.5</v>
      </c>
      <c r="W69">
        <v>69</v>
      </c>
      <c r="X69">
        <v>0.50628140703517588</v>
      </c>
      <c r="Y69">
        <v>69</v>
      </c>
      <c r="Z69">
        <v>0.50628140703517588</v>
      </c>
      <c r="AC69">
        <v>0.73743999999999998</v>
      </c>
    </row>
    <row r="70" spans="1:29" x14ac:dyDescent="0.2">
      <c r="A70" t="str">
        <f t="shared" si="5"/>
        <v/>
      </c>
      <c r="B70" t="s">
        <v>51</v>
      </c>
      <c r="C70" t="str">
        <f>IF(ISNUMBER(MATCH(B70,$AD$2:$AD$27,0)),AC70,"")</f>
        <v/>
      </c>
      <c r="D70" t="str">
        <f>IF(ISNUMBER(C70),INDEX($U$2:$U$194, MATCH(B70,$T$2:$T$194,0)),"")</f>
        <v/>
      </c>
      <c r="H70" t="s">
        <v>111</v>
      </c>
      <c r="I70">
        <v>0.63009999999999999</v>
      </c>
      <c r="K70" t="s">
        <v>51</v>
      </c>
      <c r="L70">
        <v>0.72796000000000005</v>
      </c>
      <c r="N70" t="s">
        <v>167</v>
      </c>
      <c r="O70">
        <v>0.75202999999999998</v>
      </c>
      <c r="Q70" t="s">
        <v>57</v>
      </c>
      <c r="R70">
        <v>0.87280999999999997</v>
      </c>
      <c r="T70" t="s">
        <v>95</v>
      </c>
      <c r="U70" s="5">
        <v>18170</v>
      </c>
      <c r="V70">
        <v>3.7</v>
      </c>
      <c r="W70">
        <v>70</v>
      </c>
      <c r="X70">
        <v>0.51005025125628145</v>
      </c>
      <c r="Y70">
        <v>70</v>
      </c>
      <c r="Z70">
        <v>0.51005025125628145</v>
      </c>
      <c r="AC70">
        <v>0.72796000000000005</v>
      </c>
    </row>
    <row r="71" spans="1:29" x14ac:dyDescent="0.2">
      <c r="A71" t="str">
        <f t="shared" si="5"/>
        <v/>
      </c>
      <c r="B71" t="s">
        <v>168</v>
      </c>
      <c r="C71" t="str">
        <f>IF(ISNUMBER(MATCH(B71,$AD$2:$AD$27,0)),AC71,"")</f>
        <v/>
      </c>
      <c r="D71" t="str">
        <f>IF(ISNUMBER(C71),INDEX($U$2:$U$194, MATCH(B71,$T$2:$T$194,0)),"")</f>
        <v/>
      </c>
      <c r="H71" t="s">
        <v>209</v>
      </c>
      <c r="I71">
        <v>0.61639999999999995</v>
      </c>
      <c r="K71" t="s">
        <v>168</v>
      </c>
      <c r="L71">
        <v>0.72636000000000001</v>
      </c>
      <c r="N71" t="s">
        <v>126</v>
      </c>
      <c r="O71">
        <v>0.75149999999999995</v>
      </c>
      <c r="Q71" t="s">
        <v>241</v>
      </c>
      <c r="R71">
        <v>0.87141000000000002</v>
      </c>
      <c r="T71" t="s">
        <v>168</v>
      </c>
      <c r="U71" s="5">
        <v>14260</v>
      </c>
      <c r="V71">
        <v>2.6</v>
      </c>
      <c r="W71">
        <v>71</v>
      </c>
      <c r="X71">
        <v>0.51381909547738691</v>
      </c>
      <c r="Y71">
        <v>71</v>
      </c>
      <c r="Z71">
        <v>0.51381909547738691</v>
      </c>
      <c r="AC71">
        <v>0.72636000000000001</v>
      </c>
    </row>
    <row r="72" spans="1:29" x14ac:dyDescent="0.2">
      <c r="A72" t="str">
        <f t="shared" si="5"/>
        <v/>
      </c>
      <c r="B72" t="s">
        <v>141</v>
      </c>
      <c r="C72" t="str">
        <f>IF(ISNUMBER(MATCH(B72,$AD$2:$AD$27,0)),AC72,"")</f>
        <v/>
      </c>
      <c r="D72" t="str">
        <f>IF(ISNUMBER(C72),INDEX($U$2:$U$194, MATCH(B72,$T$2:$T$194,0)),"")</f>
        <v/>
      </c>
      <c r="H72" t="s">
        <v>230</v>
      </c>
      <c r="I72">
        <v>0.61639999999999995</v>
      </c>
      <c r="K72" t="s">
        <v>141</v>
      </c>
      <c r="L72">
        <v>0.72243999999999997</v>
      </c>
      <c r="N72" t="s">
        <v>171</v>
      </c>
      <c r="O72">
        <v>0.74877000000000005</v>
      </c>
      <c r="Q72" t="s">
        <v>141</v>
      </c>
      <c r="R72">
        <v>0.86983999999999995</v>
      </c>
      <c r="T72" t="s">
        <v>170</v>
      </c>
      <c r="U72" s="5">
        <v>11260</v>
      </c>
      <c r="V72">
        <v>98.2</v>
      </c>
      <c r="W72">
        <v>72</v>
      </c>
      <c r="X72">
        <v>0.51758793969849248</v>
      </c>
      <c r="Y72">
        <v>72</v>
      </c>
      <c r="Z72">
        <v>0.51758793969849248</v>
      </c>
      <c r="AC72">
        <v>0.72243999999999997</v>
      </c>
    </row>
    <row r="73" spans="1:29" x14ac:dyDescent="0.2">
      <c r="A73" t="str">
        <f t="shared" si="5"/>
        <v/>
      </c>
      <c r="B73" t="s">
        <v>150</v>
      </c>
      <c r="C73" t="str">
        <f>IF(ISNUMBER(MATCH(B73,$AD$2:$AD$27,0)),AC73,"")</f>
        <v/>
      </c>
      <c r="D73" t="str">
        <f>IF(ISNUMBER(C73),INDEX($U$2:$U$194, MATCH(B73,$T$2:$T$194,0)),"")</f>
        <v/>
      </c>
      <c r="H73" t="s">
        <v>191</v>
      </c>
      <c r="I73">
        <v>0.60270000000000001</v>
      </c>
      <c r="K73" t="s">
        <v>150</v>
      </c>
      <c r="L73">
        <v>0.72169000000000005</v>
      </c>
      <c r="N73" t="s">
        <v>108</v>
      </c>
      <c r="O73">
        <v>0.74690000000000001</v>
      </c>
      <c r="Q73" t="s">
        <v>251</v>
      </c>
      <c r="R73">
        <v>0.86745000000000005</v>
      </c>
      <c r="T73" t="s">
        <v>172</v>
      </c>
      <c r="U73" s="5">
        <v>34520</v>
      </c>
      <c r="V73">
        <v>19</v>
      </c>
      <c r="W73">
        <v>73</v>
      </c>
      <c r="X73">
        <v>0.52135678391959805</v>
      </c>
      <c r="Y73">
        <v>73</v>
      </c>
      <c r="Z73">
        <v>0.52135678391959805</v>
      </c>
      <c r="AC73">
        <v>0.72169000000000005</v>
      </c>
    </row>
    <row r="74" spans="1:29" x14ac:dyDescent="0.2">
      <c r="A74" t="str">
        <f t="shared" si="5"/>
        <v/>
      </c>
      <c r="B74" t="s">
        <v>146</v>
      </c>
      <c r="C74" t="str">
        <f>IF(ISNUMBER(MATCH(B74,$AD$2:$AD$27,0)),AC74,"")</f>
        <v/>
      </c>
      <c r="D74" t="str">
        <f>IF(ISNUMBER(C74),INDEX($U$2:$U$194, MATCH(B74,$T$2:$T$194,0)),"")</f>
        <v/>
      </c>
      <c r="H74" t="s">
        <v>170</v>
      </c>
      <c r="I74">
        <v>0.60270000000000001</v>
      </c>
      <c r="K74" t="s">
        <v>146</v>
      </c>
      <c r="L74">
        <v>0.71436999999999995</v>
      </c>
      <c r="N74" t="s">
        <v>131</v>
      </c>
      <c r="O74">
        <v>0.74563999999999997</v>
      </c>
      <c r="Q74" t="s">
        <v>100</v>
      </c>
      <c r="R74">
        <v>0.86568000000000001</v>
      </c>
      <c r="T74" t="s">
        <v>175</v>
      </c>
      <c r="U74" s="5">
        <v>9820</v>
      </c>
      <c r="V74">
        <v>115.6</v>
      </c>
      <c r="W74">
        <v>74</v>
      </c>
      <c r="X74">
        <v>0.52512562814070352</v>
      </c>
      <c r="Y74">
        <v>74</v>
      </c>
      <c r="Z74">
        <v>0.52512562814070352</v>
      </c>
      <c r="AC74">
        <v>0.71436999999999995</v>
      </c>
    </row>
    <row r="75" spans="1:29" x14ac:dyDescent="0.2">
      <c r="A75" t="str">
        <f t="shared" si="5"/>
        <v/>
      </c>
      <c r="B75" t="s">
        <v>148</v>
      </c>
      <c r="C75" t="str">
        <f>IF(ISNUMBER(MATCH(B75,$AD$2:$AD$27,0)),AC75,"")</f>
        <v/>
      </c>
      <c r="D75" t="str">
        <f>IF(ISNUMBER(C75),INDEX($U$2:$U$194, MATCH(B75,$T$2:$T$194,0)),"")</f>
        <v/>
      </c>
      <c r="H75" t="s">
        <v>218</v>
      </c>
      <c r="I75">
        <v>0.58899999999999997</v>
      </c>
      <c r="K75" t="s">
        <v>148</v>
      </c>
      <c r="L75">
        <v>0.70969000000000004</v>
      </c>
      <c r="N75" t="s">
        <v>145</v>
      </c>
      <c r="O75">
        <v>0.74392000000000003</v>
      </c>
      <c r="Q75" t="s">
        <v>195</v>
      </c>
      <c r="R75">
        <v>0.86521999999999999</v>
      </c>
      <c r="T75" t="s">
        <v>176</v>
      </c>
      <c r="U75" s="5">
        <v>14540</v>
      </c>
      <c r="V75">
        <v>10.199999999999999</v>
      </c>
      <c r="W75">
        <v>75</v>
      </c>
      <c r="X75">
        <v>0.52889447236180898</v>
      </c>
      <c r="Y75">
        <v>75</v>
      </c>
      <c r="Z75">
        <v>0.52889447236180898</v>
      </c>
      <c r="AC75">
        <v>0.70969000000000004</v>
      </c>
    </row>
    <row r="76" spans="1:29" x14ac:dyDescent="0.2">
      <c r="A76" t="str">
        <f t="shared" si="5"/>
        <v/>
      </c>
      <c r="B76" t="s">
        <v>170</v>
      </c>
      <c r="C76" t="str">
        <f>IF(ISNUMBER(MATCH(B76,$AD$2:$AD$27,0)),AC76,"")</f>
        <v/>
      </c>
      <c r="D76" t="str">
        <f>IF(ISNUMBER(C76),INDEX($U$2:$U$194, MATCH(B76,$T$2:$T$194,0)),"")</f>
        <v/>
      </c>
      <c r="H76" t="s">
        <v>121</v>
      </c>
      <c r="I76">
        <v>0.58899999999999997</v>
      </c>
      <c r="K76" t="s">
        <v>170</v>
      </c>
      <c r="L76">
        <v>0.70811000000000002</v>
      </c>
      <c r="N76" t="s">
        <v>134</v>
      </c>
      <c r="O76">
        <v>0.74187999999999998</v>
      </c>
      <c r="Q76" t="s">
        <v>256</v>
      </c>
      <c r="R76">
        <v>0.86495</v>
      </c>
      <c r="T76" t="s">
        <v>179</v>
      </c>
      <c r="U76" s="5">
        <v>83530</v>
      </c>
      <c r="V76">
        <v>0.4</v>
      </c>
      <c r="W76">
        <v>76</v>
      </c>
      <c r="X76">
        <v>0.53266331658291466</v>
      </c>
      <c r="Y76">
        <v>76</v>
      </c>
      <c r="Z76">
        <v>0.53266331658291466</v>
      </c>
      <c r="AC76">
        <v>0.70811000000000002</v>
      </c>
    </row>
    <row r="77" spans="1:29" x14ac:dyDescent="0.2">
      <c r="A77" t="str">
        <f t="shared" si="5"/>
        <v/>
      </c>
      <c r="B77" t="s">
        <v>297</v>
      </c>
      <c r="C77" t="str">
        <f>IF(ISNUMBER(MATCH(B77,$AD$2:$AD$27,0)),AC77,"")</f>
        <v/>
      </c>
      <c r="D77" t="str">
        <f>IF(ISNUMBER(C77),INDEX($U$2:$U$194, MATCH(B77,$T$2:$T$194,0)),"")</f>
        <v/>
      </c>
      <c r="H77" t="s">
        <v>182</v>
      </c>
      <c r="I77">
        <v>0.57530000000000003</v>
      </c>
      <c r="K77" t="s">
        <v>297</v>
      </c>
      <c r="L77">
        <v>0.70416999999999996</v>
      </c>
      <c r="N77" t="s">
        <v>184</v>
      </c>
      <c r="O77">
        <v>0.74131000000000002</v>
      </c>
      <c r="Q77" t="s">
        <v>156</v>
      </c>
      <c r="R77">
        <v>0.86448000000000003</v>
      </c>
      <c r="T77" t="s">
        <v>181</v>
      </c>
      <c r="U77" s="5">
        <v>24310</v>
      </c>
      <c r="V77">
        <v>1.3</v>
      </c>
      <c r="W77">
        <v>77</v>
      </c>
      <c r="X77">
        <v>0.53643216080402012</v>
      </c>
      <c r="Y77">
        <v>77</v>
      </c>
      <c r="Z77">
        <v>0.53643216080402012</v>
      </c>
      <c r="AC77">
        <v>0.70416999999999996</v>
      </c>
    </row>
    <row r="78" spans="1:29" x14ac:dyDescent="0.2">
      <c r="A78" t="str">
        <f t="shared" si="5"/>
        <v/>
      </c>
      <c r="B78" t="s">
        <v>121</v>
      </c>
      <c r="C78" t="str">
        <f>IF(ISNUMBER(MATCH(B78,$AD$2:$AD$27,0)),AC78,"")</f>
        <v/>
      </c>
      <c r="D78" t="str">
        <f>IF(ISNUMBER(C78),INDEX($U$2:$U$194, MATCH(B78,$T$2:$T$194,0)),"")</f>
        <v/>
      </c>
      <c r="H78" t="s">
        <v>95</v>
      </c>
      <c r="I78">
        <v>0.56159999999999999</v>
      </c>
      <c r="K78" t="s">
        <v>121</v>
      </c>
      <c r="L78">
        <v>0.70062999999999998</v>
      </c>
      <c r="N78" t="s">
        <v>178</v>
      </c>
      <c r="O78">
        <v>0.73762000000000005</v>
      </c>
      <c r="Q78" t="s">
        <v>188</v>
      </c>
      <c r="R78">
        <v>0.85229999999999995</v>
      </c>
      <c r="T78" t="s">
        <v>185</v>
      </c>
      <c r="U78" s="5">
        <v>20080</v>
      </c>
      <c r="V78">
        <v>9.3000000000000007</v>
      </c>
      <c r="W78">
        <v>78</v>
      </c>
      <c r="X78">
        <v>0.54020100502512558</v>
      </c>
      <c r="Y78">
        <v>78</v>
      </c>
      <c r="Z78">
        <v>0.54020100502512558</v>
      </c>
      <c r="AC78">
        <v>0.70062999999999998</v>
      </c>
    </row>
    <row r="79" spans="1:29" x14ac:dyDescent="0.2">
      <c r="A79" t="str">
        <f t="shared" si="5"/>
        <v/>
      </c>
      <c r="B79" t="s">
        <v>218</v>
      </c>
      <c r="C79" t="str">
        <f>IF(ISNUMBER(MATCH(B79,$AD$2:$AD$27,0)),AC79,"")</f>
        <v/>
      </c>
      <c r="D79" t="str">
        <f>IF(ISNUMBER(C79),INDEX($U$2:$U$194, MATCH(B79,$T$2:$T$194,0)),"")</f>
        <v/>
      </c>
      <c r="H79" t="s">
        <v>206</v>
      </c>
      <c r="I79">
        <v>0.54790000000000005</v>
      </c>
      <c r="K79" t="s">
        <v>218</v>
      </c>
      <c r="L79">
        <v>0.70016</v>
      </c>
      <c r="N79" t="s">
        <v>98</v>
      </c>
      <c r="O79">
        <v>0.72933999999999999</v>
      </c>
      <c r="Q79" t="s">
        <v>13</v>
      </c>
      <c r="R79">
        <v>0.84277999999999997</v>
      </c>
      <c r="T79" t="s">
        <v>187</v>
      </c>
      <c r="U79" s="5">
        <v>5300</v>
      </c>
      <c r="V79">
        <v>6.7</v>
      </c>
      <c r="W79">
        <v>79</v>
      </c>
      <c r="X79">
        <v>0.54396984924623115</v>
      </c>
      <c r="Y79">
        <v>79</v>
      </c>
      <c r="Z79">
        <v>0.54396984924623115</v>
      </c>
      <c r="AC79">
        <v>0.70016</v>
      </c>
    </row>
    <row r="80" spans="1:29" x14ac:dyDescent="0.2">
      <c r="A80" t="str">
        <f t="shared" si="5"/>
        <v/>
      </c>
      <c r="B80" t="s">
        <v>252</v>
      </c>
      <c r="C80" t="str">
        <f>IF(ISNUMBER(MATCH(B80,$AD$2:$AD$27,0)),AC80,"")</f>
        <v/>
      </c>
      <c r="D80" t="str">
        <f>IF(ISNUMBER(C80),INDEX($U$2:$U$194, MATCH(B80,$T$2:$T$194,0)),"")</f>
        <v/>
      </c>
      <c r="H80" t="s">
        <v>245</v>
      </c>
      <c r="I80">
        <v>0.54790000000000005</v>
      </c>
      <c r="K80" t="s">
        <v>252</v>
      </c>
      <c r="L80">
        <v>0.68916999999999995</v>
      </c>
      <c r="N80" t="s">
        <v>164</v>
      </c>
      <c r="O80">
        <v>0.72665000000000002</v>
      </c>
      <c r="Q80" t="s">
        <v>111</v>
      </c>
      <c r="R80">
        <v>0.84253999999999996</v>
      </c>
      <c r="T80" t="s">
        <v>188</v>
      </c>
      <c r="U80" s="5">
        <v>30990</v>
      </c>
      <c r="V80">
        <v>4.4000000000000004</v>
      </c>
      <c r="W80">
        <v>80</v>
      </c>
      <c r="X80">
        <v>0.54773869346733672</v>
      </c>
      <c r="Y80">
        <v>80</v>
      </c>
      <c r="Z80">
        <v>0.54773869346733672</v>
      </c>
      <c r="AC80">
        <v>0.68916999999999995</v>
      </c>
    </row>
    <row r="81" spans="1:29" x14ac:dyDescent="0.2">
      <c r="A81" t="str">
        <f t="shared" si="5"/>
        <v/>
      </c>
      <c r="B81" t="s">
        <v>191</v>
      </c>
      <c r="C81" t="str">
        <f>IF(ISNUMBER(MATCH(B81,$AD$2:$AD$27,0)),AC81,"")</f>
        <v/>
      </c>
      <c r="D81" t="str">
        <f>IF(ISNUMBER(C81),INDEX($U$2:$U$194, MATCH(B81,$T$2:$T$194,0)),"")</f>
        <v/>
      </c>
      <c r="H81" t="s">
        <v>252</v>
      </c>
      <c r="I81">
        <v>0.54790000000000005</v>
      </c>
      <c r="K81" t="s">
        <v>191</v>
      </c>
      <c r="L81">
        <v>0.67115000000000002</v>
      </c>
      <c r="N81" t="s">
        <v>128</v>
      </c>
      <c r="O81">
        <v>0.72555999999999998</v>
      </c>
      <c r="Q81" t="s">
        <v>144</v>
      </c>
      <c r="R81">
        <v>0.83638000000000001</v>
      </c>
      <c r="T81" t="s">
        <v>191</v>
      </c>
      <c r="U81" s="5">
        <v>13990</v>
      </c>
      <c r="V81">
        <v>7.3</v>
      </c>
      <c r="W81">
        <v>81</v>
      </c>
      <c r="X81">
        <v>0.55150753768844218</v>
      </c>
      <c r="Y81">
        <v>81</v>
      </c>
      <c r="Z81">
        <v>0.55150753768844218</v>
      </c>
      <c r="AC81">
        <v>0.67115000000000002</v>
      </c>
    </row>
    <row r="82" spans="1:29" x14ac:dyDescent="0.2">
      <c r="A82" t="str">
        <f t="shared" si="5"/>
        <v/>
      </c>
      <c r="B82" t="s">
        <v>182</v>
      </c>
      <c r="C82" t="str">
        <f>IF(ISNUMBER(MATCH(B82,$AD$2:$AD$27,0)),AC82,"")</f>
        <v/>
      </c>
      <c r="D82" t="str">
        <f>IF(ISNUMBER(C82),INDEX($U$2:$U$194, MATCH(B82,$T$2:$T$194,0)),"")</f>
        <v/>
      </c>
      <c r="H82" t="s">
        <v>146</v>
      </c>
      <c r="I82">
        <v>0.54790000000000005</v>
      </c>
      <c r="K82" t="s">
        <v>182</v>
      </c>
      <c r="L82">
        <v>0.66415000000000002</v>
      </c>
      <c r="N82" t="s">
        <v>162</v>
      </c>
      <c r="O82">
        <v>0.72328999999999999</v>
      </c>
      <c r="Q82" t="s">
        <v>201</v>
      </c>
      <c r="R82">
        <v>0.83565999999999996</v>
      </c>
      <c r="T82" t="s">
        <v>115</v>
      </c>
      <c r="U82" s="5">
        <v>22940</v>
      </c>
      <c r="V82">
        <v>0.6</v>
      </c>
      <c r="W82">
        <v>82</v>
      </c>
      <c r="X82">
        <v>0.55527638190954776</v>
      </c>
      <c r="Y82">
        <v>82</v>
      </c>
      <c r="Z82">
        <v>0.55527638190954776</v>
      </c>
      <c r="AC82">
        <v>0.66415000000000002</v>
      </c>
    </row>
    <row r="83" spans="1:29" x14ac:dyDescent="0.2">
      <c r="A83" t="str">
        <f t="shared" si="5"/>
        <v/>
      </c>
      <c r="B83" t="s">
        <v>172</v>
      </c>
      <c r="C83" t="str">
        <f>IF(ISNUMBER(MATCH(B83,$AD$2:$AD$27,0)),AC83,"")</f>
        <v/>
      </c>
      <c r="D83" t="str">
        <f>IF(ISNUMBER(C83),INDEX($U$2:$U$194, MATCH(B83,$T$2:$T$194,0)),"")</f>
        <v/>
      </c>
      <c r="H83" t="s">
        <v>248</v>
      </c>
      <c r="I83">
        <v>0.53420000000000001</v>
      </c>
      <c r="K83" t="s">
        <v>172</v>
      </c>
      <c r="L83">
        <v>0.65476999999999996</v>
      </c>
      <c r="N83" t="s">
        <v>174</v>
      </c>
      <c r="O83">
        <v>0.72021000000000002</v>
      </c>
      <c r="Q83" t="s">
        <v>50</v>
      </c>
      <c r="R83">
        <v>0.83221000000000001</v>
      </c>
      <c r="T83" t="s">
        <v>193</v>
      </c>
      <c r="U83" s="8" t="s">
        <v>118</v>
      </c>
      <c r="V83">
        <v>0.04</v>
      </c>
      <c r="W83">
        <v>83</v>
      </c>
      <c r="X83">
        <v>0.55904522613065333</v>
      </c>
      <c r="Y83">
        <v>83</v>
      </c>
      <c r="Z83">
        <v>0.55904522613065333</v>
      </c>
      <c r="AC83">
        <v>0.65476999999999996</v>
      </c>
    </row>
    <row r="84" spans="1:29" x14ac:dyDescent="0.2">
      <c r="A84" t="str">
        <f t="shared" si="5"/>
        <v/>
      </c>
      <c r="B84" t="s">
        <v>272</v>
      </c>
      <c r="C84" t="str">
        <f>IF(ISNUMBER(MATCH(B84,$AD$2:$AD$27,0)),AC84,"")</f>
        <v/>
      </c>
      <c r="D84" t="str">
        <f>IF(ISNUMBER(C84),INDEX($U$2:$U$194, MATCH(B84,$T$2:$T$194,0)),"")</f>
        <v/>
      </c>
      <c r="H84" t="s">
        <v>249</v>
      </c>
      <c r="I84">
        <v>0.52049999999999996</v>
      </c>
      <c r="K84" t="s">
        <v>272</v>
      </c>
      <c r="L84">
        <v>0.65378999999999998</v>
      </c>
      <c r="N84" t="s">
        <v>51</v>
      </c>
      <c r="O84">
        <v>0.71921000000000002</v>
      </c>
      <c r="Q84" t="s">
        <v>158</v>
      </c>
      <c r="R84">
        <v>0.83101000000000003</v>
      </c>
      <c r="T84" t="s">
        <v>195</v>
      </c>
      <c r="U84" s="5">
        <v>34860</v>
      </c>
      <c r="V84">
        <v>0.4</v>
      </c>
      <c r="W84">
        <v>84</v>
      </c>
      <c r="X84">
        <v>0.56281407035175879</v>
      </c>
      <c r="Y84">
        <v>84</v>
      </c>
      <c r="Z84">
        <v>0.56281407035175879</v>
      </c>
      <c r="AC84">
        <v>0.65378999999999998</v>
      </c>
    </row>
    <row r="85" spans="1:29" x14ac:dyDescent="0.2">
      <c r="A85" t="str">
        <f t="shared" si="5"/>
        <v/>
      </c>
      <c r="B85" t="s">
        <v>188</v>
      </c>
      <c r="C85" t="str">
        <f>IF(ISNUMBER(MATCH(B85,$AD$2:$AD$27,0)),AC85,"")</f>
        <v/>
      </c>
      <c r="D85" t="str">
        <f>IF(ISNUMBER(C85),INDEX($U$2:$U$194, MATCH(B85,$T$2:$T$194,0)),"")</f>
        <v/>
      </c>
      <c r="H85" t="s">
        <v>188</v>
      </c>
      <c r="I85">
        <v>0.52049999999999996</v>
      </c>
      <c r="K85" t="s">
        <v>188</v>
      </c>
      <c r="L85">
        <v>0.65049000000000001</v>
      </c>
      <c r="N85" t="s">
        <v>115</v>
      </c>
      <c r="O85">
        <v>0.71904000000000001</v>
      </c>
      <c r="Q85" t="s">
        <v>146</v>
      </c>
      <c r="R85">
        <v>0.82821</v>
      </c>
      <c r="T85" t="s">
        <v>182</v>
      </c>
      <c r="U85" s="5">
        <v>18210</v>
      </c>
      <c r="V85">
        <v>2.1</v>
      </c>
      <c r="W85">
        <v>85</v>
      </c>
      <c r="X85">
        <v>0.56658291457286425</v>
      </c>
      <c r="Y85">
        <v>85</v>
      </c>
      <c r="Z85">
        <v>0.56658291457286425</v>
      </c>
      <c r="AC85">
        <v>0.65049000000000001</v>
      </c>
    </row>
    <row r="86" spans="1:29" x14ac:dyDescent="0.2">
      <c r="A86" t="str">
        <f t="shared" si="5"/>
        <v/>
      </c>
      <c r="B86" t="s">
        <v>197</v>
      </c>
      <c r="C86" t="str">
        <f>IF(ISNUMBER(MATCH(B86,$AD$2:$AD$27,0)),AC86,"")</f>
        <v/>
      </c>
      <c r="D86" t="str">
        <f>IF(ISNUMBER(C86),INDEX($U$2:$U$194, MATCH(B86,$T$2:$T$194,0)),"")</f>
        <v/>
      </c>
      <c r="H86" t="s">
        <v>115</v>
      </c>
      <c r="I86">
        <v>0.50680000000000003</v>
      </c>
      <c r="K86" t="s">
        <v>197</v>
      </c>
      <c r="L86">
        <v>0.64046999999999998</v>
      </c>
      <c r="N86" t="s">
        <v>153</v>
      </c>
      <c r="O86">
        <v>0.71889999999999998</v>
      </c>
      <c r="Q86" t="s">
        <v>270</v>
      </c>
      <c r="R86">
        <v>0.82630000000000003</v>
      </c>
      <c r="T86" t="s">
        <v>197</v>
      </c>
      <c r="U86" s="5">
        <v>20640</v>
      </c>
      <c r="V86">
        <v>10.8</v>
      </c>
      <c r="W86">
        <v>86</v>
      </c>
      <c r="X86">
        <v>0.57035175879396993</v>
      </c>
      <c r="Y86">
        <v>86</v>
      </c>
      <c r="Z86">
        <v>0.57035175879396993</v>
      </c>
      <c r="AC86">
        <v>0.64046999999999998</v>
      </c>
    </row>
    <row r="87" spans="1:29" x14ac:dyDescent="0.2">
      <c r="A87" t="str">
        <f t="shared" si="5"/>
        <v/>
      </c>
      <c r="B87" t="s">
        <v>160</v>
      </c>
      <c r="C87" t="str">
        <f>IF(ISNUMBER(MATCH(B87,$AD$2:$AD$27,0)),AC87,"")</f>
        <v/>
      </c>
      <c r="D87" t="str">
        <f>IF(ISNUMBER(C87),INDEX($U$2:$U$194, MATCH(B87,$T$2:$T$194,0)),"")</f>
        <v/>
      </c>
      <c r="H87" t="s">
        <v>141</v>
      </c>
      <c r="I87">
        <v>0.50680000000000003</v>
      </c>
      <c r="K87" t="s">
        <v>160</v>
      </c>
      <c r="L87">
        <v>0.63654999999999995</v>
      </c>
      <c r="N87" t="s">
        <v>200</v>
      </c>
      <c r="O87">
        <v>0.71757000000000004</v>
      </c>
      <c r="Q87" t="s">
        <v>176</v>
      </c>
      <c r="R87">
        <v>0.82033999999999996</v>
      </c>
      <c r="T87" t="s">
        <v>199</v>
      </c>
      <c r="U87" s="5">
        <v>26730</v>
      </c>
      <c r="V87">
        <v>1.4</v>
      </c>
      <c r="W87">
        <v>87</v>
      </c>
      <c r="X87">
        <v>0.57412060301507539</v>
      </c>
      <c r="Y87">
        <v>87</v>
      </c>
      <c r="Z87">
        <v>0.57412060301507539</v>
      </c>
      <c r="AC87">
        <v>0.63654999999999995</v>
      </c>
    </row>
    <row r="88" spans="1:29" x14ac:dyDescent="0.2">
      <c r="A88" t="str">
        <f t="shared" si="5"/>
        <v/>
      </c>
      <c r="B88" t="s">
        <v>203</v>
      </c>
      <c r="C88" t="str">
        <f>IF(ISNUMBER(MATCH(B88,$AD$2:$AD$27,0)),AC88,"")</f>
        <v/>
      </c>
      <c r="D88" t="str">
        <f>IF(ISNUMBER(C88),INDEX($U$2:$U$194, MATCH(B88,$T$2:$T$194,0)),"")</f>
        <v/>
      </c>
      <c r="H88" t="s">
        <v>338</v>
      </c>
      <c r="I88">
        <v>0.50680000000000003</v>
      </c>
      <c r="K88" t="s">
        <v>203</v>
      </c>
      <c r="L88">
        <v>0.62200999999999995</v>
      </c>
      <c r="N88" t="s">
        <v>204</v>
      </c>
      <c r="O88">
        <v>0.71738999999999997</v>
      </c>
      <c r="Q88" t="s">
        <v>234</v>
      </c>
      <c r="R88">
        <v>0.81694999999999995</v>
      </c>
      <c r="T88" t="s">
        <v>201</v>
      </c>
      <c r="U88" s="5">
        <v>11870</v>
      </c>
      <c r="V88">
        <v>12.3</v>
      </c>
      <c r="W88">
        <v>88</v>
      </c>
      <c r="X88">
        <v>0.57788944723618085</v>
      </c>
      <c r="Y88">
        <v>88</v>
      </c>
      <c r="Z88">
        <v>0.57788944723618085</v>
      </c>
      <c r="AC88">
        <v>0.62200999999999995</v>
      </c>
    </row>
    <row r="89" spans="1:29" x14ac:dyDescent="0.2">
      <c r="A89" t="str">
        <f t="shared" si="5"/>
        <v/>
      </c>
      <c r="B89" t="s">
        <v>248</v>
      </c>
      <c r="C89" t="str">
        <f>IF(ISNUMBER(MATCH(B89,$AD$2:$AD$27,0)),AC89,"")</f>
        <v/>
      </c>
      <c r="D89" t="str">
        <f>IF(ISNUMBER(C89),INDEX($U$2:$U$194, MATCH(B89,$T$2:$T$194,0)),"")</f>
        <v/>
      </c>
      <c r="H89" t="s">
        <v>297</v>
      </c>
      <c r="I89">
        <v>0.49320000000000003</v>
      </c>
      <c r="K89" t="s">
        <v>248</v>
      </c>
      <c r="L89">
        <v>0.60836999999999997</v>
      </c>
      <c r="N89" t="s">
        <v>207</v>
      </c>
      <c r="O89">
        <v>0.71480999999999995</v>
      </c>
      <c r="Q89" t="s">
        <v>261</v>
      </c>
      <c r="R89">
        <v>0.81289999999999996</v>
      </c>
      <c r="T89" t="s">
        <v>206</v>
      </c>
      <c r="U89" s="8" t="s">
        <v>118</v>
      </c>
      <c r="V89">
        <v>0.08</v>
      </c>
      <c r="W89">
        <v>89</v>
      </c>
      <c r="X89">
        <v>0.58165829145728642</v>
      </c>
      <c r="Y89">
        <v>89</v>
      </c>
      <c r="Z89">
        <v>0.58165829145728642</v>
      </c>
      <c r="AC89">
        <v>0.60836999999999997</v>
      </c>
    </row>
    <row r="90" spans="1:29" x14ac:dyDescent="0.2">
      <c r="A90" t="str">
        <f t="shared" si="5"/>
        <v/>
      </c>
      <c r="B90" t="s">
        <v>187</v>
      </c>
      <c r="C90" t="str">
        <f>IF(ISNUMBER(MATCH(B90,$AD$2:$AD$27,0)),AC90,"")</f>
        <v/>
      </c>
      <c r="D90" t="str">
        <f>IF(ISNUMBER(C90),INDEX($U$2:$U$194, MATCH(B90,$T$2:$T$194,0)),"")</f>
        <v/>
      </c>
      <c r="H90" t="s">
        <v>176</v>
      </c>
      <c r="I90">
        <v>0.49320000000000003</v>
      </c>
      <c r="K90" t="s">
        <v>187</v>
      </c>
      <c r="L90">
        <v>0.60723000000000005</v>
      </c>
      <c r="N90" t="s">
        <v>210</v>
      </c>
      <c r="O90">
        <v>0.71148999999999996</v>
      </c>
      <c r="Q90" t="s">
        <v>168</v>
      </c>
      <c r="R90">
        <v>0.81179999999999997</v>
      </c>
      <c r="T90" t="s">
        <v>209</v>
      </c>
      <c r="U90" s="5">
        <v>11980</v>
      </c>
      <c r="V90">
        <v>11.1</v>
      </c>
      <c r="W90">
        <v>90</v>
      </c>
      <c r="X90">
        <v>0.585427135678392</v>
      </c>
      <c r="Y90">
        <v>90</v>
      </c>
      <c r="Z90">
        <v>0.585427135678392</v>
      </c>
      <c r="AC90">
        <v>0.60723000000000005</v>
      </c>
    </row>
    <row r="91" spans="1:29" x14ac:dyDescent="0.2">
      <c r="A91" t="str">
        <f t="shared" si="5"/>
        <v/>
      </c>
      <c r="B91" t="s">
        <v>319</v>
      </c>
      <c r="C91" t="str">
        <f>IF(ISNUMBER(MATCH(B91,$AD$2:$AD$27,0)),AC91,"")</f>
        <v/>
      </c>
      <c r="D91" t="str">
        <f>IF(ISNUMBER(C91),INDEX($U$2:$U$194, MATCH(B91,$T$2:$T$194,0)),"")</f>
        <v/>
      </c>
      <c r="H91" t="s">
        <v>185</v>
      </c>
      <c r="I91">
        <v>0.49320000000000003</v>
      </c>
      <c r="K91" t="s">
        <v>319</v>
      </c>
      <c r="L91">
        <v>0.60690999999999995</v>
      </c>
      <c r="N91" t="s">
        <v>30</v>
      </c>
      <c r="O91">
        <v>0.71135000000000004</v>
      </c>
      <c r="Q91" t="s">
        <v>122</v>
      </c>
      <c r="R91">
        <v>0.80781999999999998</v>
      </c>
      <c r="T91" t="s">
        <v>211</v>
      </c>
      <c r="U91" s="5">
        <v>9230</v>
      </c>
      <c r="V91">
        <v>37.799999999999997</v>
      </c>
      <c r="W91">
        <v>91</v>
      </c>
      <c r="X91">
        <v>0.58919597989949746</v>
      </c>
      <c r="Y91">
        <v>91</v>
      </c>
      <c r="Z91">
        <v>0.58919597989949746</v>
      </c>
      <c r="AC91">
        <v>0.60690999999999995</v>
      </c>
    </row>
    <row r="92" spans="1:29" x14ac:dyDescent="0.2">
      <c r="A92" t="str">
        <f t="shared" si="5"/>
        <v/>
      </c>
      <c r="B92" t="s">
        <v>199</v>
      </c>
      <c r="C92" t="str">
        <f>IF(ISNUMBER(MATCH(B92,$AD$2:$AD$27,0)),AC92,"")</f>
        <v/>
      </c>
      <c r="D92" t="str">
        <f>IF(ISNUMBER(C92),INDEX($U$2:$U$194, MATCH(B92,$T$2:$T$194,0)),"")</f>
        <v/>
      </c>
      <c r="H92" t="s">
        <v>234</v>
      </c>
      <c r="I92">
        <v>0.49320000000000003</v>
      </c>
      <c r="K92" t="s">
        <v>199</v>
      </c>
      <c r="L92">
        <v>0.59989000000000003</v>
      </c>
      <c r="N92" t="s">
        <v>173</v>
      </c>
      <c r="O92">
        <v>0.70931999999999995</v>
      </c>
      <c r="Q92" t="s">
        <v>130</v>
      </c>
      <c r="R92">
        <v>0.80684999999999996</v>
      </c>
      <c r="T92" t="s">
        <v>213</v>
      </c>
      <c r="U92" s="5">
        <v>17450</v>
      </c>
      <c r="V92">
        <v>0.3</v>
      </c>
      <c r="W92">
        <v>92</v>
      </c>
      <c r="X92">
        <v>0.59296482412060303</v>
      </c>
      <c r="Y92">
        <v>92</v>
      </c>
      <c r="Z92">
        <v>0.59296482412060303</v>
      </c>
      <c r="AC92">
        <v>0.59989000000000003</v>
      </c>
    </row>
    <row r="93" spans="1:29" x14ac:dyDescent="0.2">
      <c r="A93" t="str">
        <f t="shared" si="5"/>
        <v/>
      </c>
      <c r="B93" t="s">
        <v>228</v>
      </c>
      <c r="C93" t="str">
        <f>IF(ISNUMBER(MATCH(B93,$AD$2:$AD$27,0)),AC93,"")</f>
        <v/>
      </c>
      <c r="D93" t="str">
        <f>IF(ISNUMBER(C93),INDEX($U$2:$U$194, MATCH(B93,$T$2:$T$194,0)),"")</f>
        <v/>
      </c>
      <c r="H93" t="s">
        <v>203</v>
      </c>
      <c r="I93">
        <v>0.47949999999999998</v>
      </c>
      <c r="K93" t="s">
        <v>228</v>
      </c>
      <c r="L93">
        <v>0.59869000000000006</v>
      </c>
      <c r="N93" t="s">
        <v>21</v>
      </c>
      <c r="O93">
        <v>0.70830000000000004</v>
      </c>
      <c r="Q93" t="s">
        <v>165</v>
      </c>
      <c r="R93">
        <v>0.80654000000000003</v>
      </c>
      <c r="T93" t="s">
        <v>214</v>
      </c>
      <c r="U93" s="5">
        <v>26320</v>
      </c>
      <c r="V93">
        <v>0.1</v>
      </c>
      <c r="W93">
        <v>93</v>
      </c>
      <c r="X93">
        <v>0.5967336683417086</v>
      </c>
      <c r="Y93">
        <v>93</v>
      </c>
      <c r="Z93">
        <v>0.5967336683417086</v>
      </c>
      <c r="AC93">
        <v>0.59869000000000006</v>
      </c>
    </row>
    <row r="94" spans="1:29" x14ac:dyDescent="0.2">
      <c r="A94" t="str">
        <f t="shared" si="5"/>
        <v/>
      </c>
      <c r="B94" t="s">
        <v>201</v>
      </c>
      <c r="C94" t="str">
        <f>IF(ISNUMBER(MATCH(B94,$AD$2:$AD$27,0)),AC94,"")</f>
        <v/>
      </c>
      <c r="D94" t="str">
        <f>IF(ISNUMBER(C94),INDEX($U$2:$U$194, MATCH(B94,$T$2:$T$194,0)),"")</f>
        <v/>
      </c>
      <c r="H94" t="s">
        <v>137</v>
      </c>
      <c r="I94">
        <v>0.47949999999999998</v>
      </c>
      <c r="K94" t="s">
        <v>201</v>
      </c>
      <c r="L94">
        <v>0.59506999999999999</v>
      </c>
      <c r="N94" t="s">
        <v>159</v>
      </c>
      <c r="O94">
        <v>0.70609999999999995</v>
      </c>
      <c r="Q94" t="s">
        <v>191</v>
      </c>
      <c r="R94">
        <v>0.79468000000000005</v>
      </c>
      <c r="T94" t="s">
        <v>216</v>
      </c>
      <c r="U94" s="5">
        <v>12080</v>
      </c>
      <c r="V94">
        <v>0.9</v>
      </c>
      <c r="W94">
        <v>94</v>
      </c>
      <c r="X94">
        <v>0.60050251256281406</v>
      </c>
      <c r="Y94">
        <v>94</v>
      </c>
      <c r="Z94">
        <v>0.60050251256281406</v>
      </c>
      <c r="AC94">
        <v>0.59506999999999999</v>
      </c>
    </row>
    <row r="95" spans="1:29" x14ac:dyDescent="0.2">
      <c r="A95" t="str">
        <f t="shared" si="5"/>
        <v/>
      </c>
      <c r="B95" t="s">
        <v>181</v>
      </c>
      <c r="C95" t="str">
        <f>IF(ISNUMBER(MATCH(B95,$AD$2:$AD$27,0)),AC95,"")</f>
        <v/>
      </c>
      <c r="D95" t="str">
        <f>IF(ISNUMBER(C95),INDEX($U$2:$U$194, MATCH(B95,$T$2:$T$194,0)),"")</f>
        <v/>
      </c>
      <c r="H95" t="s">
        <v>187</v>
      </c>
      <c r="I95">
        <v>0.46579999999999999</v>
      </c>
      <c r="K95" t="s">
        <v>181</v>
      </c>
      <c r="L95">
        <v>0.59031999999999996</v>
      </c>
      <c r="N95" t="s">
        <v>217</v>
      </c>
      <c r="O95">
        <v>0.70599999999999996</v>
      </c>
      <c r="Q95" t="s">
        <v>239</v>
      </c>
      <c r="R95">
        <v>0.79425999999999997</v>
      </c>
      <c r="T95" t="s">
        <v>203</v>
      </c>
      <c r="U95" s="5">
        <v>19150</v>
      </c>
      <c r="V95">
        <v>0.5</v>
      </c>
      <c r="W95">
        <v>95</v>
      </c>
      <c r="X95">
        <v>0.60427135678391952</v>
      </c>
      <c r="Y95">
        <v>95</v>
      </c>
      <c r="Z95">
        <v>0.60427135678391952</v>
      </c>
      <c r="AC95">
        <v>0.59031999999999996</v>
      </c>
    </row>
    <row r="96" spans="1:29" x14ac:dyDescent="0.2">
      <c r="A96" t="str">
        <f t="shared" si="5"/>
        <v/>
      </c>
      <c r="B96" t="s">
        <v>234</v>
      </c>
      <c r="C96" t="str">
        <f>IF(ISNUMBER(MATCH(B96,$AD$2:$AD$27,0)),AC96,"")</f>
        <v/>
      </c>
      <c r="D96" t="str">
        <f>IF(ISNUMBER(C96),INDEX($U$2:$U$194, MATCH(B96,$T$2:$T$194,0)),"")</f>
        <v/>
      </c>
      <c r="H96" t="s">
        <v>278</v>
      </c>
      <c r="I96">
        <v>0.46579999999999999</v>
      </c>
      <c r="K96" t="s">
        <v>234</v>
      </c>
      <c r="L96">
        <v>0.58862000000000003</v>
      </c>
      <c r="N96" t="s">
        <v>182</v>
      </c>
      <c r="O96">
        <v>0.70233000000000001</v>
      </c>
      <c r="Q96" t="s">
        <v>225</v>
      </c>
      <c r="R96">
        <v>0.79359000000000002</v>
      </c>
      <c r="T96" t="s">
        <v>218</v>
      </c>
      <c r="U96" s="5">
        <v>14000</v>
      </c>
      <c r="V96">
        <v>110.9</v>
      </c>
      <c r="W96">
        <v>96</v>
      </c>
      <c r="X96">
        <v>0.6080402010050252</v>
      </c>
      <c r="Y96">
        <v>96</v>
      </c>
      <c r="Z96">
        <v>0.6080402010050252</v>
      </c>
      <c r="AC96">
        <v>0.58862000000000003</v>
      </c>
    </row>
    <row r="97" spans="1:29" x14ac:dyDescent="0.2">
      <c r="A97" t="str">
        <f t="shared" si="5"/>
        <v/>
      </c>
      <c r="B97" t="s">
        <v>179</v>
      </c>
      <c r="C97" t="str">
        <f>IF(ISNUMBER(MATCH(B97,$AD$2:$AD$27,0)),AC97,"")</f>
        <v/>
      </c>
      <c r="D97" t="str">
        <f>IF(ISNUMBER(C97),INDEX($U$2:$U$194, MATCH(B97,$T$2:$T$194,0)),"")</f>
        <v/>
      </c>
      <c r="H97" t="s">
        <v>179</v>
      </c>
      <c r="I97">
        <v>0.46579999999999999</v>
      </c>
      <c r="K97" t="s">
        <v>179</v>
      </c>
      <c r="L97">
        <v>0.58020000000000005</v>
      </c>
      <c r="N97" t="s">
        <v>45</v>
      </c>
      <c r="O97">
        <v>0.69908999999999999</v>
      </c>
      <c r="Q97" t="s">
        <v>203</v>
      </c>
      <c r="R97">
        <v>0.78856000000000004</v>
      </c>
      <c r="T97" t="s">
        <v>221</v>
      </c>
      <c r="U97" s="5">
        <v>10990</v>
      </c>
      <c r="V97">
        <v>2.8</v>
      </c>
      <c r="W97">
        <v>97</v>
      </c>
      <c r="X97">
        <v>0.61180904522613067</v>
      </c>
      <c r="Y97">
        <v>97</v>
      </c>
      <c r="Z97">
        <v>0.61180904522613067</v>
      </c>
      <c r="AC97">
        <v>0.58020000000000005</v>
      </c>
    </row>
    <row r="98" spans="1:29" x14ac:dyDescent="0.2">
      <c r="A98" t="str">
        <f t="shared" si="5"/>
        <v/>
      </c>
      <c r="B98" t="s">
        <v>185</v>
      </c>
      <c r="C98" t="str">
        <f>IF(ISNUMBER(MATCH(B98,$AD$2:$AD$27,0)),AC98,"")</f>
        <v/>
      </c>
      <c r="D98" t="str">
        <f>IF(ISNUMBER(C98),INDEX($U$2:$U$194, MATCH(B98,$T$2:$T$194,0)),"")</f>
        <v/>
      </c>
      <c r="H98" t="s">
        <v>272</v>
      </c>
      <c r="I98">
        <v>0.46579999999999999</v>
      </c>
      <c r="K98" t="s">
        <v>185</v>
      </c>
      <c r="L98">
        <v>0.57598000000000005</v>
      </c>
      <c r="N98" t="s">
        <v>223</v>
      </c>
      <c r="O98">
        <v>0.69557000000000002</v>
      </c>
      <c r="Q98" t="s">
        <v>224</v>
      </c>
      <c r="R98">
        <v>0.78510999999999997</v>
      </c>
      <c r="T98" t="s">
        <v>222</v>
      </c>
      <c r="U98" s="5">
        <v>7130</v>
      </c>
      <c r="V98" s="7">
        <v>1417.2</v>
      </c>
      <c r="W98">
        <v>98</v>
      </c>
      <c r="X98">
        <v>0.61557788944723613</v>
      </c>
      <c r="Y98">
        <v>98</v>
      </c>
      <c r="Z98">
        <v>0.61557788944723613</v>
      </c>
      <c r="AC98">
        <v>0.57598000000000005</v>
      </c>
    </row>
    <row r="99" spans="1:29" x14ac:dyDescent="0.2">
      <c r="A99" t="str">
        <f t="shared" si="5"/>
        <v/>
      </c>
      <c r="B99" t="s">
        <v>221</v>
      </c>
      <c r="C99" t="str">
        <f>IF(ISNUMBER(MATCH(B99,$AD$2:$AD$27,0)),AC99,"")</f>
        <v/>
      </c>
      <c r="D99" t="str">
        <f>IF(ISNUMBER(C99),INDEX($U$2:$U$194, MATCH(B99,$T$2:$T$194,0)),"")</f>
        <v/>
      </c>
      <c r="H99" t="s">
        <v>284</v>
      </c>
      <c r="I99">
        <v>0.46579999999999999</v>
      </c>
      <c r="K99" t="s">
        <v>221</v>
      </c>
      <c r="L99">
        <v>0.56772</v>
      </c>
      <c r="N99" t="s">
        <v>227</v>
      </c>
      <c r="O99">
        <v>0.69316</v>
      </c>
      <c r="Q99" t="s">
        <v>245</v>
      </c>
      <c r="R99">
        <v>0.77627999999999997</v>
      </c>
      <c r="T99" t="s">
        <v>225</v>
      </c>
      <c r="U99" s="5">
        <v>12570</v>
      </c>
      <c r="V99">
        <v>21.5</v>
      </c>
      <c r="W99">
        <v>99</v>
      </c>
      <c r="X99">
        <v>0.6193467336683417</v>
      </c>
      <c r="Y99">
        <v>99</v>
      </c>
      <c r="Z99">
        <v>0.6193467336683417</v>
      </c>
      <c r="AC99">
        <v>0.56772</v>
      </c>
    </row>
    <row r="100" spans="1:29" x14ac:dyDescent="0.2">
      <c r="A100" t="str">
        <f t="shared" si="5"/>
        <v/>
      </c>
      <c r="B100" t="s">
        <v>95</v>
      </c>
      <c r="C100" t="str">
        <f>IF(ISNUMBER(MATCH(B100,$AD$2:$AD$27,0)),AC100,"")</f>
        <v/>
      </c>
      <c r="D100" t="str">
        <f>IF(ISNUMBER(C100),INDEX($U$2:$U$194, MATCH(B100,$T$2:$T$194,0)),"")</f>
        <v/>
      </c>
      <c r="H100" t="s">
        <v>341</v>
      </c>
      <c r="I100">
        <v>0.4521</v>
      </c>
      <c r="K100" t="s">
        <v>95</v>
      </c>
      <c r="L100">
        <v>0.56521999999999994</v>
      </c>
      <c r="N100" t="s">
        <v>215</v>
      </c>
      <c r="O100">
        <v>0.68764999999999998</v>
      </c>
      <c r="Q100" t="s">
        <v>151</v>
      </c>
      <c r="R100">
        <v>0.77497000000000005</v>
      </c>
      <c r="T100" t="s">
        <v>228</v>
      </c>
      <c r="U100" s="5">
        <v>8550</v>
      </c>
      <c r="V100">
        <v>12.1</v>
      </c>
      <c r="W100">
        <v>100</v>
      </c>
      <c r="X100">
        <v>0.62311557788944727</v>
      </c>
      <c r="Y100">
        <v>100</v>
      </c>
      <c r="Z100">
        <v>0.62311557788944727</v>
      </c>
      <c r="AC100">
        <v>0.56521999999999994</v>
      </c>
    </row>
    <row r="101" spans="1:29" x14ac:dyDescent="0.2">
      <c r="A101" t="str">
        <f t="shared" si="5"/>
        <v/>
      </c>
      <c r="B101" t="s">
        <v>211</v>
      </c>
      <c r="C101" t="str">
        <f>IF(ISNUMBER(MATCH(B101,$AD$2:$AD$27,0)),AC101,"")</f>
        <v/>
      </c>
      <c r="D101" t="str">
        <f>IF(ISNUMBER(C101),INDEX($U$2:$U$194, MATCH(B101,$T$2:$T$194,0)),"")</f>
        <v/>
      </c>
      <c r="H101" t="s">
        <v>339</v>
      </c>
      <c r="I101">
        <v>0.4521</v>
      </c>
      <c r="K101" t="s">
        <v>211</v>
      </c>
      <c r="L101">
        <v>0.56184000000000001</v>
      </c>
      <c r="N101" t="s">
        <v>186</v>
      </c>
      <c r="O101">
        <v>0.68662999999999996</v>
      </c>
      <c r="Q101" t="s">
        <v>199</v>
      </c>
      <c r="R101">
        <v>0.77454000000000001</v>
      </c>
      <c r="T101" t="s">
        <v>230</v>
      </c>
      <c r="U101" s="5">
        <v>6530</v>
      </c>
      <c r="V101">
        <v>171.2</v>
      </c>
      <c r="W101">
        <v>101</v>
      </c>
      <c r="X101">
        <v>0.62688442211055273</v>
      </c>
      <c r="Y101">
        <v>101</v>
      </c>
      <c r="Z101">
        <v>0.62688442211055273</v>
      </c>
      <c r="AC101">
        <v>0.56184000000000001</v>
      </c>
    </row>
    <row r="102" spans="1:29" x14ac:dyDescent="0.2">
      <c r="A102" t="str">
        <f t="shared" si="5"/>
        <v/>
      </c>
      <c r="B102" t="s">
        <v>225</v>
      </c>
      <c r="C102" t="str">
        <f>IF(ISNUMBER(MATCH(B102,$AD$2:$AD$27,0)),AC102,"")</f>
        <v/>
      </c>
      <c r="D102" t="str">
        <f>IF(ISNUMBER(C102),INDEX($U$2:$U$194, MATCH(B102,$T$2:$T$194,0)),"")</f>
        <v/>
      </c>
      <c r="H102" t="s">
        <v>201</v>
      </c>
      <c r="I102">
        <v>0.4521</v>
      </c>
      <c r="K102" t="s">
        <v>225</v>
      </c>
      <c r="L102">
        <v>0.54937000000000002</v>
      </c>
      <c r="N102" t="s">
        <v>155</v>
      </c>
      <c r="O102">
        <v>0.67688000000000004</v>
      </c>
      <c r="Q102" t="s">
        <v>267</v>
      </c>
      <c r="R102">
        <v>0.76529000000000003</v>
      </c>
      <c r="T102" t="s">
        <v>143</v>
      </c>
      <c r="U102" s="5">
        <v>16790</v>
      </c>
      <c r="V102">
        <v>88.6</v>
      </c>
      <c r="W102">
        <v>102</v>
      </c>
      <c r="X102">
        <v>0.6306532663316583</v>
      </c>
      <c r="Y102">
        <v>102</v>
      </c>
      <c r="Z102">
        <v>0.6306532663316583</v>
      </c>
      <c r="AC102">
        <v>0.54937000000000002</v>
      </c>
    </row>
    <row r="103" spans="1:29" x14ac:dyDescent="0.2">
      <c r="A103" t="str">
        <f t="shared" si="5"/>
        <v/>
      </c>
      <c r="B103" t="s">
        <v>195</v>
      </c>
      <c r="C103" t="str">
        <f>IF(ISNUMBER(MATCH(B103,$AD$2:$AD$27,0)),AC103,"")</f>
        <v/>
      </c>
      <c r="D103" t="str">
        <f>IF(ISNUMBER(C103),INDEX($U$2:$U$194, MATCH(B103,$T$2:$T$194,0)),"")</f>
        <v/>
      </c>
      <c r="H103" t="s">
        <v>221</v>
      </c>
      <c r="I103">
        <v>0.43840000000000001</v>
      </c>
      <c r="K103" t="s">
        <v>195</v>
      </c>
      <c r="L103">
        <v>0.54020999999999997</v>
      </c>
      <c r="N103" t="s">
        <v>112</v>
      </c>
      <c r="O103">
        <v>0.66683999999999999</v>
      </c>
      <c r="Q103" t="s">
        <v>213</v>
      </c>
      <c r="R103">
        <v>0.76239999999999997</v>
      </c>
      <c r="T103" t="s">
        <v>233</v>
      </c>
      <c r="U103" s="5" t="s">
        <v>118</v>
      </c>
      <c r="V103">
        <v>0.03</v>
      </c>
      <c r="W103">
        <v>103</v>
      </c>
      <c r="X103">
        <v>0.63442211055276387</v>
      </c>
      <c r="Y103">
        <v>103</v>
      </c>
      <c r="Z103">
        <v>0.63442211055276387</v>
      </c>
      <c r="AC103">
        <v>0.54020999999999997</v>
      </c>
    </row>
    <row r="104" spans="1:29" x14ac:dyDescent="0.2">
      <c r="A104" t="str">
        <f t="shared" si="5"/>
        <v/>
      </c>
      <c r="B104" t="s">
        <v>311</v>
      </c>
      <c r="C104" t="str">
        <f>IF(ISNUMBER(MATCH(B104,$AD$2:$AD$27,0)),AC104,"")</f>
        <v/>
      </c>
      <c r="D104" t="str">
        <f>IF(ISNUMBER(C104),INDEX($U$2:$U$194, MATCH(B104,$T$2:$T$194,0)),"")</f>
        <v/>
      </c>
      <c r="H104" t="s">
        <v>211</v>
      </c>
      <c r="I104">
        <v>0.43840000000000001</v>
      </c>
      <c r="K104" t="s">
        <v>311</v>
      </c>
      <c r="L104">
        <v>0.53718999999999995</v>
      </c>
      <c r="N104" t="s">
        <v>236</v>
      </c>
      <c r="O104">
        <v>0.66137000000000001</v>
      </c>
      <c r="Q104" t="s">
        <v>268</v>
      </c>
      <c r="R104">
        <v>0.76093999999999995</v>
      </c>
      <c r="T104" t="s">
        <v>234</v>
      </c>
      <c r="U104" s="5">
        <v>10840</v>
      </c>
      <c r="V104">
        <v>0.8</v>
      </c>
      <c r="W104">
        <v>104</v>
      </c>
      <c r="X104">
        <v>0.63819095477386933</v>
      </c>
      <c r="Y104">
        <v>104</v>
      </c>
      <c r="Z104">
        <v>0.63819095477386933</v>
      </c>
      <c r="AC104">
        <v>0.53718999999999995</v>
      </c>
    </row>
    <row r="105" spans="1:29" x14ac:dyDescent="0.2">
      <c r="A105" t="str">
        <f t="shared" si="5"/>
        <v/>
      </c>
      <c r="B105" t="s">
        <v>216</v>
      </c>
      <c r="C105" t="str">
        <f>IF(ISNUMBER(MATCH(B105,$AD$2:$AD$27,0)),AC105,"")</f>
        <v/>
      </c>
      <c r="D105" t="str">
        <f>IF(ISNUMBER(C105),INDEX($U$2:$U$194, MATCH(B105,$T$2:$T$194,0)),"")</f>
        <v/>
      </c>
      <c r="H105" t="s">
        <v>319</v>
      </c>
      <c r="I105">
        <v>0.43840000000000001</v>
      </c>
      <c r="K105" t="s">
        <v>216</v>
      </c>
      <c r="L105">
        <v>0.53430999999999995</v>
      </c>
      <c r="N105" t="s">
        <v>99</v>
      </c>
      <c r="O105">
        <v>0.65866000000000002</v>
      </c>
      <c r="Q105" t="s">
        <v>175</v>
      </c>
      <c r="R105">
        <v>0.75544</v>
      </c>
      <c r="T105" t="s">
        <v>238</v>
      </c>
      <c r="U105" s="5">
        <v>17460</v>
      </c>
      <c r="V105">
        <v>0.1</v>
      </c>
      <c r="W105">
        <v>105</v>
      </c>
      <c r="X105">
        <v>0.64195979899497491</v>
      </c>
      <c r="Y105">
        <v>105</v>
      </c>
      <c r="Z105">
        <v>0.64195979899497491</v>
      </c>
      <c r="AC105">
        <v>0.53430999999999995</v>
      </c>
    </row>
    <row r="106" spans="1:29" x14ac:dyDescent="0.2">
      <c r="A106" t="str">
        <f t="shared" si="5"/>
        <v/>
      </c>
      <c r="B106" t="s">
        <v>240</v>
      </c>
      <c r="C106" t="str">
        <f>IF(ISNUMBER(MATCH(B106,$AD$2:$AD$27,0)),AC106,"")</f>
        <v/>
      </c>
      <c r="D106" t="str">
        <f>IF(ISNUMBER(C106),INDEX($U$2:$U$194, MATCH(B106,$T$2:$T$194,0)),"")</f>
        <v/>
      </c>
      <c r="H106" t="s">
        <v>228</v>
      </c>
      <c r="I106">
        <v>0.42470000000000002</v>
      </c>
      <c r="K106" t="s">
        <v>240</v>
      </c>
      <c r="L106">
        <v>0.52193999999999996</v>
      </c>
      <c r="N106" t="s">
        <v>220</v>
      </c>
      <c r="O106">
        <v>0.65703999999999996</v>
      </c>
      <c r="Q106" t="s">
        <v>182</v>
      </c>
      <c r="R106">
        <v>0.75458999999999998</v>
      </c>
      <c r="T106" t="s">
        <v>239</v>
      </c>
      <c r="U106" s="5">
        <v>21840</v>
      </c>
      <c r="V106">
        <v>0.1</v>
      </c>
      <c r="W106">
        <v>106</v>
      </c>
      <c r="X106">
        <v>0.64572864321608037</v>
      </c>
      <c r="Y106">
        <v>106</v>
      </c>
      <c r="Z106">
        <v>0.64572864321608037</v>
      </c>
      <c r="AC106">
        <v>0.52193999999999996</v>
      </c>
    </row>
    <row r="107" spans="1:29" x14ac:dyDescent="0.2">
      <c r="A107" t="str">
        <f t="shared" si="5"/>
        <v/>
      </c>
      <c r="B107" t="s">
        <v>115</v>
      </c>
      <c r="C107" t="str">
        <f>IF(ISNUMBER(MATCH(B107,$AD$2:$AD$27,0)),AC107,"")</f>
        <v/>
      </c>
      <c r="D107" t="str">
        <f>IF(ISNUMBER(C107),INDEX($U$2:$U$194, MATCH(B107,$T$2:$T$194,0)),"")</f>
        <v/>
      </c>
      <c r="H107" t="s">
        <v>329</v>
      </c>
      <c r="I107">
        <v>0.42470000000000002</v>
      </c>
      <c r="K107" t="s">
        <v>115</v>
      </c>
      <c r="L107">
        <v>0.52141999999999999</v>
      </c>
      <c r="N107" t="s">
        <v>243</v>
      </c>
      <c r="O107">
        <v>0.65305000000000002</v>
      </c>
      <c r="Q107" t="s">
        <v>259</v>
      </c>
      <c r="R107">
        <v>0.75263999999999998</v>
      </c>
      <c r="T107" t="s">
        <v>241</v>
      </c>
      <c r="U107" s="5">
        <v>15120</v>
      </c>
      <c r="V107">
        <v>0.6</v>
      </c>
      <c r="W107">
        <v>107</v>
      </c>
      <c r="X107">
        <v>0.64949748743718594</v>
      </c>
      <c r="Y107">
        <v>107</v>
      </c>
      <c r="Z107">
        <v>0.64949748743718594</v>
      </c>
      <c r="AC107">
        <v>0.52141999999999999</v>
      </c>
    </row>
    <row r="108" spans="1:29" x14ac:dyDescent="0.2">
      <c r="A108" t="str">
        <f t="shared" si="5"/>
        <v/>
      </c>
      <c r="B108" t="s">
        <v>313</v>
      </c>
      <c r="C108" t="str">
        <f>IF(ISNUMBER(MATCH(B108,$AD$2:$AD$27,0)),AC108,"")</f>
        <v/>
      </c>
      <c r="D108" t="str">
        <f>IF(ISNUMBER(C108),INDEX($U$2:$U$194, MATCH(B108,$T$2:$T$194,0)),"")</f>
        <v/>
      </c>
      <c r="H108" t="s">
        <v>295</v>
      </c>
      <c r="I108">
        <v>0.42470000000000002</v>
      </c>
      <c r="K108" t="s">
        <v>313</v>
      </c>
      <c r="L108">
        <v>0.52015999999999996</v>
      </c>
      <c r="N108" t="s">
        <v>192</v>
      </c>
      <c r="O108">
        <v>0.64964999999999995</v>
      </c>
      <c r="Q108" t="s">
        <v>216</v>
      </c>
      <c r="R108">
        <v>0.75066999999999995</v>
      </c>
      <c r="T108" t="s">
        <v>245</v>
      </c>
      <c r="U108" s="5">
        <v>17650</v>
      </c>
      <c r="V108">
        <v>3.2</v>
      </c>
      <c r="W108">
        <v>108</v>
      </c>
      <c r="X108">
        <v>0.6532663316582914</v>
      </c>
      <c r="Y108">
        <v>108</v>
      </c>
      <c r="Z108">
        <v>0.6532663316582914</v>
      </c>
      <c r="AC108">
        <v>0.52015999999999996</v>
      </c>
    </row>
    <row r="109" spans="1:29" x14ac:dyDescent="0.2">
      <c r="A109" t="str">
        <f t="shared" si="5"/>
        <v/>
      </c>
      <c r="B109" t="s">
        <v>259</v>
      </c>
      <c r="C109" t="str">
        <f>IF(ISNUMBER(MATCH(B109,$AD$2:$AD$27,0)),AC109,"")</f>
        <v/>
      </c>
      <c r="D109" t="str">
        <f>IF(ISNUMBER(C109),INDEX($U$2:$U$194, MATCH(B109,$T$2:$T$194,0)),"")</f>
        <v/>
      </c>
      <c r="H109" t="s">
        <v>181</v>
      </c>
      <c r="I109">
        <v>0.41099999999999998</v>
      </c>
      <c r="K109" t="s">
        <v>259</v>
      </c>
      <c r="L109">
        <v>0.50897000000000003</v>
      </c>
      <c r="N109" t="s">
        <v>154</v>
      </c>
      <c r="O109">
        <v>0.64578999999999998</v>
      </c>
      <c r="Q109" t="s">
        <v>197</v>
      </c>
      <c r="R109">
        <v>0.74439999999999995</v>
      </c>
      <c r="T109" t="s">
        <v>248</v>
      </c>
      <c r="U109" s="5">
        <v>6220</v>
      </c>
      <c r="V109">
        <v>32.799999999999997</v>
      </c>
      <c r="W109">
        <v>109</v>
      </c>
      <c r="X109">
        <v>0.65703517587939697</v>
      </c>
      <c r="Y109">
        <v>109</v>
      </c>
      <c r="Z109">
        <v>0.65703517587939697</v>
      </c>
      <c r="AC109">
        <v>0.50897000000000003</v>
      </c>
    </row>
    <row r="110" spans="1:29" x14ac:dyDescent="0.2">
      <c r="A110" t="str">
        <f t="shared" si="5"/>
        <v/>
      </c>
      <c r="B110" t="s">
        <v>238</v>
      </c>
      <c r="C110" t="str">
        <f>IF(ISNUMBER(MATCH(B110,$AD$2:$AD$27,0)),AC110,"")</f>
        <v/>
      </c>
      <c r="D110" t="str">
        <f>IF(ISNUMBER(C110),INDEX($U$2:$U$194, MATCH(B110,$T$2:$T$194,0)),"")</f>
        <v/>
      </c>
      <c r="H110" t="s">
        <v>240</v>
      </c>
      <c r="I110">
        <v>0.41099999999999998</v>
      </c>
      <c r="K110" t="s">
        <v>238</v>
      </c>
      <c r="L110">
        <v>0.50555000000000005</v>
      </c>
      <c r="N110" t="s">
        <v>250</v>
      </c>
      <c r="O110">
        <v>0.64531000000000005</v>
      </c>
      <c r="Q110" t="s">
        <v>295</v>
      </c>
      <c r="R110">
        <v>0.73285</v>
      </c>
      <c r="T110" t="s">
        <v>249</v>
      </c>
      <c r="U110" s="5">
        <v>5150</v>
      </c>
      <c r="V110">
        <v>54</v>
      </c>
      <c r="W110">
        <v>110</v>
      </c>
      <c r="X110">
        <v>0.66080402010050254</v>
      </c>
      <c r="Y110">
        <v>110</v>
      </c>
      <c r="Z110">
        <v>0.66080402010050254</v>
      </c>
      <c r="AC110">
        <v>0.50555000000000005</v>
      </c>
    </row>
    <row r="111" spans="1:29" x14ac:dyDescent="0.2">
      <c r="A111" t="str">
        <f t="shared" si="5"/>
        <v/>
      </c>
      <c r="B111" t="s">
        <v>245</v>
      </c>
      <c r="C111" t="str">
        <f>IF(ISNUMBER(MATCH(B111,$AD$2:$AD$27,0)),AC111,"")</f>
        <v/>
      </c>
      <c r="D111" t="str">
        <f>IF(ISNUMBER(C111),INDEX($U$2:$U$194, MATCH(B111,$T$2:$T$194,0)),"")</f>
        <v/>
      </c>
      <c r="H111" t="s">
        <v>225</v>
      </c>
      <c r="I111">
        <v>0.41099999999999998</v>
      </c>
      <c r="K111" t="s">
        <v>245</v>
      </c>
      <c r="L111">
        <v>0.50027999999999995</v>
      </c>
      <c r="N111" t="s">
        <v>208</v>
      </c>
      <c r="O111">
        <v>0.64178999999999997</v>
      </c>
      <c r="Q111" t="s">
        <v>221</v>
      </c>
      <c r="R111">
        <v>0.72963</v>
      </c>
      <c r="T111" t="s">
        <v>251</v>
      </c>
      <c r="U111" s="5">
        <v>25940</v>
      </c>
      <c r="V111">
        <v>0.05</v>
      </c>
      <c r="W111">
        <v>111</v>
      </c>
      <c r="X111">
        <v>0.664572864321608</v>
      </c>
      <c r="Y111">
        <v>111</v>
      </c>
      <c r="Z111">
        <v>0.664572864321608</v>
      </c>
      <c r="AC111">
        <v>0.50027999999999995</v>
      </c>
    </row>
    <row r="112" spans="1:29" x14ac:dyDescent="0.2">
      <c r="A112" t="str">
        <f t="shared" si="5"/>
        <v/>
      </c>
      <c r="B112" t="s">
        <v>258</v>
      </c>
      <c r="C112" t="str">
        <f>IF(ISNUMBER(MATCH(B112,$AD$2:$AD$27,0)),AC112,"")</f>
        <v/>
      </c>
      <c r="D112" t="str">
        <f>IF(ISNUMBER(C112),INDEX($U$2:$U$194, MATCH(B112,$T$2:$T$194,0)),"")</f>
        <v/>
      </c>
      <c r="H112" t="s">
        <v>285</v>
      </c>
      <c r="I112">
        <v>0.41099999999999998</v>
      </c>
      <c r="K112" t="s">
        <v>258</v>
      </c>
      <c r="L112">
        <v>0.49958000000000002</v>
      </c>
      <c r="N112" t="s">
        <v>255</v>
      </c>
      <c r="O112">
        <v>0.62690000000000001</v>
      </c>
      <c r="Q112" t="s">
        <v>258</v>
      </c>
      <c r="R112">
        <v>0.72879000000000005</v>
      </c>
      <c r="T112" t="s">
        <v>252</v>
      </c>
      <c r="U112" s="5">
        <v>7000</v>
      </c>
      <c r="V112">
        <v>0.6</v>
      </c>
      <c r="W112">
        <v>112</v>
      </c>
      <c r="X112">
        <v>0.66834170854271358</v>
      </c>
      <c r="Y112">
        <v>112</v>
      </c>
      <c r="Z112">
        <v>0.66834170854271358</v>
      </c>
      <c r="AC112">
        <v>0.49958000000000002</v>
      </c>
    </row>
    <row r="113" spans="1:29" x14ac:dyDescent="0.2">
      <c r="A113" t="str">
        <f t="shared" si="5"/>
        <v/>
      </c>
      <c r="B113" t="s">
        <v>213</v>
      </c>
      <c r="C113" t="str">
        <f>IF(ISNUMBER(MATCH(B113,$AD$2:$AD$27,0)),AC113,"")</f>
        <v/>
      </c>
      <c r="D113" t="str">
        <f>IF(ISNUMBER(C113),INDEX($U$2:$U$194, MATCH(B113,$T$2:$T$194,0)),"")</f>
        <v/>
      </c>
      <c r="H113" t="s">
        <v>216</v>
      </c>
      <c r="I113">
        <v>0.39729999999999999</v>
      </c>
      <c r="K113" t="s">
        <v>213</v>
      </c>
      <c r="L113">
        <v>0.49754999999999999</v>
      </c>
      <c r="N113" t="s">
        <v>253</v>
      </c>
      <c r="O113">
        <v>0.62251999999999996</v>
      </c>
      <c r="Q113" t="s">
        <v>248</v>
      </c>
      <c r="R113">
        <v>0.72814000000000001</v>
      </c>
      <c r="T113" t="s">
        <v>256</v>
      </c>
      <c r="U113" s="5">
        <v>17220</v>
      </c>
      <c r="V113">
        <v>2.4</v>
      </c>
      <c r="W113">
        <v>113</v>
      </c>
      <c r="X113">
        <v>0.67211055276381915</v>
      </c>
      <c r="Y113">
        <v>113</v>
      </c>
      <c r="Z113">
        <v>0.67211055276381915</v>
      </c>
      <c r="AC113">
        <v>0.49754999999999999</v>
      </c>
    </row>
    <row r="114" spans="1:29" x14ac:dyDescent="0.2">
      <c r="A114" t="str">
        <f t="shared" si="5"/>
        <v/>
      </c>
      <c r="B114" t="s">
        <v>343</v>
      </c>
      <c r="C114" t="str">
        <f>IF(ISNUMBER(MATCH(B114,$AD$2:$AD$27,0)),AC114,"")</f>
        <v/>
      </c>
      <c r="D114" t="str">
        <f>IF(ISNUMBER(C114),INDEX($U$2:$U$194, MATCH(B114,$T$2:$T$194,0)),"")</f>
        <v/>
      </c>
      <c r="H114" t="s">
        <v>259</v>
      </c>
      <c r="I114">
        <v>0.3836</v>
      </c>
      <c r="K114" t="s">
        <v>343</v>
      </c>
      <c r="L114">
        <v>0.49696000000000001</v>
      </c>
      <c r="N114" t="s">
        <v>189</v>
      </c>
      <c r="O114">
        <v>0.62219000000000002</v>
      </c>
      <c r="Q114" t="s">
        <v>228</v>
      </c>
      <c r="R114">
        <v>0.70889999999999997</v>
      </c>
      <c r="T114" t="s">
        <v>224</v>
      </c>
      <c r="U114" s="5">
        <v>9550</v>
      </c>
      <c r="V114">
        <v>1.2</v>
      </c>
      <c r="W114">
        <v>114</v>
      </c>
      <c r="X114">
        <v>0.67587939698492461</v>
      </c>
      <c r="Y114">
        <v>114</v>
      </c>
      <c r="Z114">
        <v>0.67587939698492461</v>
      </c>
      <c r="AC114">
        <v>0.49696000000000001</v>
      </c>
    </row>
    <row r="115" spans="1:29" x14ac:dyDescent="0.2">
      <c r="A115" t="str">
        <f t="shared" si="5"/>
        <v/>
      </c>
      <c r="B115" t="s">
        <v>285</v>
      </c>
      <c r="C115" t="str">
        <f>IF(ISNUMBER(MATCH(B115,$AD$2:$AD$27,0)),AC115,"")</f>
        <v/>
      </c>
      <c r="D115" t="str">
        <f>IF(ISNUMBER(C115),INDEX($U$2:$U$194, MATCH(B115,$T$2:$T$194,0)),"")</f>
        <v/>
      </c>
      <c r="H115" t="s">
        <v>224</v>
      </c>
      <c r="I115">
        <v>0.3836</v>
      </c>
      <c r="K115" t="s">
        <v>285</v>
      </c>
      <c r="L115">
        <v>0.49584</v>
      </c>
      <c r="N115" t="s">
        <v>177</v>
      </c>
      <c r="O115">
        <v>0.61502999999999997</v>
      </c>
      <c r="Q115" t="s">
        <v>218</v>
      </c>
      <c r="R115">
        <v>0.69455999999999996</v>
      </c>
      <c r="T115" t="s">
        <v>258</v>
      </c>
      <c r="U115" s="5">
        <v>9650</v>
      </c>
      <c r="V115">
        <v>2.5</v>
      </c>
      <c r="W115">
        <v>115</v>
      </c>
      <c r="X115">
        <v>0.67964824120603018</v>
      </c>
      <c r="Y115">
        <v>115</v>
      </c>
      <c r="Z115">
        <v>0.67964824120603018</v>
      </c>
      <c r="AC115">
        <v>0.49584</v>
      </c>
    </row>
    <row r="116" spans="1:29" x14ac:dyDescent="0.2">
      <c r="A116" t="str">
        <f t="shared" si="5"/>
        <v/>
      </c>
      <c r="B116" t="s">
        <v>193</v>
      </c>
      <c r="C116" t="str">
        <f>IF(ISNUMBER(MATCH(B116,$AD$2:$AD$27,0)),AC116,"")</f>
        <v/>
      </c>
      <c r="D116" t="str">
        <f>IF(ISNUMBER(C116),INDEX($U$2:$U$194, MATCH(B116,$T$2:$T$194,0)),"")</f>
        <v/>
      </c>
      <c r="H116" t="s">
        <v>311</v>
      </c>
      <c r="I116">
        <v>0.36990000000000001</v>
      </c>
      <c r="K116" t="s">
        <v>193</v>
      </c>
      <c r="L116">
        <v>0.48376999999999998</v>
      </c>
      <c r="N116" t="s">
        <v>116</v>
      </c>
      <c r="O116">
        <v>0.61487000000000003</v>
      </c>
      <c r="Q116" t="s">
        <v>282</v>
      </c>
      <c r="R116">
        <v>0.69418000000000002</v>
      </c>
      <c r="T116" t="s">
        <v>259</v>
      </c>
      <c r="U116" s="5">
        <v>9000</v>
      </c>
      <c r="V116">
        <v>6.5</v>
      </c>
      <c r="W116">
        <v>116</v>
      </c>
      <c r="X116">
        <v>0.68341708542713564</v>
      </c>
      <c r="Y116">
        <v>116</v>
      </c>
      <c r="Z116">
        <v>0.68341708542713564</v>
      </c>
      <c r="AC116">
        <v>0.48376999999999998</v>
      </c>
    </row>
    <row r="117" spans="1:29" x14ac:dyDescent="0.2">
      <c r="A117" t="str">
        <f t="shared" si="5"/>
        <v/>
      </c>
      <c r="B117" t="s">
        <v>241</v>
      </c>
      <c r="C117" t="str">
        <f>IF(ISNUMBER(MATCH(B117,$AD$2:$AD$27,0)),AC117,"")</f>
        <v/>
      </c>
      <c r="D117" t="str">
        <f>IF(ISNUMBER(C117),INDEX($U$2:$U$194, MATCH(B117,$T$2:$T$194,0)),"")</f>
        <v/>
      </c>
      <c r="H117" t="s">
        <v>313</v>
      </c>
      <c r="I117">
        <v>0.36990000000000001</v>
      </c>
      <c r="K117" t="s">
        <v>241</v>
      </c>
      <c r="L117">
        <v>0.48137000000000002</v>
      </c>
      <c r="N117" t="s">
        <v>203</v>
      </c>
      <c r="O117">
        <v>0.61297999999999997</v>
      </c>
      <c r="Q117" t="s">
        <v>316</v>
      </c>
      <c r="R117">
        <v>0.68735999999999997</v>
      </c>
      <c r="T117" t="s">
        <v>261</v>
      </c>
      <c r="U117" s="5">
        <v>11430</v>
      </c>
      <c r="V117">
        <v>46.2</v>
      </c>
      <c r="W117">
        <v>117</v>
      </c>
      <c r="X117">
        <v>0.68718592964824121</v>
      </c>
      <c r="Y117">
        <v>117</v>
      </c>
      <c r="Z117">
        <v>0.68718592964824121</v>
      </c>
      <c r="AC117">
        <v>0.48137000000000002</v>
      </c>
    </row>
    <row r="118" spans="1:29" x14ac:dyDescent="0.2">
      <c r="A118" t="str">
        <f t="shared" si="5"/>
        <v/>
      </c>
      <c r="B118" t="s">
        <v>338</v>
      </c>
      <c r="C118" t="str">
        <f>IF(ISNUMBER(MATCH(B118,$AD$2:$AD$27,0)),AC118,"")</f>
        <v/>
      </c>
      <c r="D118" t="str">
        <f>IF(ISNUMBER(C118),INDEX($U$2:$U$194, MATCH(B118,$T$2:$T$194,0)),"")</f>
        <v/>
      </c>
      <c r="H118" t="s">
        <v>343</v>
      </c>
      <c r="I118">
        <v>0.36990000000000001</v>
      </c>
      <c r="K118" t="s">
        <v>338</v>
      </c>
      <c r="L118">
        <v>0.48081000000000002</v>
      </c>
      <c r="N118" t="s">
        <v>157</v>
      </c>
      <c r="O118">
        <v>0.60782999999999998</v>
      </c>
      <c r="Q118" t="s">
        <v>161</v>
      </c>
      <c r="R118">
        <v>0.68335000000000001</v>
      </c>
      <c r="T118" t="s">
        <v>263</v>
      </c>
      <c r="U118" s="5">
        <v>14990</v>
      </c>
      <c r="V118">
        <v>0.1</v>
      </c>
      <c r="W118">
        <v>118</v>
      </c>
      <c r="X118">
        <v>0.69095477386934667</v>
      </c>
      <c r="Y118">
        <v>118</v>
      </c>
      <c r="Z118">
        <v>0.69095477386934667</v>
      </c>
      <c r="AC118">
        <v>0.48081000000000002</v>
      </c>
    </row>
    <row r="119" spans="1:29" x14ac:dyDescent="0.2">
      <c r="A119" t="str">
        <f t="shared" si="5"/>
        <v/>
      </c>
      <c r="B119" t="s">
        <v>325</v>
      </c>
      <c r="C119" t="str">
        <f>IF(ISNUMBER(MATCH(B119,$AD$2:$AD$27,0)),AC119,"")</f>
        <v/>
      </c>
      <c r="D119" t="str">
        <f>IF(ISNUMBER(C119),INDEX($U$2:$U$194, MATCH(B119,$T$2:$T$194,0)),"")</f>
        <v/>
      </c>
      <c r="H119" t="s">
        <v>239</v>
      </c>
      <c r="I119">
        <v>0.34250000000000003</v>
      </c>
      <c r="K119" t="s">
        <v>325</v>
      </c>
      <c r="L119">
        <v>0.47910000000000003</v>
      </c>
      <c r="N119" t="s">
        <v>266</v>
      </c>
      <c r="O119">
        <v>0.60372000000000003</v>
      </c>
      <c r="Q119" t="s">
        <v>263</v>
      </c>
      <c r="R119">
        <v>0.67674999999999996</v>
      </c>
      <c r="T119" t="s">
        <v>264</v>
      </c>
      <c r="U119" s="5">
        <v>2370</v>
      </c>
      <c r="V119">
        <v>13.5</v>
      </c>
      <c r="W119">
        <v>119</v>
      </c>
      <c r="X119">
        <v>0.69472361809045224</v>
      </c>
      <c r="Y119">
        <v>119</v>
      </c>
      <c r="Z119">
        <v>0.69472361809045224</v>
      </c>
      <c r="AC119">
        <v>0.47910000000000003</v>
      </c>
    </row>
    <row r="120" spans="1:29" x14ac:dyDescent="0.2">
      <c r="A120" t="str">
        <f t="shared" si="5"/>
        <v/>
      </c>
      <c r="B120" t="s">
        <v>206</v>
      </c>
      <c r="C120" t="str">
        <f>IF(ISNUMBER(MATCH(B120,$AD$2:$AD$27,0)),AC120,"")</f>
        <v/>
      </c>
      <c r="D120" t="str">
        <f>IF(ISNUMBER(C120),INDEX($U$2:$U$194, MATCH(B120,$T$2:$T$194,0)),"")</f>
        <v/>
      </c>
      <c r="H120" t="s">
        <v>263</v>
      </c>
      <c r="I120">
        <v>0.34250000000000003</v>
      </c>
      <c r="K120" t="s">
        <v>206</v>
      </c>
      <c r="L120">
        <v>0.47804000000000002</v>
      </c>
      <c r="N120" t="s">
        <v>80</v>
      </c>
      <c r="O120">
        <v>0.59514999999999996</v>
      </c>
      <c r="Q120" t="s">
        <v>238</v>
      </c>
      <c r="R120">
        <v>0.67674000000000001</v>
      </c>
      <c r="T120" t="s">
        <v>267</v>
      </c>
      <c r="U120" s="5">
        <v>4190</v>
      </c>
      <c r="V120">
        <v>30</v>
      </c>
      <c r="W120">
        <v>120</v>
      </c>
      <c r="X120">
        <v>0.69849246231155782</v>
      </c>
      <c r="Y120">
        <v>120</v>
      </c>
      <c r="Z120">
        <v>0.69849246231155782</v>
      </c>
      <c r="AC120">
        <v>0.47804000000000002</v>
      </c>
    </row>
    <row r="121" spans="1:29" x14ac:dyDescent="0.2">
      <c r="A121" t="str">
        <f t="shared" si="5"/>
        <v/>
      </c>
      <c r="B121" t="s">
        <v>295</v>
      </c>
      <c r="C121" t="str">
        <f>IF(ISNUMBER(MATCH(B121,$AD$2:$AD$27,0)),AC121,"")</f>
        <v/>
      </c>
      <c r="D121" t="str">
        <f>IF(ISNUMBER(C121),INDEX($U$2:$U$194, MATCH(B121,$T$2:$T$194,0)),"")</f>
        <v/>
      </c>
      <c r="H121" t="s">
        <v>315</v>
      </c>
      <c r="I121">
        <v>0.32879999999999998</v>
      </c>
      <c r="K121" t="s">
        <v>295</v>
      </c>
      <c r="L121">
        <v>0.47788999999999998</v>
      </c>
      <c r="N121" t="s">
        <v>260</v>
      </c>
      <c r="O121">
        <v>0.59326999999999996</v>
      </c>
      <c r="Q121" t="s">
        <v>279</v>
      </c>
      <c r="R121">
        <v>0.67566000000000004</v>
      </c>
      <c r="T121" t="s">
        <v>268</v>
      </c>
      <c r="U121" s="5">
        <v>4580</v>
      </c>
      <c r="V121">
        <v>16.899999999999999</v>
      </c>
      <c r="W121">
        <v>121</v>
      </c>
      <c r="X121">
        <v>0.70226130653266328</v>
      </c>
      <c r="Y121">
        <v>121</v>
      </c>
      <c r="Z121">
        <v>0.70226130653266328</v>
      </c>
      <c r="AC121">
        <v>0.47788999999999998</v>
      </c>
    </row>
    <row r="122" spans="1:29" x14ac:dyDescent="0.2">
      <c r="A122" t="str">
        <f t="shared" si="5"/>
        <v/>
      </c>
      <c r="B122" t="s">
        <v>284</v>
      </c>
      <c r="C122" t="str">
        <f>IF(ISNUMBER(MATCH(B122,$AD$2:$AD$27,0)),AC122,"")</f>
        <v/>
      </c>
      <c r="D122" t="str">
        <f>IF(ISNUMBER(C122),INDEX($U$2:$U$194, MATCH(B122,$T$2:$T$194,0)),"")</f>
        <v/>
      </c>
      <c r="H122" t="s">
        <v>309</v>
      </c>
      <c r="I122">
        <v>0.32879999999999998</v>
      </c>
      <c r="K122" t="s">
        <v>284</v>
      </c>
      <c r="L122">
        <v>0.47692000000000001</v>
      </c>
      <c r="N122" t="s">
        <v>271</v>
      </c>
      <c r="O122">
        <v>0.59284999999999999</v>
      </c>
      <c r="Q122" t="s">
        <v>240</v>
      </c>
      <c r="R122">
        <v>0.66925999999999997</v>
      </c>
      <c r="T122" t="s">
        <v>270</v>
      </c>
      <c r="U122" s="5">
        <v>14970</v>
      </c>
      <c r="V122">
        <v>2.2999999999999998</v>
      </c>
      <c r="W122">
        <v>122</v>
      </c>
      <c r="X122">
        <v>0.70603015075376885</v>
      </c>
      <c r="Y122">
        <v>122</v>
      </c>
      <c r="Z122">
        <v>0.70603015075376885</v>
      </c>
      <c r="AC122">
        <v>0.47692000000000001</v>
      </c>
    </row>
    <row r="123" spans="1:29" x14ac:dyDescent="0.2">
      <c r="A123" t="str">
        <f t="shared" si="5"/>
        <v/>
      </c>
      <c r="B123" t="s">
        <v>214</v>
      </c>
      <c r="C123" t="str">
        <f>IF(ISNUMBER(MATCH(B123,$AD$2:$AD$27,0)),AC123,"")</f>
        <v/>
      </c>
      <c r="D123" t="str">
        <f>IF(ISNUMBER(C123),INDEX($U$2:$U$194, MATCH(B123,$T$2:$T$194,0)),"")</f>
        <v/>
      </c>
      <c r="H123" t="s">
        <v>213</v>
      </c>
      <c r="I123">
        <v>0.32879999999999998</v>
      </c>
      <c r="K123" t="s">
        <v>214</v>
      </c>
      <c r="L123">
        <v>0.46379999999999999</v>
      </c>
      <c r="N123" t="s">
        <v>224</v>
      </c>
      <c r="O123">
        <v>0.58357000000000003</v>
      </c>
      <c r="Q123" t="s">
        <v>300</v>
      </c>
      <c r="R123">
        <v>0.66617999999999999</v>
      </c>
      <c r="T123" t="s">
        <v>272</v>
      </c>
      <c r="U123" s="5">
        <v>9110</v>
      </c>
      <c r="V123">
        <v>18.100000000000001</v>
      </c>
      <c r="W123">
        <v>123</v>
      </c>
      <c r="X123">
        <v>0.70979899497487442</v>
      </c>
      <c r="Y123">
        <v>123</v>
      </c>
      <c r="Z123">
        <v>0.70979899497487442</v>
      </c>
      <c r="AC123">
        <v>0.46379999999999999</v>
      </c>
    </row>
    <row r="124" spans="1:29" x14ac:dyDescent="0.2">
      <c r="A124" t="str">
        <f t="shared" si="5"/>
        <v/>
      </c>
      <c r="B124" t="s">
        <v>341</v>
      </c>
      <c r="C124" t="str">
        <f>IF(ISNUMBER(MATCH(B124,$AD$2:$AD$27,0)),AC124,"")</f>
        <v/>
      </c>
      <c r="D124" t="str">
        <f>IF(ISNUMBER(C124),INDEX($U$2:$U$194, MATCH(B124,$T$2:$T$194,0)),"")</f>
        <v/>
      </c>
      <c r="H124" t="s">
        <v>354</v>
      </c>
      <c r="I124">
        <v>0.32879999999999998</v>
      </c>
      <c r="K124" t="s">
        <v>341</v>
      </c>
      <c r="L124">
        <v>0.46246999999999999</v>
      </c>
      <c r="N124" t="s">
        <v>166</v>
      </c>
      <c r="O124">
        <v>0.58337000000000006</v>
      </c>
      <c r="Q124" t="s">
        <v>230</v>
      </c>
      <c r="R124">
        <v>0.65010000000000001</v>
      </c>
      <c r="T124" t="s">
        <v>274</v>
      </c>
      <c r="U124" s="5">
        <v>4170</v>
      </c>
      <c r="V124">
        <v>10</v>
      </c>
      <c r="W124">
        <v>124</v>
      </c>
      <c r="X124">
        <v>0.71356783919597988</v>
      </c>
      <c r="Y124">
        <v>124</v>
      </c>
      <c r="Z124">
        <v>0.71356783919597988</v>
      </c>
      <c r="AC124">
        <v>0.46246999999999999</v>
      </c>
    </row>
    <row r="125" spans="1:29" x14ac:dyDescent="0.2">
      <c r="A125" t="str">
        <f t="shared" si="5"/>
        <v/>
      </c>
      <c r="B125" t="s">
        <v>308</v>
      </c>
      <c r="C125" t="str">
        <f>IF(ISNUMBER(MATCH(B125,$AD$2:$AD$27,0)),AC125,"")</f>
        <v/>
      </c>
      <c r="D125" t="str">
        <f>IF(ISNUMBER(C125),INDEX($U$2:$U$194, MATCH(B125,$T$2:$T$194,0)),"")</f>
        <v/>
      </c>
      <c r="H125" t="s">
        <v>276</v>
      </c>
      <c r="I125">
        <v>0.32879999999999998</v>
      </c>
      <c r="K125" t="s">
        <v>308</v>
      </c>
      <c r="L125">
        <v>0.45873999999999998</v>
      </c>
      <c r="N125" t="s">
        <v>269</v>
      </c>
      <c r="O125">
        <v>0.57806999999999997</v>
      </c>
      <c r="Q125" t="s">
        <v>209</v>
      </c>
      <c r="R125">
        <v>0.64992000000000005</v>
      </c>
      <c r="T125" t="s">
        <v>240</v>
      </c>
      <c r="U125" s="5">
        <v>6090</v>
      </c>
      <c r="V125">
        <v>29.4</v>
      </c>
      <c r="W125">
        <v>125</v>
      </c>
      <c r="X125">
        <v>0.71733668341708545</v>
      </c>
      <c r="Y125">
        <v>125</v>
      </c>
      <c r="Z125">
        <v>0.71733668341708545</v>
      </c>
      <c r="AC125">
        <v>0.45873999999999998</v>
      </c>
    </row>
    <row r="126" spans="1:29" x14ac:dyDescent="0.2">
      <c r="A126" t="str">
        <f t="shared" si="5"/>
        <v/>
      </c>
      <c r="B126" t="s">
        <v>224</v>
      </c>
      <c r="C126" t="str">
        <f>IF(ISNUMBER(MATCH(B126,$AD$2:$AD$27,0)),AC126,"")</f>
        <v/>
      </c>
      <c r="D126" t="str">
        <f>IF(ISNUMBER(C126),INDEX($U$2:$U$194, MATCH(B126,$T$2:$T$194,0)),"")</f>
        <v/>
      </c>
      <c r="H126" t="s">
        <v>293</v>
      </c>
      <c r="I126">
        <v>0.32879999999999998</v>
      </c>
      <c r="K126" t="s">
        <v>224</v>
      </c>
      <c r="L126">
        <v>0.45573999999999998</v>
      </c>
      <c r="N126" t="s">
        <v>198</v>
      </c>
      <c r="O126">
        <v>0.57723000000000002</v>
      </c>
      <c r="Q126" t="s">
        <v>290</v>
      </c>
      <c r="R126">
        <v>0.64980000000000004</v>
      </c>
      <c r="T126" t="s">
        <v>80</v>
      </c>
      <c r="U126" s="8">
        <v>13910</v>
      </c>
      <c r="V126">
        <v>6.9</v>
      </c>
      <c r="W126">
        <v>126</v>
      </c>
      <c r="X126">
        <v>0.72110552763819102</v>
      </c>
      <c r="Y126">
        <v>126</v>
      </c>
      <c r="Z126">
        <v>0.72110552763819102</v>
      </c>
      <c r="AC126">
        <v>0.45573999999999998</v>
      </c>
    </row>
    <row r="127" spans="1:29" x14ac:dyDescent="0.2">
      <c r="A127" t="str">
        <f t="shared" si="5"/>
        <v/>
      </c>
      <c r="B127" t="s">
        <v>268</v>
      </c>
      <c r="C127" t="str">
        <f>IF(ISNUMBER(MATCH(B127,$AD$2:$AD$27,0)),AC127,"")</f>
        <v/>
      </c>
      <c r="D127" t="str">
        <f>IF(ISNUMBER(C127),INDEX($U$2:$U$194, MATCH(B127,$T$2:$T$194,0)),"")</f>
        <v/>
      </c>
      <c r="H127" t="s">
        <v>199</v>
      </c>
      <c r="I127">
        <v>0.32879999999999998</v>
      </c>
      <c r="K127" t="s">
        <v>268</v>
      </c>
      <c r="L127">
        <v>0.45034000000000002</v>
      </c>
      <c r="N127" t="s">
        <v>254</v>
      </c>
      <c r="O127">
        <v>0.57382</v>
      </c>
      <c r="Q127" t="s">
        <v>278</v>
      </c>
      <c r="R127">
        <v>0.64246000000000003</v>
      </c>
      <c r="T127" t="s">
        <v>278</v>
      </c>
      <c r="U127" s="8">
        <v>11800</v>
      </c>
      <c r="V127">
        <v>5.3</v>
      </c>
      <c r="W127">
        <v>127</v>
      </c>
      <c r="X127">
        <v>0.72487437185929648</v>
      </c>
      <c r="Y127">
        <v>127</v>
      </c>
      <c r="Z127">
        <v>0.72487437185929648</v>
      </c>
      <c r="AC127">
        <v>0.45034000000000002</v>
      </c>
    </row>
    <row r="128" spans="1:29" x14ac:dyDescent="0.2">
      <c r="A128" t="str">
        <f t="shared" si="5"/>
        <v/>
      </c>
      <c r="B128" t="s">
        <v>289</v>
      </c>
      <c r="C128" t="str">
        <f>IF(ISNUMBER(MATCH(B128,$AD$2:$AD$27,0)),AC128,"")</f>
        <v/>
      </c>
      <c r="D128" t="str">
        <f>IF(ISNUMBER(C128),INDEX($U$2:$U$194, MATCH(B128,$T$2:$T$194,0)),"")</f>
        <v/>
      </c>
      <c r="H128" t="s">
        <v>195</v>
      </c>
      <c r="I128">
        <v>0.31509999999999999</v>
      </c>
      <c r="K128" t="s">
        <v>289</v>
      </c>
      <c r="L128">
        <v>0.44927</v>
      </c>
      <c r="N128" t="s">
        <v>281</v>
      </c>
      <c r="O128">
        <v>0.57345999999999997</v>
      </c>
      <c r="Q128" t="s">
        <v>284</v>
      </c>
      <c r="R128">
        <v>0.61651999999999996</v>
      </c>
      <c r="T128" t="s">
        <v>279</v>
      </c>
      <c r="U128" s="5">
        <v>12740</v>
      </c>
      <c r="V128">
        <v>7.0000000000000007E-2</v>
      </c>
      <c r="W128">
        <v>128</v>
      </c>
      <c r="X128">
        <v>0.72864321608040195</v>
      </c>
      <c r="Y128">
        <v>128</v>
      </c>
      <c r="Z128">
        <v>0.72864321608040195</v>
      </c>
      <c r="AC128">
        <v>0.44927</v>
      </c>
    </row>
    <row r="129" spans="1:29" x14ac:dyDescent="0.2">
      <c r="A129" t="str">
        <f t="shared" si="5"/>
        <v/>
      </c>
      <c r="B129" t="s">
        <v>278</v>
      </c>
      <c r="C129" t="str">
        <f>IF(ISNUMBER(MATCH(B129,$AD$2:$AD$27,0)),AC129,"")</f>
        <v/>
      </c>
      <c r="D129" t="str">
        <f>IF(ISNUMBER(C129),INDEX($U$2:$U$194, MATCH(B129,$T$2:$T$194,0)),"")</f>
        <v/>
      </c>
      <c r="H129" t="s">
        <v>375</v>
      </c>
      <c r="I129">
        <v>0.31509999999999999</v>
      </c>
      <c r="K129" t="s">
        <v>278</v>
      </c>
      <c r="L129">
        <v>0.44894000000000001</v>
      </c>
      <c r="N129" t="s">
        <v>180</v>
      </c>
      <c r="O129">
        <v>0.57194</v>
      </c>
      <c r="Q129" t="s">
        <v>252</v>
      </c>
      <c r="R129">
        <v>0.61277999999999999</v>
      </c>
      <c r="T129" t="s">
        <v>282</v>
      </c>
      <c r="U129" s="5">
        <v>20540</v>
      </c>
      <c r="V129">
        <v>0.8</v>
      </c>
      <c r="W129">
        <v>129</v>
      </c>
      <c r="X129">
        <v>0.73241206030150752</v>
      </c>
      <c r="Y129">
        <v>129</v>
      </c>
      <c r="Z129">
        <v>0.73241206030150752</v>
      </c>
      <c r="AC129">
        <v>0.44894000000000001</v>
      </c>
    </row>
    <row r="130" spans="1:29" x14ac:dyDescent="0.2">
      <c r="A130" t="str">
        <f t="shared" si="5"/>
        <v/>
      </c>
      <c r="B130" t="s">
        <v>267</v>
      </c>
      <c r="C130" t="str">
        <f>IF(ISNUMBER(MATCH(B130,$AD$2:$AD$27,0)),AC130,"")</f>
        <v/>
      </c>
      <c r="D130" t="str">
        <f>IF(ISNUMBER(C130),INDEX($U$2:$U$194, MATCH(B130,$T$2:$T$194,0)),"")</f>
        <v/>
      </c>
      <c r="H130" t="s">
        <v>268</v>
      </c>
      <c r="I130">
        <v>0.31509999999999999</v>
      </c>
      <c r="K130" t="s">
        <v>267</v>
      </c>
      <c r="L130">
        <v>0.44806000000000001</v>
      </c>
      <c r="N130" t="s">
        <v>190</v>
      </c>
      <c r="O130">
        <v>0.56935000000000002</v>
      </c>
      <c r="Q130" t="s">
        <v>249</v>
      </c>
      <c r="R130">
        <v>0.59014999999999995</v>
      </c>
      <c r="T130" t="s">
        <v>284</v>
      </c>
      <c r="U130" s="5">
        <v>3310</v>
      </c>
      <c r="V130">
        <v>0.3</v>
      </c>
      <c r="W130">
        <v>130</v>
      </c>
      <c r="X130">
        <v>0.73618090452261309</v>
      </c>
      <c r="Y130">
        <v>130</v>
      </c>
      <c r="Z130">
        <v>0.73618090452261309</v>
      </c>
      <c r="AC130">
        <v>0.44806000000000001</v>
      </c>
    </row>
    <row r="131" spans="1:29" x14ac:dyDescent="0.2">
      <c r="A131" t="str">
        <f t="shared" ref="A131:A194" si="6">IF(E131&gt;1, B131, "")</f>
        <v/>
      </c>
      <c r="B131" t="s">
        <v>274</v>
      </c>
      <c r="C131" t="str">
        <f>IF(ISNUMBER(MATCH(B131,$AD$2:$AD$27,0)),AC131,"")</f>
        <v/>
      </c>
      <c r="D131" t="str">
        <f>IF(ISNUMBER(C131),INDEX($U$2:$U$194, MATCH(B131,$T$2:$T$194,0)),"")</f>
        <v/>
      </c>
      <c r="H131" t="s">
        <v>160</v>
      </c>
      <c r="I131">
        <v>0.3014</v>
      </c>
      <c r="K131" t="s">
        <v>274</v>
      </c>
      <c r="L131">
        <v>0.4476</v>
      </c>
      <c r="N131" t="s">
        <v>280</v>
      </c>
      <c r="O131">
        <v>0.56101999999999996</v>
      </c>
      <c r="Q131" t="s">
        <v>321</v>
      </c>
      <c r="R131">
        <v>0.58633999999999997</v>
      </c>
      <c r="T131" t="s">
        <v>285</v>
      </c>
      <c r="U131" s="5">
        <v>3630</v>
      </c>
      <c r="V131">
        <v>19.600000000000001</v>
      </c>
      <c r="W131">
        <v>131</v>
      </c>
      <c r="X131">
        <v>0.73994974874371866</v>
      </c>
      <c r="Y131">
        <v>131</v>
      </c>
      <c r="Z131">
        <v>0.73994974874371866</v>
      </c>
      <c r="AC131">
        <v>0.4476</v>
      </c>
    </row>
    <row r="132" spans="1:29" x14ac:dyDescent="0.2">
      <c r="A132" t="str">
        <f t="shared" si="6"/>
        <v/>
      </c>
      <c r="B132" t="s">
        <v>339</v>
      </c>
      <c r="C132" t="str">
        <f>IF(ISNUMBER(MATCH(B132,$AD$2:$AD$27,0)),AC132,"")</f>
        <v/>
      </c>
      <c r="D132" t="str">
        <f>IF(ISNUMBER(C132),INDEX($U$2:$U$194, MATCH(B132,$T$2:$T$194,0)),"")</f>
        <v/>
      </c>
      <c r="H132" t="s">
        <v>349</v>
      </c>
      <c r="I132">
        <v>0.3014</v>
      </c>
      <c r="K132" t="s">
        <v>339</v>
      </c>
      <c r="L132">
        <v>0.44721</v>
      </c>
      <c r="N132" t="s">
        <v>194</v>
      </c>
      <c r="O132">
        <v>0.55857000000000001</v>
      </c>
      <c r="Q132" t="s">
        <v>289</v>
      </c>
      <c r="R132">
        <v>0.58511999999999997</v>
      </c>
      <c r="T132" t="s">
        <v>287</v>
      </c>
      <c r="U132" s="8">
        <v>17440</v>
      </c>
      <c r="V132">
        <v>28.2</v>
      </c>
      <c r="W132">
        <v>132</v>
      </c>
      <c r="X132">
        <v>0.74371859296482412</v>
      </c>
      <c r="Y132">
        <v>132</v>
      </c>
      <c r="Z132">
        <v>0.74371859296482412</v>
      </c>
      <c r="AC132">
        <v>0.44721</v>
      </c>
    </row>
    <row r="133" spans="1:29" x14ac:dyDescent="0.2">
      <c r="A133" t="str">
        <f t="shared" si="6"/>
        <v/>
      </c>
      <c r="B133" t="s">
        <v>239</v>
      </c>
      <c r="C133" t="str">
        <f>IF(ISNUMBER(MATCH(B133,$AD$2:$AD$27,0)),AC133,"")</f>
        <v/>
      </c>
      <c r="D133" t="str">
        <f>IF(ISNUMBER(C133),INDEX($U$2:$U$194, MATCH(B133,$T$2:$T$194,0)),"")</f>
        <v/>
      </c>
      <c r="H133" t="s">
        <v>279</v>
      </c>
      <c r="I133">
        <v>0.3014</v>
      </c>
      <c r="K133" t="s">
        <v>239</v>
      </c>
      <c r="L133">
        <v>0.41658000000000001</v>
      </c>
      <c r="N133" t="s">
        <v>169</v>
      </c>
      <c r="O133">
        <v>0.55684</v>
      </c>
      <c r="Q133" t="s">
        <v>272</v>
      </c>
      <c r="R133">
        <v>0.58426999999999996</v>
      </c>
      <c r="T133" t="s">
        <v>289</v>
      </c>
      <c r="U133" s="5">
        <v>5790</v>
      </c>
      <c r="V133">
        <v>7</v>
      </c>
      <c r="W133">
        <v>133</v>
      </c>
      <c r="X133">
        <v>0.74748743718592969</v>
      </c>
      <c r="Y133">
        <v>133</v>
      </c>
      <c r="Z133">
        <v>0.74748743718592969</v>
      </c>
      <c r="AC133">
        <v>0.41658000000000001</v>
      </c>
    </row>
    <row r="134" spans="1:29" x14ac:dyDescent="0.2">
      <c r="A134" t="str">
        <f t="shared" si="6"/>
        <v/>
      </c>
      <c r="B134" t="s">
        <v>317</v>
      </c>
      <c r="C134" t="str">
        <f>IF(ISNUMBER(MATCH(B134,$AD$2:$AD$27,0)),AC134,"")</f>
        <v/>
      </c>
      <c r="D134" t="str">
        <f>IF(ISNUMBER(C134),INDEX($U$2:$U$194, MATCH(B134,$T$2:$T$194,0)),"")</f>
        <v/>
      </c>
      <c r="H134" t="s">
        <v>298</v>
      </c>
      <c r="I134">
        <v>0.3014</v>
      </c>
      <c r="K134" t="s">
        <v>317</v>
      </c>
      <c r="L134">
        <v>0.41003000000000001</v>
      </c>
      <c r="N134" t="s">
        <v>205</v>
      </c>
      <c r="O134">
        <v>0.54781000000000002</v>
      </c>
      <c r="Q134" t="s">
        <v>344</v>
      </c>
      <c r="R134">
        <v>0.58238999999999996</v>
      </c>
      <c r="T134" t="s">
        <v>290</v>
      </c>
      <c r="U134" s="5">
        <v>13740</v>
      </c>
      <c r="V134">
        <v>0.2</v>
      </c>
      <c r="W134">
        <v>134</v>
      </c>
      <c r="X134">
        <v>0.75125628140703515</v>
      </c>
      <c r="Y134">
        <v>134</v>
      </c>
      <c r="Z134">
        <v>0.75125628140703515</v>
      </c>
      <c r="AC134">
        <v>0.41003000000000001</v>
      </c>
    </row>
    <row r="135" spans="1:29" x14ac:dyDescent="0.2">
      <c r="A135" t="str">
        <f t="shared" si="6"/>
        <v/>
      </c>
      <c r="B135" t="s">
        <v>306</v>
      </c>
      <c r="C135" t="str">
        <f>IF(ISNUMBER(MATCH(B135,$AD$2:$AD$27,0)),AC135,"")</f>
        <v/>
      </c>
      <c r="D135" t="str">
        <f>IF(ISNUMBER(C135),INDEX($U$2:$U$194, MATCH(B135,$T$2:$T$194,0)),"")</f>
        <v/>
      </c>
      <c r="H135" t="s">
        <v>308</v>
      </c>
      <c r="I135">
        <v>0.3014</v>
      </c>
      <c r="K135" t="s">
        <v>306</v>
      </c>
      <c r="L135">
        <v>0.40544999999999998</v>
      </c>
      <c r="N135" t="s">
        <v>113</v>
      </c>
      <c r="O135">
        <v>0.54668000000000005</v>
      </c>
      <c r="Q135" t="s">
        <v>274</v>
      </c>
      <c r="R135">
        <v>0.58098000000000005</v>
      </c>
      <c r="T135" t="s">
        <v>293</v>
      </c>
      <c r="U135" s="5">
        <v>6070</v>
      </c>
      <c r="V135">
        <v>0.1</v>
      </c>
      <c r="W135">
        <v>135</v>
      </c>
      <c r="X135">
        <v>0.75502512562814073</v>
      </c>
      <c r="Y135">
        <v>135</v>
      </c>
      <c r="Z135">
        <v>0.75502512562814073</v>
      </c>
      <c r="AC135">
        <v>0.40544999999999998</v>
      </c>
    </row>
    <row r="136" spans="1:29" x14ac:dyDescent="0.2">
      <c r="A136" t="str">
        <f t="shared" si="6"/>
        <v/>
      </c>
      <c r="B136" t="s">
        <v>349</v>
      </c>
      <c r="C136" t="str">
        <f>IF(ISNUMBER(MATCH(B136,$AD$2:$AD$27,0)),AC136,"")</f>
        <v/>
      </c>
      <c r="D136" t="str">
        <f>IF(ISNUMBER(C136),INDEX($U$2:$U$194, MATCH(B136,$T$2:$T$194,0)),"")</f>
        <v/>
      </c>
      <c r="H136" t="s">
        <v>305</v>
      </c>
      <c r="I136">
        <v>0.3014</v>
      </c>
      <c r="K136" t="s">
        <v>349</v>
      </c>
      <c r="L136">
        <v>0.40447</v>
      </c>
      <c r="N136" t="s">
        <v>296</v>
      </c>
      <c r="O136">
        <v>0.54634000000000005</v>
      </c>
      <c r="Q136" t="s">
        <v>222</v>
      </c>
      <c r="R136">
        <v>0.57003999999999999</v>
      </c>
      <c r="T136" t="s">
        <v>295</v>
      </c>
      <c r="U136" s="5">
        <v>4090</v>
      </c>
      <c r="V136">
        <v>17.899999999999999</v>
      </c>
      <c r="W136">
        <v>136</v>
      </c>
      <c r="X136">
        <v>0.7587939698492463</v>
      </c>
      <c r="Y136">
        <v>136</v>
      </c>
      <c r="Z136">
        <v>0.7587939698492463</v>
      </c>
      <c r="AC136">
        <v>0.40447</v>
      </c>
    </row>
    <row r="137" spans="1:29" x14ac:dyDescent="0.2">
      <c r="A137" t="str">
        <f t="shared" si="6"/>
        <v/>
      </c>
      <c r="B137" t="s">
        <v>329</v>
      </c>
      <c r="C137" t="str">
        <f>IF(ISNUMBER(MATCH(B137,$AD$2:$AD$27,0)),AC137,"")</f>
        <v/>
      </c>
      <c r="D137" t="str">
        <f>IF(ISNUMBER(C137),INDEX($U$2:$U$194, MATCH(B137,$T$2:$T$194,0)),"")</f>
        <v/>
      </c>
      <c r="H137" t="s">
        <v>214</v>
      </c>
      <c r="I137">
        <v>0.3014</v>
      </c>
      <c r="K137" t="s">
        <v>329</v>
      </c>
      <c r="L137">
        <v>0.39884999999999998</v>
      </c>
      <c r="N137" t="s">
        <v>219</v>
      </c>
      <c r="O137">
        <v>0.54329000000000005</v>
      </c>
      <c r="Q137" t="s">
        <v>287</v>
      </c>
      <c r="R137">
        <v>0.53905000000000003</v>
      </c>
      <c r="T137" t="s">
        <v>297</v>
      </c>
      <c r="U137" s="5">
        <v>5860</v>
      </c>
      <c r="V137">
        <v>235.8</v>
      </c>
      <c r="W137">
        <v>137</v>
      </c>
      <c r="X137">
        <v>0.76256281407035176</v>
      </c>
      <c r="Y137">
        <v>137</v>
      </c>
      <c r="Z137">
        <v>0.76256281407035176</v>
      </c>
      <c r="AC137">
        <v>0.39884999999999998</v>
      </c>
    </row>
    <row r="138" spans="1:29" x14ac:dyDescent="0.2">
      <c r="A138" t="str">
        <f t="shared" si="6"/>
        <v/>
      </c>
      <c r="B138" t="s">
        <v>256</v>
      </c>
      <c r="C138" t="str">
        <f>IF(ISNUMBER(MATCH(B138,$AD$2:$AD$27,0)),AC138,"")</f>
        <v/>
      </c>
      <c r="D138" t="str">
        <f>IF(ISNUMBER(C138),INDEX($U$2:$U$194, MATCH(B138,$T$2:$T$194,0)),"")</f>
        <v/>
      </c>
      <c r="H138" t="s">
        <v>299</v>
      </c>
      <c r="I138">
        <v>0.28770000000000001</v>
      </c>
      <c r="K138" t="s">
        <v>256</v>
      </c>
      <c r="L138">
        <v>0.39851999999999999</v>
      </c>
      <c r="N138" t="s">
        <v>291</v>
      </c>
      <c r="O138">
        <v>0.53949999999999998</v>
      </c>
      <c r="Q138" t="s">
        <v>299</v>
      </c>
      <c r="R138">
        <v>0.53381999999999996</v>
      </c>
      <c r="T138" t="s">
        <v>298</v>
      </c>
      <c r="U138" s="5">
        <v>14370</v>
      </c>
      <c r="V138">
        <v>0.02</v>
      </c>
      <c r="W138">
        <v>138</v>
      </c>
      <c r="X138">
        <v>0.76633165829145722</v>
      </c>
      <c r="Y138">
        <v>138</v>
      </c>
      <c r="Z138">
        <v>0.76633165829145722</v>
      </c>
      <c r="AC138">
        <v>0.39851999999999999</v>
      </c>
    </row>
    <row r="139" spans="1:29" x14ac:dyDescent="0.2">
      <c r="A139" t="str">
        <f t="shared" si="6"/>
        <v/>
      </c>
      <c r="B139" t="s">
        <v>332</v>
      </c>
      <c r="C139" t="str">
        <f>IF(ISNUMBER(MATCH(B139,$AD$2:$AD$27,0)),AC139,"")</f>
        <v/>
      </c>
      <c r="D139" t="str">
        <f>IF(ISNUMBER(C139),INDEX($U$2:$U$194, MATCH(B139,$T$2:$T$194,0)),"")</f>
        <v/>
      </c>
      <c r="H139" t="s">
        <v>377</v>
      </c>
      <c r="I139">
        <v>0.28770000000000001</v>
      </c>
      <c r="K139" t="s">
        <v>332</v>
      </c>
      <c r="L139">
        <v>0.39623999999999998</v>
      </c>
      <c r="N139" t="s">
        <v>244</v>
      </c>
      <c r="O139">
        <v>0.53478999999999999</v>
      </c>
      <c r="Q139" t="s">
        <v>303</v>
      </c>
      <c r="R139">
        <v>0.53183000000000002</v>
      </c>
      <c r="T139" t="s">
        <v>300</v>
      </c>
      <c r="U139" s="5">
        <v>5140</v>
      </c>
      <c r="V139">
        <v>54.2</v>
      </c>
      <c r="W139">
        <v>139</v>
      </c>
      <c r="X139">
        <v>0.77010050251256279</v>
      </c>
      <c r="Y139">
        <v>139</v>
      </c>
      <c r="Z139">
        <v>0.77010050251256279</v>
      </c>
      <c r="AC139">
        <v>0.39623999999999998</v>
      </c>
    </row>
    <row r="140" spans="1:29" x14ac:dyDescent="0.2">
      <c r="A140" t="str">
        <f t="shared" si="6"/>
        <v/>
      </c>
      <c r="B140" t="s">
        <v>361</v>
      </c>
      <c r="C140" t="str">
        <f>IF(ISNUMBER(MATCH(B140,$AD$2:$AD$27,0)),AC140,"")</f>
        <v/>
      </c>
      <c r="D140" t="str">
        <f>IF(ISNUMBER(C140),INDEX($U$2:$U$194, MATCH(B140,$T$2:$T$194,0)),"")</f>
        <v/>
      </c>
      <c r="H140" t="s">
        <v>241</v>
      </c>
      <c r="I140">
        <v>0.28770000000000001</v>
      </c>
      <c r="K140" t="s">
        <v>361</v>
      </c>
      <c r="L140">
        <v>0.39590999999999998</v>
      </c>
      <c r="N140" t="s">
        <v>226</v>
      </c>
      <c r="O140">
        <v>0.53473999999999999</v>
      </c>
      <c r="Q140" t="s">
        <v>306</v>
      </c>
      <c r="R140">
        <v>0.52917000000000003</v>
      </c>
      <c r="T140" t="s">
        <v>303</v>
      </c>
      <c r="U140" s="8">
        <v>8920</v>
      </c>
      <c r="V140">
        <v>11.1</v>
      </c>
      <c r="W140">
        <v>140</v>
      </c>
      <c r="X140">
        <v>0.77386934673366836</v>
      </c>
      <c r="Y140">
        <v>140</v>
      </c>
      <c r="Z140">
        <v>0.77386934673366836</v>
      </c>
      <c r="AC140">
        <v>0.39590999999999998</v>
      </c>
    </row>
    <row r="141" spans="1:29" x14ac:dyDescent="0.2">
      <c r="A141" t="str">
        <f t="shared" si="6"/>
        <v/>
      </c>
      <c r="B141" t="s">
        <v>263</v>
      </c>
      <c r="C141" t="str">
        <f>IF(ISNUMBER(MATCH(B141,$AD$2:$AD$27,0)),AC141,"")</f>
        <v/>
      </c>
      <c r="D141" t="str">
        <f>IF(ISNUMBER(C141),INDEX($U$2:$U$194, MATCH(B141,$T$2:$T$194,0)),"")</f>
        <v/>
      </c>
      <c r="H141" t="s">
        <v>325</v>
      </c>
      <c r="I141">
        <v>0.28770000000000001</v>
      </c>
      <c r="K141" t="s">
        <v>263</v>
      </c>
      <c r="L141">
        <v>0.39062999999999998</v>
      </c>
      <c r="N141" t="s">
        <v>140</v>
      </c>
      <c r="O141">
        <v>0.52710999999999997</v>
      </c>
      <c r="Q141" t="s">
        <v>312</v>
      </c>
      <c r="R141">
        <v>0.51512000000000002</v>
      </c>
      <c r="T141" t="s">
        <v>305</v>
      </c>
      <c r="U141" s="5">
        <v>6310</v>
      </c>
      <c r="V141">
        <v>0.2</v>
      </c>
      <c r="W141">
        <v>141</v>
      </c>
      <c r="X141">
        <v>0.77763819095477393</v>
      </c>
      <c r="Y141">
        <v>141</v>
      </c>
      <c r="Z141">
        <v>0.77763819095477393</v>
      </c>
      <c r="AC141">
        <v>0.39062999999999998</v>
      </c>
    </row>
    <row r="142" spans="1:29" x14ac:dyDescent="0.2">
      <c r="A142" t="str">
        <f t="shared" si="6"/>
        <v/>
      </c>
      <c r="B142" t="s">
        <v>315</v>
      </c>
      <c r="C142" t="str">
        <f>IF(ISNUMBER(MATCH(B142,$AD$2:$AD$27,0)),AC142,"")</f>
        <v/>
      </c>
      <c r="D142" t="str">
        <f>IF(ISNUMBER(C142),INDEX($U$2:$U$194, MATCH(B142,$T$2:$T$194,0)),"")</f>
        <v/>
      </c>
      <c r="H142" t="s">
        <v>355</v>
      </c>
      <c r="I142">
        <v>0.27400000000000002</v>
      </c>
      <c r="K142" t="s">
        <v>315</v>
      </c>
      <c r="L142">
        <v>0.39034999999999997</v>
      </c>
      <c r="N142" t="s">
        <v>294</v>
      </c>
      <c r="O142">
        <v>0.52698</v>
      </c>
      <c r="Q142" t="s">
        <v>285</v>
      </c>
      <c r="R142">
        <v>0.50880000000000003</v>
      </c>
      <c r="T142" t="s">
        <v>306</v>
      </c>
      <c r="U142" s="5">
        <v>9420</v>
      </c>
      <c r="V142">
        <v>0.4</v>
      </c>
      <c r="W142">
        <v>142</v>
      </c>
      <c r="X142">
        <v>0.78140703517587939</v>
      </c>
      <c r="Y142">
        <v>142</v>
      </c>
      <c r="Z142">
        <v>0.78140703517587939</v>
      </c>
      <c r="AC142">
        <v>0.39034999999999997</v>
      </c>
    </row>
    <row r="143" spans="1:29" x14ac:dyDescent="0.2">
      <c r="A143" t="str">
        <f t="shared" si="6"/>
        <v/>
      </c>
      <c r="B143" t="s">
        <v>354</v>
      </c>
      <c r="C143" t="str">
        <f>IF(ISNUMBER(MATCH(B143,$AD$2:$AD$27,0)),AC143,"")</f>
        <v/>
      </c>
      <c r="D143" t="str">
        <f>IF(ISNUMBER(C143),INDEX($U$2:$U$194, MATCH(B143,$T$2:$T$194,0)),"")</f>
        <v/>
      </c>
      <c r="H143" t="s">
        <v>258</v>
      </c>
      <c r="I143">
        <v>0.27400000000000002</v>
      </c>
      <c r="K143" t="s">
        <v>354</v>
      </c>
      <c r="L143">
        <v>0.38228000000000001</v>
      </c>
      <c r="N143" t="s">
        <v>232</v>
      </c>
      <c r="O143">
        <v>0.52100000000000002</v>
      </c>
      <c r="Q143" t="s">
        <v>298</v>
      </c>
      <c r="R143">
        <v>0.49096000000000001</v>
      </c>
      <c r="T143" t="s">
        <v>308</v>
      </c>
      <c r="U143" s="5">
        <v>6500</v>
      </c>
      <c r="V143">
        <v>10.3</v>
      </c>
      <c r="W143">
        <v>143</v>
      </c>
      <c r="X143">
        <v>0.78517587939698497</v>
      </c>
      <c r="Y143">
        <v>143</v>
      </c>
      <c r="Z143">
        <v>0.78517587939698497</v>
      </c>
      <c r="AC143">
        <v>0.38228000000000001</v>
      </c>
    </row>
    <row r="144" spans="1:29" x14ac:dyDescent="0.2">
      <c r="A144" t="str">
        <f t="shared" si="6"/>
        <v/>
      </c>
      <c r="B144" t="s">
        <v>279</v>
      </c>
      <c r="C144" t="str">
        <f>IF(ISNUMBER(MATCH(B144,$AD$2:$AD$27,0)),AC144,"")</f>
        <v/>
      </c>
      <c r="D144" t="str">
        <f>IF(ISNUMBER(C144),INDEX($U$2:$U$194, MATCH(B144,$T$2:$T$194,0)),"")</f>
        <v/>
      </c>
      <c r="H144" t="s">
        <v>256</v>
      </c>
      <c r="I144">
        <v>0.27400000000000002</v>
      </c>
      <c r="K144" t="s">
        <v>279</v>
      </c>
      <c r="L144">
        <v>0.37983</v>
      </c>
      <c r="N144" t="s">
        <v>242</v>
      </c>
      <c r="O144">
        <v>0.51924999999999999</v>
      </c>
      <c r="Q144" t="s">
        <v>352</v>
      </c>
      <c r="R144">
        <v>0.49023</v>
      </c>
      <c r="T144" t="s">
        <v>309</v>
      </c>
      <c r="U144" s="5">
        <v>6310</v>
      </c>
      <c r="V144">
        <v>0.06</v>
      </c>
      <c r="W144">
        <v>144</v>
      </c>
      <c r="X144">
        <v>0.78894472361809043</v>
      </c>
      <c r="Y144">
        <v>144</v>
      </c>
      <c r="Z144">
        <v>0.78894472361809043</v>
      </c>
      <c r="AC144">
        <v>0.37983</v>
      </c>
    </row>
    <row r="145" spans="1:29" x14ac:dyDescent="0.2">
      <c r="A145" t="str">
        <f t="shared" si="6"/>
        <v/>
      </c>
      <c r="B145" t="s">
        <v>143</v>
      </c>
      <c r="C145" t="str">
        <f>IF(ISNUMBER(MATCH(B145,$AD$2:$AD$27,0)),AC145,"")</f>
        <v/>
      </c>
      <c r="D145" t="str">
        <f>IF(ISNUMBER(C145),INDEX($U$2:$U$194, MATCH(B145,$T$2:$T$194,0)),"")</f>
        <v/>
      </c>
      <c r="H145" t="s">
        <v>274</v>
      </c>
      <c r="I145">
        <v>0.27400000000000002</v>
      </c>
      <c r="K145" t="s">
        <v>143</v>
      </c>
      <c r="L145">
        <v>0.37729000000000001</v>
      </c>
      <c r="N145" t="s">
        <v>277</v>
      </c>
      <c r="O145">
        <v>0.51817999999999997</v>
      </c>
      <c r="Q145" t="s">
        <v>327</v>
      </c>
      <c r="R145">
        <v>0.48393999999999998</v>
      </c>
      <c r="T145" t="s">
        <v>311</v>
      </c>
      <c r="U145" s="5">
        <v>5000</v>
      </c>
      <c r="V145">
        <v>218.5</v>
      </c>
      <c r="W145">
        <v>145</v>
      </c>
      <c r="X145">
        <v>0.792713567839196</v>
      </c>
      <c r="Y145">
        <v>145</v>
      </c>
      <c r="Z145">
        <v>0.792713567839196</v>
      </c>
      <c r="AC145">
        <v>0.37729000000000001</v>
      </c>
    </row>
    <row r="146" spans="1:29" x14ac:dyDescent="0.2">
      <c r="A146" t="str">
        <f t="shared" si="6"/>
        <v/>
      </c>
      <c r="B146" t="s">
        <v>305</v>
      </c>
      <c r="C146" t="str">
        <f>IF(ISNUMBER(MATCH(B146,$AD$2:$AD$27,0)),AC146,"")</f>
        <v/>
      </c>
      <c r="D146" t="str">
        <f>IF(ISNUMBER(C146),INDEX($U$2:$U$194, MATCH(B146,$T$2:$T$194,0)),"")</f>
        <v/>
      </c>
      <c r="H146" t="s">
        <v>317</v>
      </c>
      <c r="I146">
        <v>0.27400000000000002</v>
      </c>
      <c r="K146" t="s">
        <v>305</v>
      </c>
      <c r="L146">
        <v>0.36377999999999999</v>
      </c>
      <c r="N146" t="s">
        <v>237</v>
      </c>
      <c r="O146">
        <v>0.51488999999999996</v>
      </c>
      <c r="Q146" t="s">
        <v>311</v>
      </c>
      <c r="R146">
        <v>0.48354999999999998</v>
      </c>
      <c r="T146" t="s">
        <v>312</v>
      </c>
      <c r="U146" s="5">
        <v>16050</v>
      </c>
      <c r="V146">
        <v>6.3</v>
      </c>
      <c r="W146">
        <v>146</v>
      </c>
      <c r="X146">
        <v>0.79648241206030157</v>
      </c>
      <c r="Y146">
        <v>146</v>
      </c>
      <c r="Z146">
        <v>0.79648241206030157</v>
      </c>
      <c r="AC146">
        <v>0.36377999999999999</v>
      </c>
    </row>
    <row r="147" spans="1:29" x14ac:dyDescent="0.2">
      <c r="A147" t="str">
        <f t="shared" si="6"/>
        <v/>
      </c>
      <c r="B147" t="s">
        <v>309</v>
      </c>
      <c r="C147" t="str">
        <f>IF(ISNUMBER(MATCH(B147,$AD$2:$AD$27,0)),AC147,"")</f>
        <v/>
      </c>
      <c r="D147" t="str">
        <f>IF(ISNUMBER(C147),INDEX($U$2:$U$194, MATCH(B147,$T$2:$T$194,0)),"")</f>
        <v/>
      </c>
      <c r="H147" t="s">
        <v>365</v>
      </c>
      <c r="I147">
        <v>0.24660000000000001</v>
      </c>
      <c r="K147" t="s">
        <v>309</v>
      </c>
      <c r="L147">
        <v>0.35858000000000001</v>
      </c>
      <c r="N147" t="s">
        <v>276</v>
      </c>
      <c r="O147">
        <v>0.51036000000000004</v>
      </c>
      <c r="Q147" t="s">
        <v>313</v>
      </c>
      <c r="R147">
        <v>0.48171000000000003</v>
      </c>
      <c r="T147" t="s">
        <v>313</v>
      </c>
      <c r="U147" s="5">
        <v>3740</v>
      </c>
      <c r="V147">
        <v>13.7</v>
      </c>
      <c r="W147">
        <v>147</v>
      </c>
      <c r="X147">
        <v>0.80025125628140703</v>
      </c>
      <c r="Y147">
        <v>147</v>
      </c>
      <c r="Z147">
        <v>0.80025125628140703</v>
      </c>
      <c r="AC147">
        <v>0.35858000000000001</v>
      </c>
    </row>
    <row r="148" spans="1:29" x14ac:dyDescent="0.2">
      <c r="A148" t="str">
        <f t="shared" si="6"/>
        <v/>
      </c>
      <c r="B148" t="s">
        <v>287</v>
      </c>
      <c r="C148" t="str">
        <f>IF(ISNUMBER(MATCH(B148,$AD$2:$AD$27,0)),AC148,"")</f>
        <v/>
      </c>
      <c r="D148" t="str">
        <f>IF(ISNUMBER(C148),INDEX($U$2:$U$194, MATCH(B148,$T$2:$T$194,0)),"")</f>
        <v/>
      </c>
      <c r="H148" t="s">
        <v>238</v>
      </c>
      <c r="I148">
        <v>0.24660000000000001</v>
      </c>
      <c r="K148" t="s">
        <v>287</v>
      </c>
      <c r="L148">
        <v>0.35755999999999999</v>
      </c>
      <c r="N148" t="s">
        <v>273</v>
      </c>
      <c r="O148">
        <v>0.50812000000000002</v>
      </c>
      <c r="Q148" t="s">
        <v>308</v>
      </c>
      <c r="R148">
        <v>0.47992000000000001</v>
      </c>
      <c r="T148" t="s">
        <v>315</v>
      </c>
      <c r="U148" s="5">
        <v>2530</v>
      </c>
      <c r="V148">
        <v>0.1</v>
      </c>
      <c r="W148">
        <v>148</v>
      </c>
      <c r="X148">
        <v>0.80402010050251249</v>
      </c>
      <c r="Y148">
        <v>148</v>
      </c>
      <c r="Z148">
        <v>0.80402010050251249</v>
      </c>
      <c r="AC148">
        <v>0.35755999999999999</v>
      </c>
    </row>
    <row r="149" spans="1:29" x14ac:dyDescent="0.2">
      <c r="A149" t="str">
        <f t="shared" si="6"/>
        <v/>
      </c>
      <c r="B149" t="s">
        <v>233</v>
      </c>
      <c r="C149" t="str">
        <f>IF(ISNUMBER(MATCH(B149,$AD$2:$AD$27,0)),AC149,"")</f>
        <v/>
      </c>
      <c r="D149" t="str">
        <f>IF(ISNUMBER(C149),INDEX($U$2:$U$194, MATCH(B149,$T$2:$T$194,0)),"")</f>
        <v/>
      </c>
      <c r="H149" t="s">
        <v>321</v>
      </c>
      <c r="I149">
        <v>0.2329</v>
      </c>
      <c r="K149" t="s">
        <v>233</v>
      </c>
      <c r="L149">
        <v>0.35754000000000002</v>
      </c>
      <c r="N149" t="s">
        <v>286</v>
      </c>
      <c r="O149">
        <v>0.50612000000000001</v>
      </c>
      <c r="Q149" t="s">
        <v>293</v>
      </c>
      <c r="R149">
        <v>0.47841</v>
      </c>
      <c r="T149" t="s">
        <v>316</v>
      </c>
      <c r="U149" s="5">
        <v>14160</v>
      </c>
      <c r="V149">
        <v>44.5</v>
      </c>
      <c r="W149">
        <v>149</v>
      </c>
      <c r="X149">
        <v>0.80778894472361806</v>
      </c>
      <c r="Y149">
        <v>149</v>
      </c>
      <c r="Z149">
        <v>0.80778894472361806</v>
      </c>
      <c r="AC149">
        <v>0.35754000000000002</v>
      </c>
    </row>
    <row r="150" spans="1:29" x14ac:dyDescent="0.2">
      <c r="A150" t="str">
        <f t="shared" si="6"/>
        <v/>
      </c>
      <c r="B150" t="s">
        <v>282</v>
      </c>
      <c r="C150" t="str">
        <f>IF(ISNUMBER(MATCH(B150,$AD$2:$AD$27,0)),AC150,"")</f>
        <v/>
      </c>
      <c r="D150" t="str">
        <f>IF(ISNUMBER(C150),INDEX($U$2:$U$194, MATCH(B150,$T$2:$T$194,0)),"")</f>
        <v/>
      </c>
      <c r="H150" t="s">
        <v>359</v>
      </c>
      <c r="I150">
        <v>0.2329</v>
      </c>
      <c r="K150" t="s">
        <v>282</v>
      </c>
      <c r="L150">
        <v>0.34549000000000002</v>
      </c>
      <c r="N150" t="s">
        <v>212</v>
      </c>
      <c r="O150">
        <v>0.50229000000000001</v>
      </c>
      <c r="Q150" t="s">
        <v>297</v>
      </c>
      <c r="R150">
        <v>0.47453000000000001</v>
      </c>
      <c r="T150" t="s">
        <v>317</v>
      </c>
      <c r="U150" s="5">
        <v>2150</v>
      </c>
      <c r="V150">
        <v>16</v>
      </c>
      <c r="W150">
        <v>150</v>
      </c>
      <c r="X150">
        <v>0.81155778894472363</v>
      </c>
      <c r="Y150">
        <v>150</v>
      </c>
      <c r="Z150">
        <v>0.81155778894472363</v>
      </c>
      <c r="AC150">
        <v>0.34549000000000002</v>
      </c>
    </row>
    <row r="151" spans="1:29" x14ac:dyDescent="0.2">
      <c r="A151" t="str">
        <f t="shared" si="6"/>
        <v/>
      </c>
      <c r="B151" t="s">
        <v>350</v>
      </c>
      <c r="C151" t="str">
        <f>IF(ISNUMBER(MATCH(B151,$AD$2:$AD$27,0)),AC151,"")</f>
        <v/>
      </c>
      <c r="D151" t="str">
        <f>IF(ISNUMBER(C151),INDEX($U$2:$U$194, MATCH(B151,$T$2:$T$194,0)),"")</f>
        <v/>
      </c>
      <c r="H151" t="s">
        <v>289</v>
      </c>
      <c r="I151">
        <v>0.2329</v>
      </c>
      <c r="K151" t="s">
        <v>350</v>
      </c>
      <c r="L151">
        <v>0.34194999999999998</v>
      </c>
      <c r="N151" t="s">
        <v>262</v>
      </c>
      <c r="O151">
        <v>0.49671999999999999</v>
      </c>
      <c r="Q151" t="s">
        <v>334</v>
      </c>
      <c r="R151">
        <v>0.47197</v>
      </c>
      <c r="T151" t="s">
        <v>319</v>
      </c>
      <c r="U151" s="5">
        <v>2370</v>
      </c>
      <c r="V151">
        <v>45.9</v>
      </c>
      <c r="W151">
        <v>151</v>
      </c>
      <c r="X151">
        <v>0.81532663316582921</v>
      </c>
      <c r="Y151">
        <v>151</v>
      </c>
      <c r="Z151">
        <v>0.81532663316582921</v>
      </c>
      <c r="AC151">
        <v>0.34194999999999998</v>
      </c>
    </row>
    <row r="152" spans="1:29" x14ac:dyDescent="0.2">
      <c r="A152" t="str">
        <f t="shared" si="6"/>
        <v/>
      </c>
      <c r="B152" t="s">
        <v>276</v>
      </c>
      <c r="C152" t="str">
        <f>IF(ISNUMBER(MATCH(B152,$AD$2:$AD$27,0)),AC152,"")</f>
        <v/>
      </c>
      <c r="D152" t="str">
        <f>IF(ISNUMBER(C152),INDEX($U$2:$U$194, MATCH(B152,$T$2:$T$194,0)),"")</f>
        <v/>
      </c>
      <c r="H152" t="s">
        <v>306</v>
      </c>
      <c r="I152">
        <v>0.2329</v>
      </c>
      <c r="K152" t="s">
        <v>276</v>
      </c>
      <c r="L152">
        <v>0.34055999999999997</v>
      </c>
      <c r="N152" t="s">
        <v>322</v>
      </c>
      <c r="O152">
        <v>0.49243999999999999</v>
      </c>
      <c r="Q152" t="s">
        <v>333</v>
      </c>
      <c r="R152">
        <v>0.46427000000000002</v>
      </c>
      <c r="T152" t="s">
        <v>321</v>
      </c>
      <c r="U152" s="8" t="s">
        <v>118</v>
      </c>
      <c r="V152">
        <v>0.01</v>
      </c>
      <c r="W152">
        <v>152</v>
      </c>
      <c r="X152">
        <v>0.81909547738693467</v>
      </c>
      <c r="Y152">
        <v>152</v>
      </c>
      <c r="Z152">
        <v>0.81909547738693467</v>
      </c>
      <c r="AC152">
        <v>0.34055999999999997</v>
      </c>
    </row>
    <row r="153" spans="1:29" x14ac:dyDescent="0.2">
      <c r="A153" t="str">
        <f t="shared" si="6"/>
        <v/>
      </c>
      <c r="B153" t="s">
        <v>353</v>
      </c>
      <c r="C153" t="str">
        <f>IF(ISNUMBER(MATCH(B153,$AD$2:$AD$27,0)),AC153,"")</f>
        <v/>
      </c>
      <c r="D153" t="str">
        <f>IF(ISNUMBER(C153),INDEX($U$2:$U$194, MATCH(B153,$T$2:$T$194,0)),"")</f>
        <v/>
      </c>
      <c r="H153" t="s">
        <v>332</v>
      </c>
      <c r="I153">
        <v>0.21920000000000001</v>
      </c>
      <c r="K153" t="s">
        <v>353</v>
      </c>
      <c r="L153">
        <v>0.3392</v>
      </c>
      <c r="N153" t="s">
        <v>323</v>
      </c>
      <c r="O153">
        <v>0.48616999999999999</v>
      </c>
      <c r="Q153" t="s">
        <v>305</v>
      </c>
      <c r="R153">
        <v>0.46065</v>
      </c>
      <c r="T153" t="s">
        <v>299</v>
      </c>
      <c r="U153" s="5">
        <v>12122</v>
      </c>
      <c r="V153">
        <v>7.5</v>
      </c>
      <c r="W153">
        <v>153</v>
      </c>
      <c r="X153">
        <v>0.82286432160804024</v>
      </c>
      <c r="Y153">
        <v>153</v>
      </c>
      <c r="Z153">
        <v>0.82286432160804024</v>
      </c>
      <c r="AC153">
        <v>0.3392</v>
      </c>
    </row>
    <row r="154" spans="1:29" x14ac:dyDescent="0.2">
      <c r="A154" t="str">
        <f t="shared" si="6"/>
        <v/>
      </c>
      <c r="B154" t="s">
        <v>357</v>
      </c>
      <c r="C154" t="str">
        <f>IF(ISNUMBER(MATCH(B154,$AD$2:$AD$27,0)),AC154,"")</f>
        <v/>
      </c>
      <c r="D154" t="str">
        <f>IF(ISNUMBER(C154),INDEX($U$2:$U$194, MATCH(B154,$T$2:$T$194,0)),"")</f>
        <v/>
      </c>
      <c r="H154" t="s">
        <v>267</v>
      </c>
      <c r="I154">
        <v>0.21920000000000001</v>
      </c>
      <c r="K154" t="s">
        <v>357</v>
      </c>
      <c r="L154">
        <v>0.33764</v>
      </c>
      <c r="N154" t="s">
        <v>240</v>
      </c>
      <c r="O154">
        <v>0.48483999999999999</v>
      </c>
      <c r="Q154" t="s">
        <v>355</v>
      </c>
      <c r="R154">
        <v>0.44323000000000001</v>
      </c>
      <c r="T154" t="s">
        <v>325</v>
      </c>
      <c r="U154" s="5">
        <v>3000</v>
      </c>
      <c r="V154">
        <v>63.6</v>
      </c>
      <c r="W154">
        <v>154</v>
      </c>
      <c r="X154">
        <v>0.8266331658291457</v>
      </c>
      <c r="Y154">
        <v>154</v>
      </c>
      <c r="Z154">
        <v>0.8266331658291457</v>
      </c>
      <c r="AC154">
        <v>0.33764</v>
      </c>
    </row>
    <row r="155" spans="1:29" x14ac:dyDescent="0.2">
      <c r="A155" t="str">
        <f t="shared" si="6"/>
        <v/>
      </c>
      <c r="B155" t="s">
        <v>355</v>
      </c>
      <c r="C155" t="str">
        <f>IF(ISNUMBER(MATCH(B155,$AD$2:$AD$27,0)),AC155,"")</f>
        <v/>
      </c>
      <c r="D155" t="str">
        <f>IF(ISNUMBER(C155),INDEX($U$2:$U$194, MATCH(B155,$T$2:$T$194,0)),"")</f>
        <v/>
      </c>
      <c r="H155" t="s">
        <v>357</v>
      </c>
      <c r="I155">
        <v>0.21920000000000001</v>
      </c>
      <c r="K155" t="s">
        <v>355</v>
      </c>
      <c r="L155">
        <v>0.33339999999999997</v>
      </c>
      <c r="N155" t="s">
        <v>196</v>
      </c>
      <c r="O155">
        <v>0.4834</v>
      </c>
      <c r="Q155" t="s">
        <v>328</v>
      </c>
      <c r="R155">
        <v>0.44256000000000001</v>
      </c>
      <c r="T155" t="s">
        <v>327</v>
      </c>
      <c r="U155" s="5">
        <v>4170</v>
      </c>
      <c r="V155">
        <v>0.2</v>
      </c>
      <c r="W155">
        <v>155</v>
      </c>
      <c r="X155">
        <v>0.83040201005025127</v>
      </c>
      <c r="Y155">
        <v>155</v>
      </c>
      <c r="Z155">
        <v>0.83040201005025127</v>
      </c>
      <c r="AC155">
        <v>0.33339999999999997</v>
      </c>
    </row>
    <row r="156" spans="1:29" x14ac:dyDescent="0.2">
      <c r="A156" t="str">
        <f t="shared" si="6"/>
        <v/>
      </c>
      <c r="B156" t="s">
        <v>261</v>
      </c>
      <c r="C156" t="str">
        <f>IF(ISNUMBER(MATCH(B156,$AD$2:$AD$27,0)),AC156,"")</f>
        <v/>
      </c>
      <c r="D156" t="str">
        <f>IF(ISNUMBER(C156),INDEX($U$2:$U$194, MATCH(B156,$T$2:$T$194,0)),"")</f>
        <v/>
      </c>
      <c r="H156" t="s">
        <v>371</v>
      </c>
      <c r="I156">
        <v>0.21920000000000001</v>
      </c>
      <c r="K156" t="s">
        <v>261</v>
      </c>
      <c r="L156">
        <v>0.33200000000000002</v>
      </c>
      <c r="N156" t="s">
        <v>231</v>
      </c>
      <c r="O156">
        <v>0.48133999999999999</v>
      </c>
      <c r="Q156" t="s">
        <v>363</v>
      </c>
      <c r="R156">
        <v>0.43922</v>
      </c>
      <c r="T156" t="s">
        <v>329</v>
      </c>
      <c r="U156" s="5">
        <v>4090</v>
      </c>
      <c r="V156">
        <v>27.2</v>
      </c>
      <c r="W156">
        <v>156</v>
      </c>
      <c r="X156">
        <v>0.83417085427135684</v>
      </c>
      <c r="Y156">
        <v>156</v>
      </c>
      <c r="Z156">
        <v>0.83417085427135684</v>
      </c>
      <c r="AC156">
        <v>0.33200000000000002</v>
      </c>
    </row>
    <row r="157" spans="1:29" x14ac:dyDescent="0.2">
      <c r="A157" t="str">
        <f t="shared" si="6"/>
        <v/>
      </c>
      <c r="B157" t="s">
        <v>299</v>
      </c>
      <c r="C157" t="str">
        <f>IF(ISNUMBER(MATCH(B157,$AD$2:$AD$27,0)),AC157,"")</f>
        <v/>
      </c>
      <c r="D157" t="str">
        <f>IF(ISNUMBER(C157),INDEX($U$2:$U$194, MATCH(B157,$T$2:$T$194,0)),"")</f>
        <v/>
      </c>
      <c r="H157" t="s">
        <v>352</v>
      </c>
      <c r="I157">
        <v>0.21920000000000001</v>
      </c>
      <c r="K157" t="s">
        <v>299</v>
      </c>
      <c r="L157">
        <v>0.32647999999999999</v>
      </c>
      <c r="N157" t="s">
        <v>302</v>
      </c>
      <c r="O157">
        <v>0.47602</v>
      </c>
      <c r="Q157" t="s">
        <v>338</v>
      </c>
      <c r="R157">
        <v>0.43230000000000002</v>
      </c>
      <c r="T157" t="s">
        <v>332</v>
      </c>
      <c r="U157" s="5">
        <v>6090</v>
      </c>
      <c r="V157">
        <v>35.6</v>
      </c>
      <c r="W157">
        <v>157</v>
      </c>
      <c r="X157">
        <v>0.8379396984924623</v>
      </c>
      <c r="Y157">
        <v>157</v>
      </c>
      <c r="Z157">
        <v>0.8379396984924623</v>
      </c>
      <c r="AC157">
        <v>0.32647999999999999</v>
      </c>
    </row>
    <row r="158" spans="1:29" x14ac:dyDescent="0.2">
      <c r="A158" t="str">
        <f t="shared" si="6"/>
        <v/>
      </c>
      <c r="B158" t="s">
        <v>300</v>
      </c>
      <c r="C158" t="str">
        <f>IF(ISNUMBER(MATCH(B158,$AD$2:$AD$27,0)),AC158,"")</f>
        <v/>
      </c>
      <c r="D158" t="str">
        <f>IF(ISNUMBER(C158),INDEX($U$2:$U$194, MATCH(B158,$T$2:$T$194,0)),"")</f>
        <v/>
      </c>
      <c r="H158" t="s">
        <v>282</v>
      </c>
      <c r="I158">
        <v>0.21920000000000001</v>
      </c>
      <c r="K158" t="s">
        <v>300</v>
      </c>
      <c r="L158">
        <v>0.32594000000000001</v>
      </c>
      <c r="N158" t="s">
        <v>229</v>
      </c>
      <c r="O158">
        <v>0.47493000000000002</v>
      </c>
      <c r="Q158" t="s">
        <v>317</v>
      </c>
      <c r="R158">
        <v>0.39471000000000001</v>
      </c>
      <c r="T158" t="s">
        <v>333</v>
      </c>
      <c r="U158" s="5">
        <v>2740</v>
      </c>
      <c r="V158">
        <v>2.2000000000000002</v>
      </c>
      <c r="W158">
        <v>158</v>
      </c>
      <c r="X158">
        <v>0.84170854271356776</v>
      </c>
      <c r="Y158">
        <v>158</v>
      </c>
      <c r="Z158">
        <v>0.84170854271356776</v>
      </c>
      <c r="AC158">
        <v>0.32594000000000001</v>
      </c>
    </row>
    <row r="159" spans="1:29" x14ac:dyDescent="0.2">
      <c r="A159" t="str">
        <f t="shared" si="6"/>
        <v/>
      </c>
      <c r="B159" t="s">
        <v>290</v>
      </c>
      <c r="C159" t="str">
        <f>IF(ISNUMBER(MATCH(B159,$AD$2:$AD$27,0)),AC159,"")</f>
        <v/>
      </c>
      <c r="D159" t="str">
        <f>IF(ISNUMBER(C159),INDEX($U$2:$U$194, MATCH(B159,$T$2:$T$194,0)),"")</f>
        <v/>
      </c>
      <c r="H159" t="s">
        <v>287</v>
      </c>
      <c r="I159">
        <v>0.21920000000000001</v>
      </c>
      <c r="K159" t="s">
        <v>290</v>
      </c>
      <c r="L159">
        <v>0.32291999999999998</v>
      </c>
      <c r="N159" t="s">
        <v>335</v>
      </c>
      <c r="O159">
        <v>0.46375</v>
      </c>
      <c r="Q159" t="s">
        <v>367</v>
      </c>
      <c r="R159">
        <v>0.38766</v>
      </c>
      <c r="T159" t="s">
        <v>334</v>
      </c>
      <c r="U159" s="8">
        <v>7790</v>
      </c>
      <c r="V159">
        <v>0.01</v>
      </c>
      <c r="W159">
        <v>159</v>
      </c>
      <c r="X159">
        <v>0.84547738693467334</v>
      </c>
      <c r="Y159">
        <v>159</v>
      </c>
      <c r="Z159">
        <v>0.84547738693467334</v>
      </c>
      <c r="AC159">
        <v>0.32291999999999998</v>
      </c>
    </row>
    <row r="160" spans="1:29" x14ac:dyDescent="0.2">
      <c r="A160" t="str">
        <f t="shared" si="6"/>
        <v/>
      </c>
      <c r="B160" t="s">
        <v>293</v>
      </c>
      <c r="C160" t="str">
        <f>IF(ISNUMBER(MATCH(B160,$AD$2:$AD$27,0)),AC160,"")</f>
        <v/>
      </c>
      <c r="D160" t="str">
        <f>IF(ISNUMBER(C160),INDEX($U$2:$U$194, MATCH(B160,$T$2:$T$194,0)),"")</f>
        <v/>
      </c>
      <c r="H160" t="s">
        <v>333</v>
      </c>
      <c r="I160">
        <v>0.20549999999999999</v>
      </c>
      <c r="K160" t="s">
        <v>293</v>
      </c>
      <c r="L160">
        <v>0.32203999999999999</v>
      </c>
      <c r="N160" t="s">
        <v>299</v>
      </c>
      <c r="O160">
        <v>0.46084000000000003</v>
      </c>
      <c r="Q160" t="s">
        <v>356</v>
      </c>
      <c r="R160">
        <v>0.38401999999999997</v>
      </c>
      <c r="T160" t="s">
        <v>276</v>
      </c>
      <c r="U160" s="5">
        <v>4170</v>
      </c>
      <c r="V160">
        <v>1.3</v>
      </c>
      <c r="W160">
        <v>160</v>
      </c>
      <c r="X160">
        <v>0.84924623115577891</v>
      </c>
      <c r="Y160">
        <v>160</v>
      </c>
      <c r="Z160">
        <v>0.84924623115577891</v>
      </c>
      <c r="AC160">
        <v>0.32203999999999999</v>
      </c>
    </row>
    <row r="161" spans="1:29" x14ac:dyDescent="0.2">
      <c r="A161" t="str">
        <f t="shared" si="6"/>
        <v/>
      </c>
      <c r="B161" t="s">
        <v>270</v>
      </c>
      <c r="C161" t="str">
        <f>IF(ISNUMBER(MATCH(B161,$AD$2:$AD$27,0)),AC161,"")</f>
        <v/>
      </c>
      <c r="D161" t="str">
        <f>IF(ISNUMBER(C161),INDEX($U$2:$U$194, MATCH(B161,$T$2:$T$194,0)),"")</f>
        <v/>
      </c>
      <c r="H161" t="s">
        <v>361</v>
      </c>
      <c r="I161">
        <v>0.20549999999999999</v>
      </c>
      <c r="K161" t="s">
        <v>270</v>
      </c>
      <c r="L161">
        <v>0.31874999999999998</v>
      </c>
      <c r="N161" t="s">
        <v>314</v>
      </c>
      <c r="O161">
        <v>0.44867000000000001</v>
      </c>
      <c r="Q161" t="s">
        <v>325</v>
      </c>
      <c r="R161">
        <v>0.37920999999999999</v>
      </c>
      <c r="T161" t="s">
        <v>338</v>
      </c>
      <c r="U161" s="5">
        <v>3000</v>
      </c>
      <c r="V161">
        <v>13.5</v>
      </c>
      <c r="W161">
        <v>161</v>
      </c>
      <c r="X161">
        <v>0.85301507537688448</v>
      </c>
      <c r="Y161">
        <v>161</v>
      </c>
      <c r="Z161">
        <v>0.85301507537688448</v>
      </c>
      <c r="AC161">
        <v>0.31874999999999998</v>
      </c>
    </row>
    <row r="162" spans="1:29" x14ac:dyDescent="0.2">
      <c r="A162" t="str">
        <f t="shared" si="6"/>
        <v/>
      </c>
      <c r="B162" t="s">
        <v>371</v>
      </c>
      <c r="C162" t="str">
        <f>IF(ISNUMBER(MATCH(B162,$AD$2:$AD$27,0)),AC162,"")</f>
        <v/>
      </c>
      <c r="D162" t="str">
        <f>IF(ISNUMBER(C162),INDEX($U$2:$U$194, MATCH(B162,$T$2:$T$194,0)),"")</f>
        <v/>
      </c>
      <c r="H162" t="s">
        <v>374</v>
      </c>
      <c r="I162">
        <v>0.20549999999999999</v>
      </c>
      <c r="K162" t="s">
        <v>371</v>
      </c>
      <c r="L162">
        <v>0.31459999999999999</v>
      </c>
      <c r="N162" t="s">
        <v>265</v>
      </c>
      <c r="O162">
        <v>0.43986999999999998</v>
      </c>
      <c r="Q162" t="s">
        <v>332</v>
      </c>
      <c r="R162">
        <v>0.37237999999999999</v>
      </c>
      <c r="T162" t="s">
        <v>339</v>
      </c>
      <c r="U162" s="5">
        <v>2800</v>
      </c>
      <c r="V162">
        <v>8.5</v>
      </c>
      <c r="W162">
        <v>162</v>
      </c>
      <c r="X162">
        <v>0.85678391959798994</v>
      </c>
      <c r="Y162">
        <v>162</v>
      </c>
      <c r="Z162">
        <v>0.85678391959798994</v>
      </c>
      <c r="AC162">
        <v>0.31459999999999999</v>
      </c>
    </row>
    <row r="163" spans="1:29" x14ac:dyDescent="0.2">
      <c r="A163" t="str">
        <f t="shared" si="6"/>
        <v/>
      </c>
      <c r="B163" t="s">
        <v>374</v>
      </c>
      <c r="C163" t="str">
        <f>IF(ISNUMBER(MATCH(B163,$AD$2:$AD$27,0)),AC163,"")</f>
        <v/>
      </c>
      <c r="D163" t="str">
        <f>IF(ISNUMBER(C163),INDEX($U$2:$U$194, MATCH(B163,$T$2:$T$194,0)),"")</f>
        <v/>
      </c>
      <c r="H163" t="s">
        <v>251</v>
      </c>
      <c r="I163">
        <v>0.20549999999999999</v>
      </c>
      <c r="K163" t="s">
        <v>374</v>
      </c>
      <c r="L163">
        <v>0.30839</v>
      </c>
      <c r="N163" t="s">
        <v>257</v>
      </c>
      <c r="O163">
        <v>0.42624000000000001</v>
      </c>
      <c r="Q163" t="s">
        <v>264</v>
      </c>
      <c r="R163">
        <v>0.37235000000000001</v>
      </c>
      <c r="T163" t="s">
        <v>328</v>
      </c>
      <c r="U163" s="8">
        <v>4610</v>
      </c>
      <c r="V163">
        <v>22.1</v>
      </c>
      <c r="W163">
        <v>163</v>
      </c>
      <c r="X163">
        <v>0.86055276381909551</v>
      </c>
      <c r="Y163">
        <v>163</v>
      </c>
      <c r="Z163">
        <v>0.86055276381909551</v>
      </c>
      <c r="AC163">
        <v>0.30839</v>
      </c>
    </row>
    <row r="164" spans="1:29" x14ac:dyDescent="0.2">
      <c r="A164" t="str">
        <f t="shared" si="6"/>
        <v/>
      </c>
      <c r="B164" t="s">
        <v>328</v>
      </c>
      <c r="C164" t="str">
        <f>IF(ISNUMBER(MATCH(B164,$AD$2:$AD$27,0)),AC164,"")</f>
        <v/>
      </c>
      <c r="D164" t="str">
        <f>IF(ISNUMBER(C164),INDEX($U$2:$U$194, MATCH(B164,$T$2:$T$194,0)),"")</f>
        <v/>
      </c>
      <c r="H164" t="s">
        <v>353</v>
      </c>
      <c r="I164">
        <v>0.1918</v>
      </c>
      <c r="K164" t="s">
        <v>328</v>
      </c>
      <c r="L164">
        <v>0.30678</v>
      </c>
      <c r="N164" t="s">
        <v>235</v>
      </c>
      <c r="O164">
        <v>0.42357</v>
      </c>
      <c r="Q164" t="s">
        <v>329</v>
      </c>
      <c r="R164">
        <v>0.37003999999999998</v>
      </c>
      <c r="T164" t="s">
        <v>341</v>
      </c>
      <c r="U164" s="5">
        <v>1500</v>
      </c>
      <c r="V164">
        <v>20</v>
      </c>
      <c r="W164">
        <v>164</v>
      </c>
      <c r="X164">
        <v>0.86432160804020097</v>
      </c>
      <c r="Y164">
        <v>164</v>
      </c>
      <c r="Z164">
        <v>0.86432160804020097</v>
      </c>
      <c r="AC164">
        <v>0.30678</v>
      </c>
    </row>
    <row r="165" spans="1:29" x14ac:dyDescent="0.2">
      <c r="A165" t="str">
        <f t="shared" si="6"/>
        <v/>
      </c>
      <c r="B165" t="s">
        <v>251</v>
      </c>
      <c r="C165" t="str">
        <f>IF(ISNUMBER(MATCH(B165,$AD$2:$AD$27,0)),AC165,"")</f>
        <v/>
      </c>
      <c r="D165" t="str">
        <f>IF(ISNUMBER(C165),INDEX($U$2:$U$194, MATCH(B165,$T$2:$T$194,0)),"")</f>
        <v/>
      </c>
      <c r="H165" t="s">
        <v>367</v>
      </c>
      <c r="I165">
        <v>0.17810000000000001</v>
      </c>
      <c r="K165" t="s">
        <v>251</v>
      </c>
      <c r="L165">
        <v>0.30385000000000001</v>
      </c>
      <c r="N165" t="s">
        <v>342</v>
      </c>
      <c r="O165">
        <v>0.41688999999999998</v>
      </c>
      <c r="Q165" t="s">
        <v>357</v>
      </c>
      <c r="R165">
        <v>0.36402000000000001</v>
      </c>
      <c r="T165" t="s">
        <v>343</v>
      </c>
      <c r="U165" s="5">
        <v>2700</v>
      </c>
      <c r="V165">
        <v>0.7</v>
      </c>
      <c r="W165">
        <v>165</v>
      </c>
      <c r="X165">
        <v>0.86809045226130654</v>
      </c>
      <c r="Y165">
        <v>165</v>
      </c>
      <c r="Z165">
        <v>0.86809045226130654</v>
      </c>
      <c r="AC165">
        <v>0.30385000000000001</v>
      </c>
    </row>
    <row r="166" spans="1:29" x14ac:dyDescent="0.2">
      <c r="A166" t="str">
        <f t="shared" si="6"/>
        <v/>
      </c>
      <c r="B166" t="s">
        <v>377</v>
      </c>
      <c r="C166" t="str">
        <f>IF(ISNUMBER(MATCH(B166,$AD$2:$AD$27,0)),AC166,"")</f>
        <v/>
      </c>
      <c r="D166" t="str">
        <f>IF(ISNUMBER(C166),INDEX($U$2:$U$194, MATCH(B166,$T$2:$T$194,0)),"")</f>
        <v/>
      </c>
      <c r="H166" t="s">
        <v>143</v>
      </c>
      <c r="I166">
        <v>0.17810000000000001</v>
      </c>
      <c r="K166" t="s">
        <v>377</v>
      </c>
      <c r="L166">
        <v>0.29709999999999998</v>
      </c>
      <c r="N166" t="s">
        <v>288</v>
      </c>
      <c r="O166">
        <v>0.41409000000000001</v>
      </c>
      <c r="Q166" t="s">
        <v>276</v>
      </c>
      <c r="R166">
        <v>0.35505999999999999</v>
      </c>
      <c r="T166" t="s">
        <v>344</v>
      </c>
      <c r="U166" s="5">
        <v>5860</v>
      </c>
      <c r="V166">
        <v>5</v>
      </c>
      <c r="W166">
        <v>166</v>
      </c>
      <c r="X166">
        <v>0.87185929648241212</v>
      </c>
      <c r="Y166">
        <v>166</v>
      </c>
      <c r="Z166">
        <v>0.87185929648241212</v>
      </c>
      <c r="AC166">
        <v>0.29709999999999998</v>
      </c>
    </row>
    <row r="167" spans="1:29" x14ac:dyDescent="0.2">
      <c r="A167" t="str">
        <f t="shared" si="6"/>
        <v/>
      </c>
      <c r="B167" t="s">
        <v>333</v>
      </c>
      <c r="C167" t="str">
        <f>IF(ISNUMBER(MATCH(B167,$AD$2:$AD$27,0)),AC167,"")</f>
        <v/>
      </c>
      <c r="D167" t="str">
        <f>IF(ISNUMBER(C167),INDEX($U$2:$U$194, MATCH(B167,$T$2:$T$194,0)),"")</f>
        <v/>
      </c>
      <c r="H167" t="s">
        <v>369</v>
      </c>
      <c r="I167">
        <v>0.16439999999999999</v>
      </c>
      <c r="K167" t="s">
        <v>333</v>
      </c>
      <c r="L167">
        <v>0.28637000000000001</v>
      </c>
      <c r="N167" t="s">
        <v>318</v>
      </c>
      <c r="O167">
        <v>0.41021000000000002</v>
      </c>
      <c r="Q167" t="s">
        <v>315</v>
      </c>
      <c r="R167">
        <v>0.35437999999999997</v>
      </c>
      <c r="T167" t="s">
        <v>345</v>
      </c>
      <c r="U167" s="5">
        <v>4170</v>
      </c>
      <c r="V167">
        <v>5.8</v>
      </c>
      <c r="W167">
        <v>167</v>
      </c>
      <c r="X167">
        <v>0.87562814070351758</v>
      </c>
      <c r="Y167">
        <v>167</v>
      </c>
      <c r="Z167">
        <v>0.87562814070351758</v>
      </c>
      <c r="AC167">
        <v>0.28637000000000001</v>
      </c>
    </row>
    <row r="168" spans="1:29" x14ac:dyDescent="0.2">
      <c r="A168" t="str">
        <f t="shared" si="6"/>
        <v/>
      </c>
      <c r="B168" t="s">
        <v>298</v>
      </c>
      <c r="C168" t="str">
        <f>IF(ISNUMBER(MATCH(B168,$AD$2:$AD$27,0)),AC168,"")</f>
        <v/>
      </c>
      <c r="D168" t="str">
        <f>IF(ISNUMBER(C168),INDEX($U$2:$U$194, MATCH(B168,$T$2:$T$194,0)),"")</f>
        <v/>
      </c>
      <c r="H168" t="s">
        <v>300</v>
      </c>
      <c r="I168">
        <v>0.16439999999999999</v>
      </c>
      <c r="K168" t="s">
        <v>298</v>
      </c>
      <c r="L168">
        <v>0.27866999999999997</v>
      </c>
      <c r="N168" t="s">
        <v>348</v>
      </c>
      <c r="O168">
        <v>0.39916000000000001</v>
      </c>
      <c r="Q168" t="s">
        <v>366</v>
      </c>
      <c r="R168">
        <v>0.35367999999999999</v>
      </c>
      <c r="T168" t="s">
        <v>347</v>
      </c>
      <c r="U168" s="5">
        <v>3740</v>
      </c>
      <c r="V168">
        <v>0.1</v>
      </c>
      <c r="W168">
        <v>168</v>
      </c>
      <c r="X168">
        <v>0.87939698492462304</v>
      </c>
      <c r="Y168">
        <v>168</v>
      </c>
      <c r="Z168">
        <v>0.87939698492462304</v>
      </c>
      <c r="AC168">
        <v>0.27866999999999997</v>
      </c>
    </row>
    <row r="169" spans="1:29" x14ac:dyDescent="0.2">
      <c r="A169" t="str">
        <f t="shared" si="6"/>
        <v/>
      </c>
      <c r="B169" t="s">
        <v>345</v>
      </c>
      <c r="C169" t="str">
        <f>IF(ISNUMBER(MATCH(B169,$AD$2:$AD$27,0)),AC169,"")</f>
        <v/>
      </c>
      <c r="D169" t="str">
        <f>IF(ISNUMBER(C169),INDEX($U$2:$U$194, MATCH(B169,$T$2:$T$194,0)),"")</f>
        <v/>
      </c>
      <c r="H169" t="s">
        <v>350</v>
      </c>
      <c r="I169">
        <v>0.16439999999999999</v>
      </c>
      <c r="K169" t="s">
        <v>345</v>
      </c>
      <c r="L169">
        <v>0.27604000000000001</v>
      </c>
      <c r="N169" t="s">
        <v>324</v>
      </c>
      <c r="O169">
        <v>0.39838000000000001</v>
      </c>
      <c r="Q169" t="s">
        <v>309</v>
      </c>
      <c r="R169">
        <v>0.30473</v>
      </c>
      <c r="T169" t="s">
        <v>349</v>
      </c>
      <c r="U169" s="5">
        <v>1600</v>
      </c>
      <c r="V169">
        <v>29.1</v>
      </c>
      <c r="W169">
        <v>169</v>
      </c>
      <c r="X169">
        <v>0.88316582914572861</v>
      </c>
      <c r="Y169">
        <v>169</v>
      </c>
      <c r="Z169">
        <v>0.88316582914572861</v>
      </c>
      <c r="AC169">
        <v>0.27604000000000001</v>
      </c>
    </row>
    <row r="170" spans="1:29" x14ac:dyDescent="0.2">
      <c r="A170" t="str">
        <f t="shared" si="6"/>
        <v/>
      </c>
      <c r="B170" t="s">
        <v>375</v>
      </c>
      <c r="C170" t="str">
        <f>IF(ISNUMBER(MATCH(B170,$AD$2:$AD$27,0)),AC170,"")</f>
        <v/>
      </c>
      <c r="D170" t="str">
        <f>IF(ISNUMBER(C170),INDEX($U$2:$U$194, MATCH(B170,$T$2:$T$194,0)),"")</f>
        <v/>
      </c>
      <c r="H170" t="s">
        <v>327</v>
      </c>
      <c r="I170">
        <v>0.16439999999999999</v>
      </c>
      <c r="K170" t="s">
        <v>375</v>
      </c>
      <c r="L170">
        <v>0.26738000000000001</v>
      </c>
      <c r="N170" t="s">
        <v>330</v>
      </c>
      <c r="O170">
        <v>0.39655000000000001</v>
      </c>
      <c r="Q170" t="s">
        <v>372</v>
      </c>
      <c r="R170">
        <v>0.29044999999999999</v>
      </c>
      <c r="T170" t="s">
        <v>350</v>
      </c>
      <c r="U170" s="5">
        <v>2370</v>
      </c>
      <c r="V170">
        <v>123.4</v>
      </c>
      <c r="W170">
        <v>170</v>
      </c>
      <c r="X170">
        <v>0.88693467336683418</v>
      </c>
      <c r="Y170">
        <v>170</v>
      </c>
      <c r="Z170">
        <v>0.88693467336683418</v>
      </c>
      <c r="AC170">
        <v>0.26738000000000001</v>
      </c>
    </row>
    <row r="171" spans="1:29" x14ac:dyDescent="0.2">
      <c r="A171" t="str">
        <f t="shared" si="6"/>
        <v/>
      </c>
      <c r="B171" t="s">
        <v>369</v>
      </c>
      <c r="C171" t="str">
        <f>IF(ISNUMBER(MATCH(B171,$AD$2:$AD$27,0)),AC171,"")</f>
        <v/>
      </c>
      <c r="D171" t="str">
        <f>IF(ISNUMBER(C171),INDEX($U$2:$U$194, MATCH(B171,$T$2:$T$194,0)),"")</f>
        <v/>
      </c>
      <c r="H171" t="s">
        <v>193</v>
      </c>
      <c r="I171">
        <v>0.1507</v>
      </c>
      <c r="K171" t="s">
        <v>369</v>
      </c>
      <c r="L171">
        <v>0.26334999999999997</v>
      </c>
      <c r="N171" t="s">
        <v>304</v>
      </c>
      <c r="O171">
        <v>0.39518999999999999</v>
      </c>
      <c r="Q171" t="s">
        <v>345</v>
      </c>
      <c r="R171">
        <v>0.27757999999999999</v>
      </c>
      <c r="T171" t="s">
        <v>352</v>
      </c>
      <c r="U171" s="5">
        <v>2370</v>
      </c>
      <c r="V171">
        <v>2.1</v>
      </c>
      <c r="W171">
        <v>171</v>
      </c>
      <c r="X171">
        <v>0.89070351758793975</v>
      </c>
      <c r="Y171">
        <v>171</v>
      </c>
      <c r="Z171">
        <v>0.89070351758793975</v>
      </c>
      <c r="AC171">
        <v>0.26334999999999997</v>
      </c>
    </row>
    <row r="172" spans="1:29" x14ac:dyDescent="0.2">
      <c r="A172" t="str">
        <f t="shared" si="6"/>
        <v/>
      </c>
      <c r="B172" t="s">
        <v>347</v>
      </c>
      <c r="C172" t="str">
        <f>IF(ISNUMBER(MATCH(B172,$AD$2:$AD$27,0)),AC172,"")</f>
        <v/>
      </c>
      <c r="D172" t="str">
        <f>IF(ISNUMBER(C172),INDEX($U$2:$U$194, MATCH(B172,$T$2:$T$194,0)),"")</f>
        <v/>
      </c>
      <c r="H172" t="s">
        <v>372</v>
      </c>
      <c r="I172">
        <v>0.1507</v>
      </c>
      <c r="K172" t="s">
        <v>347</v>
      </c>
      <c r="L172">
        <v>0.26211000000000001</v>
      </c>
      <c r="N172" t="s">
        <v>247</v>
      </c>
      <c r="O172">
        <v>0.37146000000000001</v>
      </c>
      <c r="Q172" t="s">
        <v>350</v>
      </c>
      <c r="R172">
        <v>0.26591999999999999</v>
      </c>
      <c r="T172" t="s">
        <v>353</v>
      </c>
      <c r="U172" s="5">
        <v>4230</v>
      </c>
      <c r="V172">
        <v>10.9</v>
      </c>
      <c r="W172">
        <v>172</v>
      </c>
      <c r="X172">
        <v>0.89447236180904521</v>
      </c>
      <c r="Y172">
        <v>172</v>
      </c>
      <c r="Z172">
        <v>0.89447236180904521</v>
      </c>
      <c r="AC172">
        <v>0.26211000000000001</v>
      </c>
    </row>
    <row r="173" spans="1:29" x14ac:dyDescent="0.2">
      <c r="A173" t="str">
        <f t="shared" si="6"/>
        <v/>
      </c>
      <c r="B173" t="s">
        <v>312</v>
      </c>
      <c r="C173" t="str">
        <f>IF(ISNUMBER(MATCH(B173,$AD$2:$AD$27,0)),AC173,"")</f>
        <v/>
      </c>
      <c r="D173" t="str">
        <f>IF(ISNUMBER(C173),INDEX($U$2:$U$194, MATCH(B173,$T$2:$T$194,0)),"")</f>
        <v/>
      </c>
      <c r="H173" t="s">
        <v>347</v>
      </c>
      <c r="I173">
        <v>0.13700000000000001</v>
      </c>
      <c r="K173" t="s">
        <v>312</v>
      </c>
      <c r="L173">
        <v>0.25063999999999997</v>
      </c>
      <c r="N173" t="s">
        <v>346</v>
      </c>
      <c r="O173">
        <v>0.3669</v>
      </c>
      <c r="Q173" t="s">
        <v>354</v>
      </c>
      <c r="R173">
        <v>0.25851000000000002</v>
      </c>
      <c r="T173" t="s">
        <v>354</v>
      </c>
      <c r="U173" s="5">
        <v>1660</v>
      </c>
      <c r="V173">
        <v>8.6999999999999993</v>
      </c>
      <c r="W173">
        <v>173</v>
      </c>
      <c r="X173">
        <v>0.89824120603015079</v>
      </c>
      <c r="Y173">
        <v>173</v>
      </c>
      <c r="Z173">
        <v>0.89824120603015079</v>
      </c>
      <c r="AC173">
        <v>0.25063999999999997</v>
      </c>
    </row>
    <row r="174" spans="1:29" x14ac:dyDescent="0.2">
      <c r="A174" t="str">
        <f t="shared" si="6"/>
        <v/>
      </c>
      <c r="B174" t="s">
        <v>321</v>
      </c>
      <c r="C174" t="str">
        <f>IF(ISNUMBER(MATCH(B174,$AD$2:$AD$27,0)),AC174,"")</f>
        <v/>
      </c>
      <c r="D174" t="str">
        <f>IF(ISNUMBER(C174),INDEX($U$2:$U$194, MATCH(B174,$T$2:$T$194,0)),"")</f>
        <v/>
      </c>
      <c r="H174" t="s">
        <v>290</v>
      </c>
      <c r="I174">
        <v>0.13700000000000001</v>
      </c>
      <c r="K174" t="s">
        <v>321</v>
      </c>
      <c r="L174">
        <v>0.24387</v>
      </c>
      <c r="N174" t="s">
        <v>183</v>
      </c>
      <c r="O174">
        <v>0.34995999999999999</v>
      </c>
      <c r="Q174" t="s">
        <v>359</v>
      </c>
      <c r="R174">
        <v>0.25319999999999998</v>
      </c>
      <c r="T174" t="s">
        <v>355</v>
      </c>
      <c r="U174" s="5">
        <v>2540</v>
      </c>
      <c r="V174">
        <v>23.3</v>
      </c>
      <c r="W174">
        <v>174</v>
      </c>
      <c r="X174">
        <v>0.90201005025125625</v>
      </c>
      <c r="Y174">
        <v>174</v>
      </c>
      <c r="Z174">
        <v>0.90201005025125625</v>
      </c>
      <c r="AC174">
        <v>0.24387</v>
      </c>
    </row>
    <row r="175" spans="1:29" x14ac:dyDescent="0.2">
      <c r="A175" t="str">
        <f t="shared" si="6"/>
        <v/>
      </c>
      <c r="B175" t="s">
        <v>303</v>
      </c>
      <c r="C175" t="str">
        <f>IF(ISNUMBER(MATCH(B175,$AD$2:$AD$27,0)),AC175,"")</f>
        <v/>
      </c>
      <c r="D175" t="str">
        <f>IF(ISNUMBER(C175),INDEX($U$2:$U$194, MATCH(B175,$T$2:$T$194,0)),"")</f>
        <v/>
      </c>
      <c r="H175" t="s">
        <v>344</v>
      </c>
      <c r="I175">
        <v>0.12330000000000001</v>
      </c>
      <c r="K175" t="s">
        <v>303</v>
      </c>
      <c r="L175">
        <v>0.22982</v>
      </c>
      <c r="N175" t="s">
        <v>246</v>
      </c>
      <c r="O175">
        <v>0.33804000000000001</v>
      </c>
      <c r="Q175" t="s">
        <v>339</v>
      </c>
      <c r="R175">
        <v>0.24736</v>
      </c>
      <c r="T175" t="s">
        <v>356</v>
      </c>
      <c r="U175" s="5">
        <v>4900</v>
      </c>
      <c r="V175">
        <v>1.1000000000000001</v>
      </c>
      <c r="W175">
        <v>175</v>
      </c>
      <c r="X175">
        <v>0.90577889447236182</v>
      </c>
      <c r="Y175">
        <v>175</v>
      </c>
      <c r="Z175">
        <v>0.90577889447236182</v>
      </c>
      <c r="AC175">
        <v>0.22982</v>
      </c>
    </row>
    <row r="176" spans="1:29" x14ac:dyDescent="0.2">
      <c r="A176" t="str">
        <f t="shared" si="6"/>
        <v/>
      </c>
      <c r="B176" t="s">
        <v>327</v>
      </c>
      <c r="C176" t="str">
        <f>IF(ISNUMBER(MATCH(B176,$AD$2:$AD$27,0)),AC176,"")</f>
        <v/>
      </c>
      <c r="D176" t="str">
        <f>IF(ISNUMBER(C176),INDEX($U$2:$U$194, MATCH(B176,$T$2:$T$194,0)),"")</f>
        <v/>
      </c>
      <c r="H176" t="s">
        <v>270</v>
      </c>
      <c r="I176">
        <v>0.12330000000000001</v>
      </c>
      <c r="K176" t="s">
        <v>327</v>
      </c>
      <c r="L176">
        <v>0.21557000000000001</v>
      </c>
      <c r="N176" t="s">
        <v>358</v>
      </c>
      <c r="O176">
        <v>0.33237</v>
      </c>
      <c r="Q176" t="s">
        <v>319</v>
      </c>
      <c r="R176">
        <v>0.22989999999999999</v>
      </c>
      <c r="T176" t="s">
        <v>357</v>
      </c>
      <c r="U176" s="5">
        <v>2420</v>
      </c>
      <c r="V176">
        <v>23.3</v>
      </c>
      <c r="W176">
        <v>176</v>
      </c>
      <c r="X176">
        <v>0.90954773869346739</v>
      </c>
      <c r="Y176">
        <v>176</v>
      </c>
      <c r="Z176">
        <v>0.90954773869346739</v>
      </c>
      <c r="AC176">
        <v>0.21557000000000001</v>
      </c>
    </row>
    <row r="177" spans="1:29" x14ac:dyDescent="0.2">
      <c r="A177" t="str">
        <f t="shared" si="6"/>
        <v/>
      </c>
      <c r="B177" t="s">
        <v>356</v>
      </c>
      <c r="C177" t="str">
        <f>IF(ISNUMBER(MATCH(B177,$AD$2:$AD$27,0)),AC177,"")</f>
        <v/>
      </c>
      <c r="D177" t="str">
        <f>IF(ISNUMBER(C177),INDEX($U$2:$U$194, MATCH(B177,$T$2:$T$194,0)),"")</f>
        <v/>
      </c>
      <c r="H177" t="s">
        <v>233</v>
      </c>
      <c r="I177">
        <v>0.12330000000000001</v>
      </c>
      <c r="K177" t="s">
        <v>356</v>
      </c>
      <c r="L177">
        <v>0.20915</v>
      </c>
      <c r="N177" t="s">
        <v>320</v>
      </c>
      <c r="O177">
        <v>0.32536999999999999</v>
      </c>
      <c r="Q177" t="s">
        <v>360</v>
      </c>
      <c r="R177">
        <v>0.21672</v>
      </c>
      <c r="T177" t="s">
        <v>359</v>
      </c>
      <c r="U177" s="5">
        <v>17330</v>
      </c>
      <c r="V177">
        <v>1.7</v>
      </c>
      <c r="W177">
        <v>177</v>
      </c>
      <c r="X177">
        <v>0.91331658291457285</v>
      </c>
      <c r="Y177">
        <v>177</v>
      </c>
      <c r="Z177">
        <v>0.91331658291457285</v>
      </c>
      <c r="AC177">
        <v>0.20915</v>
      </c>
    </row>
    <row r="178" spans="1:29" x14ac:dyDescent="0.2">
      <c r="A178" t="str">
        <f t="shared" si="6"/>
        <v/>
      </c>
      <c r="B178" t="s">
        <v>365</v>
      </c>
      <c r="C178" t="str">
        <f>IF(ISNUMBER(MATCH(B178,$AD$2:$AD$27,0)),AC178,"")</f>
        <v/>
      </c>
      <c r="D178" t="str">
        <f>IF(ISNUMBER(C178),INDEX($U$2:$U$194, MATCH(B178,$T$2:$T$194,0)),"")</f>
        <v/>
      </c>
      <c r="H178" t="s">
        <v>360</v>
      </c>
      <c r="I178">
        <v>0.1096</v>
      </c>
      <c r="K178" t="s">
        <v>365</v>
      </c>
      <c r="L178">
        <v>0.20671</v>
      </c>
      <c r="N178" t="s">
        <v>310</v>
      </c>
      <c r="O178">
        <v>0.30774000000000001</v>
      </c>
      <c r="Q178" t="s">
        <v>373</v>
      </c>
      <c r="R178">
        <v>0.20874000000000001</v>
      </c>
      <c r="T178" t="s">
        <v>361</v>
      </c>
      <c r="U178" s="5">
        <v>1520</v>
      </c>
      <c r="V178">
        <v>33.9</v>
      </c>
      <c r="W178">
        <v>178</v>
      </c>
      <c r="X178">
        <v>0.91708542713567831</v>
      </c>
      <c r="Y178">
        <v>178</v>
      </c>
      <c r="Z178">
        <v>0.91708542713567831</v>
      </c>
      <c r="AC178">
        <v>0.20671</v>
      </c>
    </row>
    <row r="179" spans="1:29" x14ac:dyDescent="0.2">
      <c r="A179" t="str">
        <f t="shared" si="6"/>
        <v/>
      </c>
      <c r="B179" t="s">
        <v>334</v>
      </c>
      <c r="C179" t="str">
        <f>IF(ISNUMBER(MATCH(B179,$AD$2:$AD$27,0)),AC179,"")</f>
        <v/>
      </c>
      <c r="D179" t="str">
        <f>IF(ISNUMBER(C179),INDEX($U$2:$U$194, MATCH(B179,$T$2:$T$194,0)),"")</f>
        <v/>
      </c>
      <c r="H179" t="s">
        <v>364</v>
      </c>
      <c r="I179">
        <v>0.1096</v>
      </c>
      <c r="K179" t="s">
        <v>334</v>
      </c>
      <c r="L179">
        <v>0.19438</v>
      </c>
      <c r="N179" t="s">
        <v>292</v>
      </c>
      <c r="O179">
        <v>0.29615000000000002</v>
      </c>
      <c r="Q179" t="s">
        <v>341</v>
      </c>
      <c r="R179">
        <v>0.18862000000000001</v>
      </c>
      <c r="T179" t="s">
        <v>363</v>
      </c>
      <c r="U179" s="5">
        <v>3870</v>
      </c>
      <c r="V179">
        <v>48.1</v>
      </c>
      <c r="W179">
        <v>179</v>
      </c>
      <c r="X179">
        <v>0.92085427135678388</v>
      </c>
      <c r="Y179">
        <v>179</v>
      </c>
      <c r="Z179">
        <v>0.92085427135678388</v>
      </c>
      <c r="AC179">
        <v>0.19438</v>
      </c>
    </row>
    <row r="180" spans="1:29" x14ac:dyDescent="0.2">
      <c r="A180" t="str">
        <f t="shared" si="6"/>
        <v/>
      </c>
      <c r="B180" t="s">
        <v>359</v>
      </c>
      <c r="C180" t="str">
        <f>IF(ISNUMBER(MATCH(B180,$AD$2:$AD$27,0)),AC180,"")</f>
        <v/>
      </c>
      <c r="D180" t="str">
        <f>IF(ISNUMBER(C180),INDEX($U$2:$U$194, MATCH(B180,$T$2:$T$194,0)),"")</f>
        <v/>
      </c>
      <c r="H180" t="s">
        <v>316</v>
      </c>
      <c r="I180">
        <v>9.5899999999999999E-2</v>
      </c>
      <c r="K180" t="s">
        <v>359</v>
      </c>
      <c r="L180">
        <v>0.19319</v>
      </c>
      <c r="N180" t="s">
        <v>202</v>
      </c>
      <c r="O180">
        <v>0.28867999999999999</v>
      </c>
      <c r="Q180" t="s">
        <v>353</v>
      </c>
      <c r="R180">
        <v>0.18512999999999999</v>
      </c>
      <c r="T180" t="s">
        <v>365</v>
      </c>
      <c r="U180" s="5">
        <v>1270</v>
      </c>
      <c r="V180">
        <v>102.3</v>
      </c>
      <c r="W180">
        <v>180</v>
      </c>
      <c r="X180">
        <v>0.92462311557788945</v>
      </c>
      <c r="Y180">
        <v>180</v>
      </c>
      <c r="Z180">
        <v>0.92462311557788945</v>
      </c>
      <c r="AC180">
        <v>0.19319</v>
      </c>
    </row>
    <row r="181" spans="1:29" x14ac:dyDescent="0.2">
      <c r="A181" t="str">
        <f t="shared" si="6"/>
        <v/>
      </c>
      <c r="B181" t="s">
        <v>316</v>
      </c>
      <c r="C181" t="str">
        <f>IF(ISNUMBER(MATCH(B181,$AD$2:$AD$27,0)),AC181,"")</f>
        <v/>
      </c>
      <c r="D181" t="str">
        <f>IF(ISNUMBER(C181),INDEX($U$2:$U$194, MATCH(B181,$T$2:$T$194,0)),"")</f>
        <v/>
      </c>
      <c r="H181" t="s">
        <v>356</v>
      </c>
      <c r="I181">
        <v>9.5899999999999999E-2</v>
      </c>
      <c r="K181" t="s">
        <v>316</v>
      </c>
      <c r="L181">
        <v>0.18754999999999999</v>
      </c>
      <c r="N181" t="s">
        <v>362</v>
      </c>
      <c r="O181">
        <v>0.28833999999999999</v>
      </c>
      <c r="Q181" t="s">
        <v>343</v>
      </c>
      <c r="R181">
        <v>0.18109</v>
      </c>
      <c r="T181" t="s">
        <v>366</v>
      </c>
      <c r="U181" s="5">
        <v>3620</v>
      </c>
      <c r="V181">
        <v>0.9</v>
      </c>
      <c r="W181">
        <v>181</v>
      </c>
      <c r="X181">
        <v>0.92839195979899503</v>
      </c>
      <c r="Y181">
        <v>181</v>
      </c>
      <c r="Z181">
        <v>0.92839195979899503</v>
      </c>
      <c r="AC181">
        <v>0.18754999999999999</v>
      </c>
    </row>
    <row r="182" spans="1:29" x14ac:dyDescent="0.2">
      <c r="A182" t="str">
        <f t="shared" si="6"/>
        <v/>
      </c>
      <c r="B182" t="s">
        <v>344</v>
      </c>
      <c r="C182" t="str">
        <f>IF(ISNUMBER(MATCH(B182,$AD$2:$AD$27,0)),AC182,"")</f>
        <v/>
      </c>
      <c r="D182" t="str">
        <f>IF(ISNUMBER(C182),INDEX($U$2:$U$194, MATCH(B182,$T$2:$T$194,0)),"")</f>
        <v/>
      </c>
      <c r="H182" t="s">
        <v>373</v>
      </c>
      <c r="I182">
        <v>9.5899999999999999E-2</v>
      </c>
      <c r="K182" t="s">
        <v>344</v>
      </c>
      <c r="L182">
        <v>0.16879</v>
      </c>
      <c r="N182" t="s">
        <v>336</v>
      </c>
      <c r="O182">
        <v>0.28231000000000001</v>
      </c>
      <c r="Q182" t="s">
        <v>368</v>
      </c>
      <c r="R182">
        <v>0.17452000000000001</v>
      </c>
      <c r="T182" t="s">
        <v>367</v>
      </c>
      <c r="U182" s="5">
        <v>2280</v>
      </c>
      <c r="V182">
        <v>2.8</v>
      </c>
      <c r="W182">
        <v>182</v>
      </c>
      <c r="X182">
        <v>0.9321608040201006</v>
      </c>
      <c r="Y182">
        <v>182</v>
      </c>
      <c r="Z182">
        <v>0.9321608040201006</v>
      </c>
      <c r="AC182">
        <v>0.16879</v>
      </c>
    </row>
    <row r="183" spans="1:29" x14ac:dyDescent="0.2">
      <c r="A183" t="str">
        <f t="shared" si="6"/>
        <v/>
      </c>
      <c r="B183" t="s">
        <v>364</v>
      </c>
      <c r="C183" t="str">
        <f>IF(ISNUMBER(MATCH(B183,$AD$2:$AD$27,0)),AC183,"")</f>
        <v/>
      </c>
      <c r="D183" t="str">
        <f>IF(ISNUMBER(C183),INDEX($U$2:$U$194, MATCH(B183,$T$2:$T$194,0)),"")</f>
        <v/>
      </c>
      <c r="H183" t="s">
        <v>378</v>
      </c>
      <c r="I183">
        <v>8.2199999999999995E-2</v>
      </c>
      <c r="K183" t="s">
        <v>364</v>
      </c>
      <c r="L183">
        <v>0.15040999999999999</v>
      </c>
      <c r="N183" t="s">
        <v>337</v>
      </c>
      <c r="O183">
        <v>0.27995999999999999</v>
      </c>
      <c r="Q183" t="s">
        <v>365</v>
      </c>
      <c r="R183">
        <v>0.15906000000000001</v>
      </c>
      <c r="T183" t="s">
        <v>369</v>
      </c>
      <c r="U183" s="5">
        <v>1620</v>
      </c>
      <c r="V183">
        <v>5.4</v>
      </c>
      <c r="W183">
        <v>183</v>
      </c>
      <c r="X183">
        <v>0.93592964824120606</v>
      </c>
      <c r="Y183">
        <v>183</v>
      </c>
      <c r="Z183">
        <v>0.93592964824120606</v>
      </c>
      <c r="AC183">
        <v>0.15040999999999999</v>
      </c>
    </row>
    <row r="184" spans="1:29" x14ac:dyDescent="0.2">
      <c r="A184" t="str">
        <f t="shared" si="6"/>
        <v/>
      </c>
      <c r="B184" t="s">
        <v>360</v>
      </c>
      <c r="C184" t="str">
        <f>IF(ISNUMBER(MATCH(B184,$AD$2:$AD$27,0)),AC184,"")</f>
        <v/>
      </c>
      <c r="D184" t="str">
        <f>IF(ISNUMBER(C184),INDEX($U$2:$U$194, MATCH(B184,$T$2:$T$194,0)),"")</f>
        <v/>
      </c>
      <c r="H184" t="s">
        <v>345</v>
      </c>
      <c r="I184">
        <v>8.2199999999999995E-2</v>
      </c>
      <c r="K184" t="s">
        <v>360</v>
      </c>
      <c r="L184">
        <v>0.14379</v>
      </c>
      <c r="N184" t="s">
        <v>275</v>
      </c>
      <c r="O184">
        <v>0.27184999999999998</v>
      </c>
      <c r="Q184" t="s">
        <v>374</v>
      </c>
      <c r="R184">
        <v>0.15783</v>
      </c>
      <c r="T184" t="s">
        <v>371</v>
      </c>
      <c r="U184" s="5">
        <v>840</v>
      </c>
      <c r="V184">
        <v>12.9</v>
      </c>
      <c r="W184">
        <v>184</v>
      </c>
      <c r="X184">
        <v>0.93969849246231152</v>
      </c>
      <c r="Y184">
        <v>184</v>
      </c>
      <c r="Z184">
        <v>0.93969849246231152</v>
      </c>
      <c r="AC184">
        <v>0.14379</v>
      </c>
    </row>
    <row r="185" spans="1:29" x14ac:dyDescent="0.2">
      <c r="A185" t="str">
        <f t="shared" si="6"/>
        <v/>
      </c>
      <c r="B185" t="s">
        <v>373</v>
      </c>
      <c r="C185" t="str">
        <f>IF(ISNUMBER(MATCH(B185,$AD$2:$AD$27,0)),AC185,"")</f>
        <v/>
      </c>
      <c r="D185" t="str">
        <f>IF(ISNUMBER(C185),INDEX($U$2:$U$194, MATCH(B185,$T$2:$T$194,0)),"")</f>
        <v/>
      </c>
      <c r="H185" t="s">
        <v>363</v>
      </c>
      <c r="I185">
        <v>6.8500000000000005E-2</v>
      </c>
      <c r="K185" t="s">
        <v>373</v>
      </c>
      <c r="L185">
        <v>0.13785</v>
      </c>
      <c r="N185" t="s">
        <v>351</v>
      </c>
      <c r="O185">
        <v>0.26704</v>
      </c>
      <c r="Q185" t="s">
        <v>349</v>
      </c>
      <c r="R185">
        <v>0.15178</v>
      </c>
      <c r="T185" t="s">
        <v>368</v>
      </c>
      <c r="U185" s="5">
        <v>840</v>
      </c>
      <c r="V185">
        <v>26.1</v>
      </c>
      <c r="W185">
        <v>185</v>
      </c>
      <c r="X185">
        <v>0.94346733668341709</v>
      </c>
      <c r="Y185">
        <v>185</v>
      </c>
      <c r="Z185">
        <v>0.94346733668341709</v>
      </c>
      <c r="AC185">
        <v>0.13785</v>
      </c>
    </row>
    <row r="186" spans="1:29" x14ac:dyDescent="0.2">
      <c r="A186" t="str">
        <f t="shared" si="6"/>
        <v/>
      </c>
      <c r="B186" t="s">
        <v>372</v>
      </c>
      <c r="C186" t="str">
        <f>IF(ISNUMBER(MATCH(B186,$AD$2:$AD$27,0)),AC186,"")</f>
        <v/>
      </c>
      <c r="D186" t="str">
        <f>IF(ISNUMBER(C186),INDEX($U$2:$U$194, MATCH(B186,$T$2:$T$194,0)),"")</f>
        <v/>
      </c>
      <c r="H186" t="s">
        <v>328</v>
      </c>
      <c r="I186">
        <v>6.8500000000000005E-2</v>
      </c>
      <c r="K186" t="s">
        <v>372</v>
      </c>
      <c r="L186">
        <v>0.13774</v>
      </c>
      <c r="N186" t="s">
        <v>360</v>
      </c>
      <c r="O186">
        <v>0.26429999999999998</v>
      </c>
      <c r="Q186" t="s">
        <v>377</v>
      </c>
      <c r="R186">
        <v>0.14324000000000001</v>
      </c>
      <c r="T186" t="s">
        <v>372</v>
      </c>
      <c r="U186" s="8">
        <v>1840</v>
      </c>
      <c r="V186">
        <v>34.4</v>
      </c>
      <c r="W186">
        <v>186</v>
      </c>
      <c r="X186">
        <v>0.94723618090452266</v>
      </c>
      <c r="Y186">
        <v>186</v>
      </c>
      <c r="Z186">
        <v>0.94723618090452266</v>
      </c>
      <c r="AC186">
        <v>0.13774</v>
      </c>
    </row>
    <row r="187" spans="1:29" x14ac:dyDescent="0.2">
      <c r="A187" t="str">
        <f t="shared" si="6"/>
        <v/>
      </c>
      <c r="B187" t="s">
        <v>363</v>
      </c>
      <c r="C187" t="str">
        <f>IF(ISNUMBER(MATCH(B187,$AD$2:$AD$27,0)),AC187,"")</f>
        <v/>
      </c>
      <c r="D187" t="str">
        <f>IF(ISNUMBER(C187),INDEX($U$2:$U$194, MATCH(B187,$T$2:$T$194,0)),"")</f>
        <v/>
      </c>
      <c r="H187" t="s">
        <v>334</v>
      </c>
      <c r="I187">
        <v>6.8500000000000005E-2</v>
      </c>
      <c r="K187" t="s">
        <v>363</v>
      </c>
      <c r="L187">
        <v>0.1293</v>
      </c>
      <c r="N187" t="s">
        <v>331</v>
      </c>
      <c r="O187">
        <v>0.25931999999999999</v>
      </c>
      <c r="Q187" t="s">
        <v>376</v>
      </c>
      <c r="R187">
        <v>0.14054</v>
      </c>
      <c r="T187" t="s">
        <v>373</v>
      </c>
      <c r="U187" s="5">
        <v>2110</v>
      </c>
      <c r="V187">
        <v>11.7</v>
      </c>
      <c r="W187">
        <v>187</v>
      </c>
      <c r="X187">
        <v>0.95100502512562812</v>
      </c>
      <c r="Y187">
        <v>187</v>
      </c>
      <c r="Z187">
        <v>0.95100502512562812</v>
      </c>
      <c r="AC187">
        <v>0.1293</v>
      </c>
    </row>
    <row r="188" spans="1:29" x14ac:dyDescent="0.2">
      <c r="A188" t="str">
        <f t="shared" si="6"/>
        <v/>
      </c>
      <c r="B188" t="s">
        <v>352</v>
      </c>
      <c r="C188" t="str">
        <f>IF(ISNUMBER(MATCH(B188,$AD$2:$AD$27,0)),AC188,"")</f>
        <v/>
      </c>
      <c r="D188" t="str">
        <f>IF(ISNUMBER(C188),INDEX($U$2:$U$194, MATCH(B188,$T$2:$T$194,0)),"")</f>
        <v/>
      </c>
      <c r="H188" t="s">
        <v>261</v>
      </c>
      <c r="I188">
        <v>5.4800000000000001E-2</v>
      </c>
      <c r="K188" t="s">
        <v>352</v>
      </c>
      <c r="L188">
        <v>0.12703</v>
      </c>
      <c r="N188" t="s">
        <v>370</v>
      </c>
      <c r="O188">
        <v>0.17130000000000001</v>
      </c>
      <c r="Q188" t="s">
        <v>347</v>
      </c>
      <c r="R188">
        <v>0.13502</v>
      </c>
      <c r="T188" t="s">
        <v>374</v>
      </c>
      <c r="U188" s="5">
        <v>1830</v>
      </c>
      <c r="V188">
        <v>27.2</v>
      </c>
      <c r="W188">
        <v>188</v>
      </c>
      <c r="X188">
        <v>0.95477386934673358</v>
      </c>
      <c r="Y188">
        <v>188</v>
      </c>
      <c r="Z188">
        <v>0.95477386934673358</v>
      </c>
      <c r="AC188">
        <v>0.12703</v>
      </c>
    </row>
    <row r="189" spans="1:29" x14ac:dyDescent="0.2">
      <c r="A189" t="str">
        <f t="shared" si="6"/>
        <v/>
      </c>
      <c r="B189" t="s">
        <v>378</v>
      </c>
      <c r="C189" t="str">
        <f>IF(ISNUMBER(MATCH(B189,$AD$2:$AD$27,0)),AC189,"")</f>
        <v/>
      </c>
      <c r="D189" t="str">
        <f>IF(ISNUMBER(C189),INDEX($U$2:$U$194, MATCH(B189,$T$2:$T$194,0)),"")</f>
        <v/>
      </c>
      <c r="H189" t="s">
        <v>303</v>
      </c>
      <c r="I189">
        <v>5.4800000000000001E-2</v>
      </c>
      <c r="K189" t="s">
        <v>378</v>
      </c>
      <c r="L189">
        <v>0.1128</v>
      </c>
      <c r="N189" t="s">
        <v>340</v>
      </c>
      <c r="O189">
        <v>0.16850999999999999</v>
      </c>
      <c r="Q189" t="s">
        <v>369</v>
      </c>
      <c r="R189">
        <v>0.12379</v>
      </c>
      <c r="T189" t="s">
        <v>360</v>
      </c>
      <c r="U189" s="8">
        <v>1500</v>
      </c>
      <c r="V189">
        <v>41.1</v>
      </c>
      <c r="W189">
        <v>189</v>
      </c>
      <c r="X189">
        <v>0.95854271356783916</v>
      </c>
      <c r="Y189">
        <v>189</v>
      </c>
      <c r="Z189">
        <v>0.95854271356783916</v>
      </c>
      <c r="AC189">
        <v>0.1128</v>
      </c>
    </row>
    <row r="190" spans="1:29" x14ac:dyDescent="0.2">
      <c r="A190" t="str">
        <f t="shared" si="6"/>
        <v/>
      </c>
      <c r="B190" t="s">
        <v>367</v>
      </c>
      <c r="C190" t="str">
        <f>IF(ISNUMBER(MATCH(B190,$AD$2:$AD$27,0)),AC190,"")</f>
        <v/>
      </c>
      <c r="D190" t="str">
        <f>IF(ISNUMBER(C190),INDEX($U$2:$U$194, MATCH(B190,$T$2:$T$194,0)),"")</f>
        <v/>
      </c>
      <c r="H190" t="s">
        <v>312</v>
      </c>
      <c r="I190">
        <v>4.1099999999999998E-2</v>
      </c>
      <c r="K190" t="s">
        <v>367</v>
      </c>
      <c r="L190">
        <v>9.5509999999999998E-2</v>
      </c>
      <c r="N190" t="s">
        <v>326</v>
      </c>
      <c r="O190">
        <v>0.16677</v>
      </c>
      <c r="Q190" t="s">
        <v>375</v>
      </c>
      <c r="R190">
        <v>0.11945</v>
      </c>
      <c r="T190" t="s">
        <v>375</v>
      </c>
      <c r="U190" s="5">
        <v>920</v>
      </c>
      <c r="V190">
        <v>17.8</v>
      </c>
      <c r="W190">
        <v>190</v>
      </c>
      <c r="X190">
        <v>0.96231155778894473</v>
      </c>
      <c r="Y190">
        <v>190</v>
      </c>
      <c r="Z190">
        <v>0.96231155778894473</v>
      </c>
      <c r="AC190">
        <v>9.5509999999999998E-2</v>
      </c>
    </row>
    <row r="191" spans="1:29" x14ac:dyDescent="0.2">
      <c r="A191" t="str">
        <f t="shared" si="6"/>
        <v/>
      </c>
      <c r="B191" t="s">
        <v>80</v>
      </c>
      <c r="C191" t="str">
        <f>IF(ISNUMBER(MATCH(B191,$AD$2:$AD$27,0)),AC191,"")</f>
        <v/>
      </c>
      <c r="D191" t="str">
        <f>IF(ISNUMBER(C191),INDEX($U$2:$U$194, MATCH(B191,$T$2:$T$194,0)),"")</f>
        <v/>
      </c>
      <c r="H191" t="s">
        <v>80</v>
      </c>
      <c r="I191">
        <v>1.37E-2</v>
      </c>
      <c r="K191" t="s">
        <v>80</v>
      </c>
      <c r="L191">
        <v>8.0759999999999998E-2</v>
      </c>
      <c r="N191" t="s">
        <v>364</v>
      </c>
      <c r="O191">
        <v>0.15212000000000001</v>
      </c>
      <c r="Q191" t="s">
        <v>361</v>
      </c>
      <c r="R191">
        <v>6.3210000000000002E-2</v>
      </c>
      <c r="T191" t="s">
        <v>376</v>
      </c>
      <c r="U191" s="5">
        <v>980</v>
      </c>
      <c r="V191">
        <v>3.7</v>
      </c>
      <c r="W191">
        <v>191</v>
      </c>
      <c r="X191">
        <v>0.9660804020100503</v>
      </c>
      <c r="Y191">
        <v>191</v>
      </c>
      <c r="Z191">
        <v>0.9660804020100503</v>
      </c>
      <c r="AC191">
        <v>8.0759999999999998E-2</v>
      </c>
    </row>
    <row r="192" spans="1:29" x14ac:dyDescent="0.2">
      <c r="A192" t="str">
        <f t="shared" si="6"/>
        <v/>
      </c>
      <c r="B192" t="s">
        <v>368</v>
      </c>
      <c r="C192" t="str">
        <f>IF(ISNUMBER(MATCH(B192,$AD$2:$AD$27,0)),AC192,"")</f>
        <v/>
      </c>
      <c r="D192" t="str">
        <f>IF(ISNUMBER(C192),INDEX($U$2:$U$194, MATCH(B192,$T$2:$T$194,0)),"")</f>
        <v/>
      </c>
      <c r="H192" t="s">
        <v>376</v>
      </c>
      <c r="I192">
        <v>1.37E-2</v>
      </c>
      <c r="K192" t="s">
        <v>368</v>
      </c>
      <c r="L192">
        <v>2.9080000000000002E-2</v>
      </c>
      <c r="N192" t="s">
        <v>283</v>
      </c>
      <c r="O192">
        <v>0.14879000000000001</v>
      </c>
      <c r="Q192" t="s">
        <v>364</v>
      </c>
      <c r="R192">
        <v>5.4730000000000001E-2</v>
      </c>
      <c r="T192" t="s">
        <v>377</v>
      </c>
      <c r="V192">
        <v>17.600000000000001</v>
      </c>
      <c r="W192">
        <v>192</v>
      </c>
      <c r="X192">
        <v>0.96984924623115587</v>
      </c>
      <c r="Y192">
        <v>192</v>
      </c>
      <c r="Z192">
        <v>0.96984924623115587</v>
      </c>
      <c r="AC192">
        <v>2.9080000000000002E-2</v>
      </c>
    </row>
    <row r="193" spans="1:29" x14ac:dyDescent="0.2">
      <c r="A193" t="str">
        <f t="shared" si="6"/>
        <v/>
      </c>
      <c r="B193" t="s">
        <v>366</v>
      </c>
      <c r="C193" t="str">
        <f>IF(ISNUMBER(MATCH(B193,$AD$2:$AD$27,0)),AC193,"")</f>
        <v/>
      </c>
      <c r="D193" t="str">
        <f>IF(ISNUMBER(C193),INDEX($U$2:$U$194, MATCH(B193,$T$2:$T$194,0)),"")</f>
        <v/>
      </c>
      <c r="H193" t="s">
        <v>366</v>
      </c>
      <c r="I193">
        <v>0</v>
      </c>
      <c r="K193" t="s">
        <v>366</v>
      </c>
      <c r="L193">
        <v>2.299E-2</v>
      </c>
      <c r="N193" t="s">
        <v>307</v>
      </c>
      <c r="O193">
        <v>0.12497999999999999</v>
      </c>
      <c r="Q193" t="s">
        <v>371</v>
      </c>
      <c r="R193">
        <v>3.3050000000000003E-2</v>
      </c>
      <c r="T193" t="s">
        <v>364</v>
      </c>
      <c r="U193" s="8">
        <v>1200</v>
      </c>
      <c r="V193">
        <v>10.9</v>
      </c>
      <c r="W193">
        <v>193</v>
      </c>
      <c r="X193">
        <v>0.97361809045226133</v>
      </c>
      <c r="Y193">
        <v>193</v>
      </c>
      <c r="Z193">
        <v>0.97361809045226133</v>
      </c>
      <c r="AC193">
        <v>2.299E-2</v>
      </c>
    </row>
    <row r="194" spans="1:29" x14ac:dyDescent="0.2">
      <c r="A194" t="str">
        <f t="shared" si="6"/>
        <v/>
      </c>
      <c r="H194" t="s">
        <v>368</v>
      </c>
      <c r="I194">
        <v>0</v>
      </c>
      <c r="K194" t="s">
        <v>376</v>
      </c>
      <c r="L194">
        <v>0</v>
      </c>
      <c r="N194" t="s">
        <v>301</v>
      </c>
      <c r="O194">
        <v>0</v>
      </c>
      <c r="Q194" t="s">
        <v>378</v>
      </c>
      <c r="R194">
        <v>0</v>
      </c>
      <c r="T194" t="s">
        <v>378</v>
      </c>
      <c r="U194" s="8">
        <v>980</v>
      </c>
      <c r="V194">
        <v>5.5</v>
      </c>
      <c r="W194">
        <v>194</v>
      </c>
      <c r="X194">
        <v>0.97738693467336679</v>
      </c>
      <c r="Y194">
        <v>194</v>
      </c>
      <c r="Z194">
        <v>0.97738693467336679</v>
      </c>
    </row>
    <row r="195" spans="1:29" x14ac:dyDescent="0.2">
      <c r="W195">
        <v>195</v>
      </c>
      <c r="X195">
        <v>0.98115577889447236</v>
      </c>
      <c r="Y195">
        <v>195</v>
      </c>
      <c r="Z195">
        <v>0.98115577889447236</v>
      </c>
    </row>
    <row r="196" spans="1:29" x14ac:dyDescent="0.2">
      <c r="W196">
        <v>196</v>
      </c>
      <c r="X196">
        <v>0.98492462311557794</v>
      </c>
      <c r="Y196">
        <v>196</v>
      </c>
      <c r="Z196">
        <v>0.98492462311557794</v>
      </c>
    </row>
    <row r="197" spans="1:29" x14ac:dyDescent="0.2">
      <c r="W197">
        <v>197</v>
      </c>
      <c r="X197">
        <v>0.9886934673366834</v>
      </c>
      <c r="Y197">
        <v>197</v>
      </c>
      <c r="Z197">
        <v>0.9886934673366834</v>
      </c>
    </row>
    <row r="198" spans="1:29" x14ac:dyDescent="0.2">
      <c r="W198">
        <v>198</v>
      </c>
      <c r="X198">
        <v>0.99246231155778886</v>
      </c>
      <c r="Y198">
        <v>198</v>
      </c>
      <c r="Z198">
        <v>0.99246231155778886</v>
      </c>
    </row>
    <row r="199" spans="1:29" x14ac:dyDescent="0.2">
      <c r="W199">
        <v>199</v>
      </c>
      <c r="X199">
        <v>0.99623115577889443</v>
      </c>
      <c r="Y199">
        <v>199</v>
      </c>
      <c r="Z199">
        <v>0.99623115577889443</v>
      </c>
    </row>
    <row r="200" spans="1:29" x14ac:dyDescent="0.2">
      <c r="W200">
        <v>200</v>
      </c>
      <c r="X200">
        <v>1</v>
      </c>
      <c r="Y200">
        <v>200</v>
      </c>
      <c r="Z200">
        <v>1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036E-1CEA-8840-A5D9-7BE82354D258}">
  <sheetPr codeName="Sheet5">
    <tabColor rgb="FF002060"/>
  </sheetPr>
  <dimension ref="A1:AB200"/>
  <sheetViews>
    <sheetView topLeftCell="F13" zoomScaleNormal="100" workbookViewId="0">
      <selection activeCell="F40" sqref="F40"/>
    </sheetView>
  </sheetViews>
  <sheetFormatPr baseColWidth="10" defaultRowHeight="16" x14ac:dyDescent="0.2"/>
  <cols>
    <col min="1" max="1" width="30.6640625" customWidth="1"/>
    <col min="2" max="2" width="19.83203125" customWidth="1"/>
    <col min="3" max="3" width="17" customWidth="1"/>
    <col min="4" max="7" width="20.6640625" customWidth="1"/>
    <col min="8" max="8" width="23" customWidth="1"/>
    <col min="11" max="11" width="23.33203125" customWidth="1"/>
    <col min="13" max="13" width="38.1640625" customWidth="1"/>
    <col min="14" max="14" width="24" customWidth="1"/>
    <col min="17" max="17" width="19.83203125" customWidth="1"/>
    <col min="18" max="18" width="17" customWidth="1"/>
    <col min="20" max="20" width="18.83203125" customWidth="1"/>
    <col min="21" max="21" width="25.6640625" style="5" customWidth="1"/>
  </cols>
  <sheetData>
    <row r="1" spans="1:28" x14ac:dyDescent="0.2">
      <c r="A1" s="1" t="s">
        <v>0</v>
      </c>
      <c r="B1" s="2" t="s">
        <v>0</v>
      </c>
      <c r="C1" s="2" t="s">
        <v>8</v>
      </c>
      <c r="D1" s="1" t="s">
        <v>2</v>
      </c>
      <c r="E1" s="1" t="s">
        <v>3</v>
      </c>
      <c r="F1" s="1" t="s">
        <v>382</v>
      </c>
      <c r="G1" s="2"/>
      <c r="H1" s="2" t="s">
        <v>0</v>
      </c>
      <c r="I1" s="2" t="s">
        <v>5</v>
      </c>
      <c r="J1" s="2"/>
      <c r="K1" s="2" t="s">
        <v>0</v>
      </c>
      <c r="L1" s="2" t="s">
        <v>6</v>
      </c>
      <c r="M1" s="2"/>
      <c r="N1" s="2" t="s">
        <v>0</v>
      </c>
      <c r="O1" s="2" t="s">
        <v>7</v>
      </c>
      <c r="P1" s="2"/>
      <c r="Q1" s="2" t="s">
        <v>0</v>
      </c>
      <c r="R1" s="2" t="s">
        <v>8</v>
      </c>
      <c r="T1" s="3" t="s">
        <v>9</v>
      </c>
      <c r="U1" s="4" t="s">
        <v>10</v>
      </c>
      <c r="V1" s="3" t="s">
        <v>11</v>
      </c>
      <c r="W1">
        <v>1</v>
      </c>
      <c r="X1">
        <v>0.25</v>
      </c>
      <c r="Y1">
        <v>1</v>
      </c>
      <c r="Z1">
        <v>0.25</v>
      </c>
    </row>
    <row r="2" spans="1:28" x14ac:dyDescent="0.2">
      <c r="A2" t="str">
        <f>IF(E2&gt;1, TII_VH!B2, "")</f>
        <v>U.A.E.</v>
      </c>
      <c r="B2" t="s">
        <v>16</v>
      </c>
      <c r="C2">
        <v>1</v>
      </c>
      <c r="D2">
        <f>INDEX($U$2:$U$194, MATCH(TII_VH!B2,$T$2:$T$194,0))</f>
        <v>74410</v>
      </c>
      <c r="E2">
        <f>INDEX($V$2:$V$194, MATCH(TII_VH!B2,$T$2:$T$194,0))</f>
        <v>9.3000000000000007</v>
      </c>
      <c r="F2">
        <f>INDEX($O$2:$O$194, MATCH(TII_VH!B2,$N$2:$N$194,0))</f>
        <v>0.94355</v>
      </c>
      <c r="H2" t="s">
        <v>13</v>
      </c>
      <c r="I2">
        <v>1</v>
      </c>
      <c r="K2" t="s">
        <v>25</v>
      </c>
      <c r="L2">
        <v>1</v>
      </c>
      <c r="N2" t="s">
        <v>36</v>
      </c>
      <c r="O2">
        <v>1</v>
      </c>
      <c r="Q2" t="s">
        <v>16</v>
      </c>
      <c r="R2">
        <v>1</v>
      </c>
      <c r="T2" t="s">
        <v>12</v>
      </c>
      <c r="U2" s="5">
        <v>68300</v>
      </c>
      <c r="V2">
        <v>5.9</v>
      </c>
      <c r="W2">
        <v>2</v>
      </c>
      <c r="X2">
        <v>0.25376884422110552</v>
      </c>
      <c r="Y2">
        <v>2</v>
      </c>
      <c r="Z2">
        <v>0.25376884422110552</v>
      </c>
      <c r="AB2" t="str">
        <f>TRIM(N2)</f>
        <v>Australia</v>
      </c>
    </row>
    <row r="3" spans="1:28" x14ac:dyDescent="0.2">
      <c r="A3" t="str">
        <f>IF(E3&gt;1, TII_VH!B3, "")</f>
        <v>Kuwait</v>
      </c>
      <c r="B3" t="s">
        <v>160</v>
      </c>
      <c r="C3">
        <v>0.99883</v>
      </c>
      <c r="D3">
        <f>INDEX($U$2:$U$194, MATCH(TII_VH!B3,$T$2:$T$194,0))</f>
        <v>74630</v>
      </c>
      <c r="E3">
        <f>INDEX($V$2:$V$194, MATCH(TII_VH!B3,$T$2:$T$194,0))</f>
        <v>4.3</v>
      </c>
      <c r="F3">
        <f>INDEX($O$2:$O$194, MATCH(TII_VH!B3,$N$2:$N$194,0))</f>
        <v>0.70830000000000004</v>
      </c>
      <c r="H3" t="s">
        <v>49</v>
      </c>
      <c r="I3">
        <v>0.98629999999999995</v>
      </c>
      <c r="K3" t="s">
        <v>12</v>
      </c>
      <c r="L3">
        <v>0.99924000000000002</v>
      </c>
      <c r="N3" t="s">
        <v>28</v>
      </c>
      <c r="O3">
        <v>0.99531000000000003</v>
      </c>
      <c r="Q3" t="s">
        <v>160</v>
      </c>
      <c r="R3">
        <v>0.99883</v>
      </c>
      <c r="T3" t="s">
        <v>17</v>
      </c>
      <c r="U3" s="5">
        <v>38110</v>
      </c>
      <c r="V3">
        <v>1.3</v>
      </c>
      <c r="W3">
        <v>3</v>
      </c>
      <c r="X3">
        <v>0.25753768844221103</v>
      </c>
      <c r="Y3">
        <v>3</v>
      </c>
      <c r="Z3">
        <v>0.25753768844221103</v>
      </c>
      <c r="AB3" t="str">
        <f t="shared" ref="AB3:AB66" si="0">TRIM(N3)</f>
        <v>Iceland</v>
      </c>
    </row>
    <row r="4" spans="1:28" x14ac:dyDescent="0.2">
      <c r="A4" t="str">
        <f>IF(E4&gt;1, TII_VH!B4, "")</f>
        <v/>
      </c>
      <c r="B4" t="s">
        <v>28</v>
      </c>
      <c r="C4">
        <v>0.99829000000000001</v>
      </c>
      <c r="D4">
        <f>INDEX($U$2:$U$194, MATCH(TII_VH!B4,$T$2:$T$194,0))</f>
        <v>55220</v>
      </c>
      <c r="E4">
        <f>INDEX($V$2:$V$194, MATCH(TII_VH!B4,$T$2:$T$194,0))</f>
        <v>0.4</v>
      </c>
      <c r="F4">
        <f>INDEX($O$2:$O$194, MATCH(TII_VH!B4,$N$2:$N$194,0))</f>
        <v>0.99531000000000003</v>
      </c>
      <c r="H4" t="s">
        <v>12</v>
      </c>
      <c r="I4">
        <v>0.98629999999999995</v>
      </c>
      <c r="K4" t="s">
        <v>17</v>
      </c>
      <c r="L4">
        <v>0.99534999999999996</v>
      </c>
      <c r="N4" t="s">
        <v>38</v>
      </c>
      <c r="O4">
        <v>0.98358999999999996</v>
      </c>
      <c r="Q4" t="s">
        <v>28</v>
      </c>
      <c r="R4">
        <v>0.99829000000000001</v>
      </c>
      <c r="T4" t="s">
        <v>22</v>
      </c>
      <c r="U4" s="5">
        <v>116500</v>
      </c>
      <c r="V4">
        <v>5.6</v>
      </c>
      <c r="W4">
        <v>4</v>
      </c>
      <c r="X4">
        <v>0.2613065326633166</v>
      </c>
      <c r="Y4">
        <v>4</v>
      </c>
      <c r="Z4">
        <v>0.2613065326633166</v>
      </c>
      <c r="AB4" t="str">
        <f t="shared" si="0"/>
        <v>Finland</v>
      </c>
    </row>
    <row r="5" spans="1:28" x14ac:dyDescent="0.2">
      <c r="A5" t="str">
        <f>IF(E5&gt;1, TII_VH!B5, "")</f>
        <v>Denmark</v>
      </c>
      <c r="B5" t="s">
        <v>12</v>
      </c>
      <c r="C5">
        <v>0.99661999999999995</v>
      </c>
      <c r="D5">
        <f>INDEX($U$2:$U$194, MATCH(TII_VH!B5,$T$2:$T$194,0))</f>
        <v>68300</v>
      </c>
      <c r="E5">
        <f>INDEX($V$2:$V$194, MATCH(TII_VH!B5,$T$2:$T$194,0))</f>
        <v>5.9</v>
      </c>
      <c r="F5">
        <f>INDEX($O$2:$O$194, MATCH(TII_VH!B5,$N$2:$N$194,0))</f>
        <v>0.95840999999999998</v>
      </c>
      <c r="H5" t="s">
        <v>25</v>
      </c>
      <c r="I5">
        <v>0.97260000000000002</v>
      </c>
      <c r="K5" t="s">
        <v>31</v>
      </c>
      <c r="L5">
        <v>0.98995</v>
      </c>
      <c r="N5" t="s">
        <v>39</v>
      </c>
      <c r="O5">
        <v>0.96880999999999995</v>
      </c>
      <c r="Q5" t="s">
        <v>12</v>
      </c>
      <c r="R5">
        <v>0.99661999999999995</v>
      </c>
      <c r="T5" t="s">
        <v>25</v>
      </c>
      <c r="U5" s="5">
        <v>44740</v>
      </c>
      <c r="V5">
        <v>51.8</v>
      </c>
      <c r="W5">
        <v>5</v>
      </c>
      <c r="X5">
        <v>0.26507537688442212</v>
      </c>
      <c r="Y5">
        <v>5</v>
      </c>
      <c r="Z5">
        <v>0.26507537688442212</v>
      </c>
      <c r="AB5" t="str">
        <f t="shared" si="0"/>
        <v>Netherlands</v>
      </c>
    </row>
    <row r="6" spans="1:28" x14ac:dyDescent="0.2">
      <c r="A6" t="str">
        <f>IF(E6&gt;1, TII_VH!B6, "")</f>
        <v>Qatar</v>
      </c>
      <c r="B6" t="s">
        <v>137</v>
      </c>
      <c r="C6">
        <v>0.99634</v>
      </c>
      <c r="D6">
        <f>INDEX($U$2:$U$194, MATCH(TII_VH!B6,$T$2:$T$194,0))</f>
        <v>88070</v>
      </c>
      <c r="E6">
        <f>INDEX($V$2:$V$194, MATCH(TII_VH!B6,$T$2:$T$194,0))</f>
        <v>2.9</v>
      </c>
      <c r="F6">
        <f>INDEX($O$2:$O$194, MATCH(TII_VH!B6,$N$2:$N$194,0))</f>
        <v>0.71135000000000004</v>
      </c>
      <c r="H6" t="s">
        <v>46</v>
      </c>
      <c r="I6">
        <v>0.97260000000000002</v>
      </c>
      <c r="K6" t="s">
        <v>13</v>
      </c>
      <c r="L6">
        <v>0.98536000000000001</v>
      </c>
      <c r="N6" t="s">
        <v>46</v>
      </c>
      <c r="O6">
        <v>0.96723999999999999</v>
      </c>
      <c r="Q6" t="s">
        <v>137</v>
      </c>
      <c r="R6">
        <v>0.99634</v>
      </c>
      <c r="T6" t="s">
        <v>28</v>
      </c>
      <c r="U6" s="5">
        <v>55220</v>
      </c>
      <c r="V6">
        <v>0.4</v>
      </c>
      <c r="W6">
        <v>6</v>
      </c>
      <c r="X6">
        <v>0.26884422110552764</v>
      </c>
      <c r="Y6">
        <v>6</v>
      </c>
      <c r="Z6">
        <v>0.26884422110552764</v>
      </c>
      <c r="AB6" t="str">
        <f t="shared" si="0"/>
        <v>Germany</v>
      </c>
    </row>
    <row r="7" spans="1:28" x14ac:dyDescent="0.2">
      <c r="A7" t="str">
        <f>IF(E7&gt;1, TII_VH!B7, "")</f>
        <v>South Korea</v>
      </c>
      <c r="B7" t="s">
        <v>25</v>
      </c>
      <c r="C7">
        <v>0.99170000000000003</v>
      </c>
      <c r="D7">
        <f>INDEX($U$2:$U$194, MATCH(TII_VH!B7,$T$2:$T$194,0))</f>
        <v>44740</v>
      </c>
      <c r="E7">
        <f>INDEX($V$2:$V$194, MATCH(TII_VH!B7,$T$2:$T$194,0))</f>
        <v>51.8</v>
      </c>
      <c r="F7">
        <f>INDEX($O$2:$O$194, MATCH(TII_VH!B7,$N$2:$N$194,0))</f>
        <v>0.91198000000000001</v>
      </c>
      <c r="H7" t="s">
        <v>32</v>
      </c>
      <c r="I7">
        <v>0.97260000000000002</v>
      </c>
      <c r="K7" t="s">
        <v>22</v>
      </c>
      <c r="L7">
        <v>0.98306000000000004</v>
      </c>
      <c r="N7" t="s">
        <v>57</v>
      </c>
      <c r="O7">
        <v>0.96152000000000004</v>
      </c>
      <c r="Q7" t="s">
        <v>25</v>
      </c>
      <c r="R7">
        <v>0.99170000000000003</v>
      </c>
      <c r="T7" t="s">
        <v>31</v>
      </c>
      <c r="U7" s="5">
        <v>46120</v>
      </c>
      <c r="V7">
        <v>35.799999999999997</v>
      </c>
      <c r="W7">
        <v>7</v>
      </c>
      <c r="X7">
        <v>0.27261306532663315</v>
      </c>
      <c r="Y7">
        <v>7</v>
      </c>
      <c r="Z7">
        <v>0.27261306532663315</v>
      </c>
      <c r="AB7" t="str">
        <f t="shared" si="0"/>
        <v>New Zealand</v>
      </c>
    </row>
    <row r="8" spans="1:28" x14ac:dyDescent="0.2">
      <c r="A8" t="str">
        <f>IF(E8&gt;1, TII_VH!B8, "")</f>
        <v/>
      </c>
      <c r="B8" t="s">
        <v>35</v>
      </c>
      <c r="C8">
        <v>0.99063999999999997</v>
      </c>
      <c r="E8">
        <f>INDEX($V$2:$V$194, MATCH(TII_VH!B8,$T$2:$T$194,0))</f>
        <v>0.04</v>
      </c>
      <c r="F8">
        <f>INDEX($O$2:$O$194, MATCH(TII_VH!B8,$N$2:$N$194,0))</f>
        <v>0.82630999999999999</v>
      </c>
      <c r="H8" t="s">
        <v>17</v>
      </c>
      <c r="I8">
        <v>0.95889999999999997</v>
      </c>
      <c r="K8" t="s">
        <v>32</v>
      </c>
      <c r="L8">
        <v>0.95348999999999995</v>
      </c>
      <c r="N8" t="s">
        <v>12</v>
      </c>
      <c r="O8">
        <v>0.95840999999999998</v>
      </c>
      <c r="Q8" t="s">
        <v>35</v>
      </c>
      <c r="R8">
        <v>0.99063999999999997</v>
      </c>
      <c r="T8" t="s">
        <v>32</v>
      </c>
      <c r="U8" s="5">
        <v>53070</v>
      </c>
      <c r="V8">
        <v>67.3</v>
      </c>
      <c r="W8">
        <v>8</v>
      </c>
      <c r="X8">
        <v>0.27638190954773867</v>
      </c>
      <c r="Y8">
        <v>8</v>
      </c>
      <c r="Z8">
        <v>0.27638190954773867</v>
      </c>
      <c r="AB8" t="str">
        <f t="shared" si="0"/>
        <v>Denmark</v>
      </c>
    </row>
    <row r="9" spans="1:28" x14ac:dyDescent="0.2">
      <c r="A9" t="str">
        <f>IF(E9&gt;1, TII_VH!B9, "")</f>
        <v/>
      </c>
      <c r="B9" t="s">
        <v>37</v>
      </c>
      <c r="C9">
        <v>0.98875999999999997</v>
      </c>
      <c r="D9">
        <f>INDEX($U$2:$U$194, MATCH(TII_VH!B9,$T$2:$T$194,0))</f>
        <v>82230</v>
      </c>
      <c r="E9">
        <f>INDEX($V$2:$V$194, MATCH(TII_VH!B9,$T$2:$T$194,0))</f>
        <v>0.6</v>
      </c>
      <c r="F9">
        <f>INDEX($O$2:$O$194, MATCH(TII_VH!B9,$N$2:$N$194,0))</f>
        <v>0.79547999999999996</v>
      </c>
      <c r="H9" t="s">
        <v>28</v>
      </c>
      <c r="I9">
        <v>0.95889999999999997</v>
      </c>
      <c r="K9" t="s">
        <v>57</v>
      </c>
      <c r="L9">
        <v>0.94530000000000003</v>
      </c>
      <c r="N9" t="s">
        <v>17</v>
      </c>
      <c r="O9">
        <v>0.94972000000000001</v>
      </c>
      <c r="Q9" t="s">
        <v>37</v>
      </c>
      <c r="R9">
        <v>0.98875999999999997</v>
      </c>
      <c r="T9" t="s">
        <v>36</v>
      </c>
      <c r="U9" s="5">
        <v>55100</v>
      </c>
      <c r="V9">
        <v>25.7</v>
      </c>
      <c r="W9">
        <v>9</v>
      </c>
      <c r="X9">
        <v>0.28015075376884424</v>
      </c>
      <c r="Y9">
        <v>9</v>
      </c>
      <c r="Z9">
        <v>0.28015075376884424</v>
      </c>
      <c r="AB9" t="str">
        <f t="shared" si="0"/>
        <v>Estonia</v>
      </c>
    </row>
    <row r="10" spans="1:28" x14ac:dyDescent="0.2">
      <c r="A10" t="str">
        <f>IF(E10&gt;1, TII_VH!B10, "")</f>
        <v>Singapore</v>
      </c>
      <c r="B10" t="s">
        <v>22</v>
      </c>
      <c r="C10">
        <v>0.98806000000000005</v>
      </c>
      <c r="D10">
        <f>INDEX($U$2:$U$194, MATCH(TII_VH!B10,$T$2:$T$194,0))</f>
        <v>116500</v>
      </c>
      <c r="E10">
        <f>INDEX($V$2:$V$194, MATCH(TII_VH!B10,$T$2:$T$194,0))</f>
        <v>5.6</v>
      </c>
      <c r="F10">
        <f>INDEX($O$2:$O$194, MATCH(TII_VH!B10,$N$2:$N$194,0))</f>
        <v>0.93615000000000004</v>
      </c>
      <c r="H10" t="s">
        <v>31</v>
      </c>
      <c r="I10">
        <v>0.95889999999999997</v>
      </c>
      <c r="K10" t="s">
        <v>49</v>
      </c>
      <c r="L10">
        <v>0.94274000000000002</v>
      </c>
      <c r="N10" t="s">
        <v>32</v>
      </c>
      <c r="O10">
        <v>0.94498000000000004</v>
      </c>
      <c r="Q10" t="s">
        <v>22</v>
      </c>
      <c r="R10">
        <v>0.98806000000000005</v>
      </c>
      <c r="T10" t="s">
        <v>38</v>
      </c>
      <c r="U10" s="5">
        <v>53040</v>
      </c>
      <c r="V10">
        <v>5.5</v>
      </c>
      <c r="W10">
        <v>10</v>
      </c>
      <c r="X10">
        <v>0.28391959798994976</v>
      </c>
      <c r="Y10">
        <v>10</v>
      </c>
      <c r="Z10">
        <v>0.28391959798994976</v>
      </c>
      <c r="AB10" t="str">
        <f t="shared" si="0"/>
        <v>U.K.</v>
      </c>
    </row>
    <row r="11" spans="1:28" x14ac:dyDescent="0.2">
      <c r="A11" t="str">
        <f>IF(E11&gt;1, TII_VH!B11, "")</f>
        <v>Bahrain</v>
      </c>
      <c r="B11" t="s">
        <v>63</v>
      </c>
      <c r="C11">
        <v>0.98773</v>
      </c>
      <c r="D11">
        <f>INDEX($U$2:$U$194, MATCH(TII_VH!B11,$T$2:$T$194,0))</f>
        <v>47850</v>
      </c>
      <c r="E11">
        <f>INDEX($V$2:$V$194, MATCH(TII_VH!B11,$T$2:$T$194,0))</f>
        <v>1.5</v>
      </c>
      <c r="F11">
        <f>INDEX($O$2:$O$194, MATCH(TII_VH!B11,$N$2:$N$194,0))</f>
        <v>0.86804000000000003</v>
      </c>
      <c r="H11" t="s">
        <v>22</v>
      </c>
      <c r="I11">
        <v>0.95889999999999997</v>
      </c>
      <c r="K11" t="s">
        <v>76</v>
      </c>
      <c r="L11">
        <v>0.93903000000000003</v>
      </c>
      <c r="N11" t="s">
        <v>16</v>
      </c>
      <c r="O11">
        <v>0.94355</v>
      </c>
      <c r="Q11" t="s">
        <v>63</v>
      </c>
      <c r="R11">
        <v>0.98773</v>
      </c>
      <c r="T11" t="s">
        <v>39</v>
      </c>
      <c r="U11" s="5">
        <v>61000</v>
      </c>
      <c r="V11">
        <v>17.5</v>
      </c>
      <c r="W11">
        <v>11</v>
      </c>
      <c r="X11">
        <v>0.28768844221105527</v>
      </c>
      <c r="Y11">
        <v>11</v>
      </c>
      <c r="Z11">
        <v>0.28768844221105527</v>
      </c>
      <c r="AB11" t="str">
        <f t="shared" si="0"/>
        <v>U.A.E.</v>
      </c>
    </row>
    <row r="12" spans="1:28" x14ac:dyDescent="0.2">
      <c r="A12" t="str">
        <f>IF(E12&gt;1, TII_VH!B12, "")</f>
        <v/>
      </c>
      <c r="B12" t="s">
        <v>179</v>
      </c>
      <c r="C12">
        <v>0.98680000000000001</v>
      </c>
      <c r="D12">
        <f>INDEX($U$2:$U$194, MATCH(TII_VH!B12,$T$2:$T$194,0))</f>
        <v>83530</v>
      </c>
      <c r="E12">
        <f>INDEX($V$2:$V$194, MATCH(TII_VH!B12,$T$2:$T$194,0))</f>
        <v>0.4</v>
      </c>
      <c r="F12">
        <f>INDEX($O$2:$O$194, MATCH(TII_VH!B12,$N$2:$N$194,0))</f>
        <v>0.69908999999999999</v>
      </c>
      <c r="H12" t="s">
        <v>64</v>
      </c>
      <c r="I12">
        <v>0.94520000000000004</v>
      </c>
      <c r="K12" t="s">
        <v>97</v>
      </c>
      <c r="L12">
        <v>0.92576000000000003</v>
      </c>
      <c r="N12" t="s">
        <v>22</v>
      </c>
      <c r="O12">
        <v>0.93615000000000004</v>
      </c>
      <c r="Q12" t="s">
        <v>179</v>
      </c>
      <c r="R12">
        <v>0.98680000000000001</v>
      </c>
      <c r="T12" t="s">
        <v>16</v>
      </c>
      <c r="U12" s="5">
        <v>74410</v>
      </c>
      <c r="V12">
        <v>9.3000000000000007</v>
      </c>
      <c r="W12">
        <v>12</v>
      </c>
      <c r="X12">
        <v>0.29145728643216079</v>
      </c>
      <c r="Y12">
        <v>12</v>
      </c>
      <c r="Z12">
        <v>0.29145728643216079</v>
      </c>
      <c r="AB12" t="str">
        <f t="shared" si="0"/>
        <v>Singapore</v>
      </c>
    </row>
    <row r="13" spans="1:28" x14ac:dyDescent="0.2">
      <c r="A13" t="str">
        <f>IF(E13&gt;1, TII_VH!B13, "")</f>
        <v>Sweden</v>
      </c>
      <c r="B13" t="s">
        <v>52</v>
      </c>
      <c r="C13">
        <v>0.98678999999999994</v>
      </c>
      <c r="D13">
        <f>INDEX($U$2:$U$194, MATCH(TII_VH!B13,$T$2:$T$194,0))</f>
        <v>58780</v>
      </c>
      <c r="E13">
        <f>INDEX($V$2:$V$194, MATCH(TII_VH!B13,$T$2:$T$194,0))</f>
        <v>10.4</v>
      </c>
      <c r="F13">
        <f>INDEX($O$2:$O$194, MATCH(TII_VH!B13,$N$2:$N$194,0))</f>
        <v>0.92745</v>
      </c>
      <c r="H13" t="s">
        <v>39</v>
      </c>
      <c r="I13">
        <v>0.93149999999999999</v>
      </c>
      <c r="K13" t="s">
        <v>46</v>
      </c>
      <c r="L13">
        <v>0.92383999999999999</v>
      </c>
      <c r="N13" t="s">
        <v>111</v>
      </c>
      <c r="O13">
        <v>0.93298000000000003</v>
      </c>
      <c r="Q13" t="s">
        <v>52</v>
      </c>
      <c r="R13">
        <v>0.98678999999999994</v>
      </c>
      <c r="T13" t="s">
        <v>46</v>
      </c>
      <c r="U13" s="5">
        <v>58370</v>
      </c>
      <c r="V13">
        <v>83.2</v>
      </c>
      <c r="W13">
        <v>13</v>
      </c>
      <c r="X13">
        <v>0.29522613065326631</v>
      </c>
      <c r="Y13">
        <v>13</v>
      </c>
      <c r="Z13">
        <v>0.29522613065326631</v>
      </c>
      <c r="AB13" t="str">
        <f t="shared" si="0"/>
        <v>Argentina</v>
      </c>
    </row>
    <row r="14" spans="1:28" x14ac:dyDescent="0.2">
      <c r="A14" t="str">
        <f>IF(E14&gt;1, TII_VH!B14, "")</f>
        <v>Malaysia</v>
      </c>
      <c r="B14" t="s">
        <v>51</v>
      </c>
      <c r="C14">
        <v>0.98617999999999995</v>
      </c>
      <c r="D14">
        <f>INDEX($U$2:$U$194, MATCH(TII_VH!B14,$T$2:$T$194,0))</f>
        <v>28650</v>
      </c>
      <c r="E14">
        <f>INDEX($V$2:$V$194, MATCH(TII_VH!B14,$T$2:$T$194,0))</f>
        <v>33.6</v>
      </c>
      <c r="F14">
        <f>INDEX($O$2:$O$194, MATCH(TII_VH!B14,$N$2:$N$194,0))</f>
        <v>0.71921000000000002</v>
      </c>
      <c r="H14" t="s">
        <v>57</v>
      </c>
      <c r="I14">
        <v>0.93149999999999999</v>
      </c>
      <c r="K14" t="s">
        <v>50</v>
      </c>
      <c r="L14">
        <v>0.92252999999999996</v>
      </c>
      <c r="N14" t="s">
        <v>52</v>
      </c>
      <c r="O14">
        <v>0.92745</v>
      </c>
      <c r="Q14" t="s">
        <v>51</v>
      </c>
      <c r="R14">
        <v>0.98617999999999995</v>
      </c>
      <c r="T14" t="s">
        <v>49</v>
      </c>
      <c r="U14" s="5">
        <v>44600</v>
      </c>
      <c r="V14">
        <v>125.1</v>
      </c>
      <c r="W14">
        <v>14</v>
      </c>
      <c r="X14">
        <v>0.29899497487437188</v>
      </c>
      <c r="Y14">
        <v>14</v>
      </c>
      <c r="Z14">
        <v>0.29899497487437188</v>
      </c>
      <c r="AB14" t="str">
        <f t="shared" si="0"/>
        <v>Sweden</v>
      </c>
    </row>
    <row r="15" spans="1:28" x14ac:dyDescent="0.2">
      <c r="A15" t="str">
        <f>IF(E15&gt;1, TII_VH!B15, "")</f>
        <v>Saudi Arabia</v>
      </c>
      <c r="B15" t="s">
        <v>31</v>
      </c>
      <c r="C15">
        <v>0.98411000000000004</v>
      </c>
      <c r="D15">
        <f>INDEX($U$2:$U$194, MATCH(TII_VH!B15,$T$2:$T$194,0))</f>
        <v>46120</v>
      </c>
      <c r="E15">
        <f>INDEX($V$2:$V$194, MATCH(TII_VH!B15,$T$2:$T$194,0))</f>
        <v>35.799999999999997</v>
      </c>
      <c r="F15">
        <f>INDEX($O$2:$O$194, MATCH(TII_VH!B15,$N$2:$N$194,0))</f>
        <v>0.90666000000000002</v>
      </c>
      <c r="H15" t="s">
        <v>97</v>
      </c>
      <c r="I15">
        <v>0.93149999999999999</v>
      </c>
      <c r="K15" t="s">
        <v>36</v>
      </c>
      <c r="L15">
        <v>0.92218999999999995</v>
      </c>
      <c r="N15" t="s">
        <v>100</v>
      </c>
      <c r="O15">
        <v>0.92190000000000005</v>
      </c>
      <c r="Q15" t="s">
        <v>31</v>
      </c>
      <c r="R15">
        <v>0.98411000000000004</v>
      </c>
      <c r="T15" t="s">
        <v>52</v>
      </c>
      <c r="U15" s="5">
        <v>58780</v>
      </c>
      <c r="V15">
        <v>10.4</v>
      </c>
      <c r="W15">
        <v>15</v>
      </c>
      <c r="X15">
        <v>0.30276381909547739</v>
      </c>
      <c r="Y15">
        <v>15</v>
      </c>
      <c r="Z15">
        <v>0.30276381909547739</v>
      </c>
      <c r="AB15" t="str">
        <f t="shared" si="0"/>
        <v>Greece</v>
      </c>
    </row>
    <row r="16" spans="1:28" x14ac:dyDescent="0.2">
      <c r="A16" t="str">
        <f>IF(E16&gt;1, TII_VH!B16, "")</f>
        <v>Austria</v>
      </c>
      <c r="B16" t="s">
        <v>56</v>
      </c>
      <c r="C16">
        <v>0.98096000000000005</v>
      </c>
      <c r="D16">
        <f>INDEX($U$2:$U$194, MATCH(TII_VH!B16,$T$2:$T$194,0))</f>
        <v>60840</v>
      </c>
      <c r="E16">
        <f>INDEX($V$2:$V$194, MATCH(TII_VH!B16,$T$2:$T$194,0))</f>
        <v>9</v>
      </c>
      <c r="F16">
        <f>INDEX($O$2:$O$194, MATCH(TII_VH!B16,$N$2:$N$194,0))</f>
        <v>0.90027999999999997</v>
      </c>
      <c r="H16" t="s">
        <v>66</v>
      </c>
      <c r="I16">
        <v>0.91779999999999995</v>
      </c>
      <c r="K16" t="s">
        <v>39</v>
      </c>
      <c r="L16">
        <v>0.92118</v>
      </c>
      <c r="N16" t="s">
        <v>50</v>
      </c>
      <c r="O16">
        <v>0.91922999999999999</v>
      </c>
      <c r="Q16" t="s">
        <v>56</v>
      </c>
      <c r="R16">
        <v>0.98096000000000005</v>
      </c>
      <c r="T16" t="s">
        <v>54</v>
      </c>
      <c r="U16" s="5">
        <v>74940</v>
      </c>
      <c r="V16">
        <v>5.4</v>
      </c>
      <c r="W16">
        <v>16</v>
      </c>
      <c r="X16">
        <v>0.30653266331658291</v>
      </c>
      <c r="Y16">
        <v>16</v>
      </c>
      <c r="Z16">
        <v>0.30653266331658291</v>
      </c>
      <c r="AB16" t="str">
        <f t="shared" si="0"/>
        <v>Turkiye</v>
      </c>
    </row>
    <row r="17" spans="1:28" x14ac:dyDescent="0.2">
      <c r="A17" t="str">
        <f>IF(E17&gt;1, TII_VH!B17, "")</f>
        <v>Finland</v>
      </c>
      <c r="B17" t="s">
        <v>38</v>
      </c>
      <c r="C17">
        <v>0.97909000000000002</v>
      </c>
      <c r="D17">
        <f>INDEX($U$2:$U$194, MATCH(TII_VH!B17,$T$2:$T$194,0))</f>
        <v>53040</v>
      </c>
      <c r="E17">
        <f>INDEX($V$2:$V$194, MATCH(TII_VH!B17,$T$2:$T$194,0))</f>
        <v>5.5</v>
      </c>
      <c r="F17">
        <f>INDEX($O$2:$O$194, MATCH(TII_VH!B17,$N$2:$N$194,0))</f>
        <v>0.98358999999999996</v>
      </c>
      <c r="H17" t="s">
        <v>122</v>
      </c>
      <c r="I17">
        <v>0.91779999999999995</v>
      </c>
      <c r="K17" t="s">
        <v>16</v>
      </c>
      <c r="L17">
        <v>0.91627000000000003</v>
      </c>
      <c r="N17" t="s">
        <v>54</v>
      </c>
      <c r="O17">
        <v>0.91747999999999996</v>
      </c>
      <c r="Q17" t="s">
        <v>38</v>
      </c>
      <c r="R17">
        <v>0.97909000000000002</v>
      </c>
      <c r="T17" t="s">
        <v>57</v>
      </c>
      <c r="U17" s="5">
        <v>48830</v>
      </c>
      <c r="V17">
        <v>5.0999999999999996</v>
      </c>
      <c r="W17">
        <v>17</v>
      </c>
      <c r="X17">
        <v>0.31030150753768843</v>
      </c>
      <c r="Y17">
        <v>17</v>
      </c>
      <c r="Z17">
        <v>0.31030150753768843</v>
      </c>
      <c r="AB17" t="str">
        <f t="shared" si="0"/>
        <v>Norway</v>
      </c>
    </row>
    <row r="18" spans="1:28" x14ac:dyDescent="0.2">
      <c r="A18" t="str">
        <f>IF(E18&gt;1, TII_VH!B18, "")</f>
        <v>Israel</v>
      </c>
      <c r="B18" t="s">
        <v>74</v>
      </c>
      <c r="C18">
        <v>0.97633000000000003</v>
      </c>
      <c r="D18">
        <f>INDEX($U$2:$U$194, MATCH(TII_VH!B18,$T$2:$T$194,0))</f>
        <v>44740</v>
      </c>
      <c r="E18">
        <f>INDEX($V$2:$V$194, MATCH(TII_VH!B18,$T$2:$T$194,0))</f>
        <v>9.3000000000000007</v>
      </c>
      <c r="F18">
        <f>INDEX($O$2:$O$194, MATCH(TII_VH!B18,$N$2:$N$194,0))</f>
        <v>0.87390000000000001</v>
      </c>
      <c r="H18" t="s">
        <v>91</v>
      </c>
      <c r="I18">
        <v>0.91779999999999995</v>
      </c>
      <c r="K18" t="s">
        <v>64</v>
      </c>
      <c r="L18">
        <v>0.91357999999999995</v>
      </c>
      <c r="N18" t="s">
        <v>25</v>
      </c>
      <c r="O18">
        <v>0.91198000000000001</v>
      </c>
      <c r="Q18" t="s">
        <v>74</v>
      </c>
      <c r="R18">
        <v>0.97633000000000003</v>
      </c>
      <c r="T18" t="s">
        <v>60</v>
      </c>
      <c r="U18" s="5">
        <v>42520</v>
      </c>
      <c r="V18">
        <v>47.4</v>
      </c>
      <c r="W18">
        <v>18</v>
      </c>
      <c r="X18">
        <v>0.31407035175879394</v>
      </c>
      <c r="Y18">
        <v>18</v>
      </c>
      <c r="Z18">
        <v>0.31407035175879394</v>
      </c>
      <c r="AB18" t="str">
        <f t="shared" si="0"/>
        <v>South Korea</v>
      </c>
    </row>
    <row r="19" spans="1:28" x14ac:dyDescent="0.2">
      <c r="A19" t="str">
        <f>IF(E19&gt;1, TII_VH!B19, "")</f>
        <v>U.K.</v>
      </c>
      <c r="B19" t="s">
        <v>32</v>
      </c>
      <c r="C19">
        <v>0.97467000000000004</v>
      </c>
      <c r="D19">
        <f>INDEX($U$2:$U$194, MATCH(TII_VH!B19,$T$2:$T$194,0))</f>
        <v>53070</v>
      </c>
      <c r="E19">
        <f>INDEX($V$2:$V$194, MATCH(TII_VH!B19,$T$2:$T$194,0))</f>
        <v>67.3</v>
      </c>
      <c r="F19">
        <f>INDEX($O$2:$O$194, MATCH(TII_VH!B19,$N$2:$N$194,0))</f>
        <v>0.94498000000000004</v>
      </c>
      <c r="H19" t="s">
        <v>63</v>
      </c>
      <c r="I19">
        <v>0.90410000000000001</v>
      </c>
      <c r="K19" t="s">
        <v>54</v>
      </c>
      <c r="L19">
        <v>0.91171999999999997</v>
      </c>
      <c r="N19" t="s">
        <v>49</v>
      </c>
      <c r="O19">
        <v>0.91169999999999995</v>
      </c>
      <c r="Q19" t="s">
        <v>32</v>
      </c>
      <c r="R19">
        <v>0.97467000000000004</v>
      </c>
      <c r="T19" t="s">
        <v>63</v>
      </c>
      <c r="U19" s="5">
        <v>47850</v>
      </c>
      <c r="V19">
        <v>1.5</v>
      </c>
      <c r="W19">
        <v>19</v>
      </c>
      <c r="X19">
        <v>0.31783919597989951</v>
      </c>
      <c r="Y19">
        <v>19</v>
      </c>
      <c r="Z19">
        <v>0.31783919597989951</v>
      </c>
      <c r="AB19" t="str">
        <f t="shared" si="0"/>
        <v>Japan</v>
      </c>
    </row>
    <row r="20" spans="1:28" x14ac:dyDescent="0.2">
      <c r="A20" t="str">
        <f>IF(E20&gt;1, TII_VH!B20, "")</f>
        <v/>
      </c>
      <c r="B20" t="s">
        <v>83</v>
      </c>
      <c r="C20">
        <v>0.97465999999999997</v>
      </c>
      <c r="D20">
        <f>INDEX($U$2:$U$194, MATCH(TII_VH!B20,$T$2:$T$194,0))</f>
        <v>54910</v>
      </c>
      <c r="E20">
        <f>INDEX($V$2:$V$194, MATCH(TII_VH!B20,$T$2:$T$194,0))</f>
        <v>0.5</v>
      </c>
      <c r="F20">
        <f>INDEX($O$2:$O$194, MATCH(TII_VH!B20,$N$2:$N$194,0))</f>
        <v>0.81620000000000004</v>
      </c>
      <c r="H20" t="s">
        <v>38</v>
      </c>
      <c r="I20">
        <v>0.89039999999999997</v>
      </c>
      <c r="K20" t="s">
        <v>38</v>
      </c>
      <c r="L20">
        <v>0.90973000000000004</v>
      </c>
      <c r="N20" t="s">
        <v>31</v>
      </c>
      <c r="O20">
        <v>0.90666000000000002</v>
      </c>
      <c r="Q20" t="s">
        <v>83</v>
      </c>
      <c r="R20">
        <v>0.97465999999999997</v>
      </c>
      <c r="T20" t="s">
        <v>64</v>
      </c>
      <c r="U20" s="5">
        <v>70480</v>
      </c>
      <c r="V20">
        <v>333.3</v>
      </c>
      <c r="W20">
        <v>20</v>
      </c>
      <c r="X20">
        <v>0.32160804020100503</v>
      </c>
      <c r="Y20">
        <v>20</v>
      </c>
      <c r="Z20">
        <v>0.32160804020100503</v>
      </c>
      <c r="AB20" t="str">
        <f t="shared" si="0"/>
        <v>Saudi Arabia</v>
      </c>
    </row>
    <row r="21" spans="1:28" x14ac:dyDescent="0.2">
      <c r="A21" t="str">
        <f>IF(E21&gt;1, TII_VH!B21, "")</f>
        <v>Estonia</v>
      </c>
      <c r="B21" t="s">
        <v>17</v>
      </c>
      <c r="C21">
        <v>0.97309000000000001</v>
      </c>
      <c r="D21">
        <f>INDEX($U$2:$U$194, MATCH(TII_VH!B21,$T$2:$T$194,0))</f>
        <v>38110</v>
      </c>
      <c r="E21">
        <f>INDEX($V$2:$V$194, MATCH(TII_VH!B21,$T$2:$T$194,0))</f>
        <v>1.3</v>
      </c>
      <c r="F21">
        <f>INDEX($O$2:$O$194, MATCH(TII_VH!B21,$N$2:$N$194,0))</f>
        <v>0.94972000000000001</v>
      </c>
      <c r="H21" t="s">
        <v>67</v>
      </c>
      <c r="I21">
        <v>0.89039999999999997</v>
      </c>
      <c r="K21" t="s">
        <v>28</v>
      </c>
      <c r="L21">
        <v>0.90754999999999997</v>
      </c>
      <c r="N21" t="s">
        <v>66</v>
      </c>
      <c r="O21">
        <v>0.90459999999999996</v>
      </c>
      <c r="Q21" t="s">
        <v>17</v>
      </c>
      <c r="R21">
        <v>0.97309000000000001</v>
      </c>
      <c r="T21" t="s">
        <v>66</v>
      </c>
      <c r="U21" s="5">
        <v>99240</v>
      </c>
      <c r="V21">
        <v>5</v>
      </c>
      <c r="W21">
        <v>21</v>
      </c>
      <c r="X21">
        <v>0.32537688442211055</v>
      </c>
      <c r="Y21">
        <v>21</v>
      </c>
      <c r="Z21">
        <v>0.32537688442211055</v>
      </c>
      <c r="AB21" t="str">
        <f t="shared" si="0"/>
        <v>Ireland</v>
      </c>
    </row>
    <row r="22" spans="1:28" x14ac:dyDescent="0.2">
      <c r="A22" t="str">
        <f>IF(E22&gt;1, TII_VH!B22, "")</f>
        <v>Netherlands</v>
      </c>
      <c r="B22" t="s">
        <v>39</v>
      </c>
      <c r="C22">
        <v>0.97150999999999998</v>
      </c>
      <c r="D22">
        <f>INDEX($U$2:$U$194, MATCH(TII_VH!B22,$T$2:$T$194,0))</f>
        <v>61000</v>
      </c>
      <c r="E22">
        <f>INDEX($V$2:$V$194, MATCH(TII_VH!B22,$T$2:$T$194,0))</f>
        <v>17.5</v>
      </c>
      <c r="F22">
        <f>INDEX($O$2:$O$194, MATCH(TII_VH!B22,$N$2:$N$194,0))</f>
        <v>0.96880999999999995</v>
      </c>
      <c r="H22" t="s">
        <v>161</v>
      </c>
      <c r="I22">
        <v>0.87670000000000003</v>
      </c>
      <c r="K22" t="s">
        <v>130</v>
      </c>
      <c r="L22">
        <v>0.90630999999999995</v>
      </c>
      <c r="N22" t="s">
        <v>81</v>
      </c>
      <c r="O22">
        <v>0.90264</v>
      </c>
      <c r="Q22" t="s">
        <v>39</v>
      </c>
      <c r="R22">
        <v>0.97150999999999998</v>
      </c>
      <c r="T22" t="s">
        <v>68</v>
      </c>
      <c r="U22" s="5">
        <v>42510</v>
      </c>
      <c r="V22">
        <v>2.8</v>
      </c>
      <c r="W22">
        <v>22</v>
      </c>
      <c r="X22">
        <v>0.32914572864321606</v>
      </c>
      <c r="Y22">
        <v>22</v>
      </c>
      <c r="Z22">
        <v>0.32914572864321606</v>
      </c>
      <c r="AB22" t="str">
        <f t="shared" si="0"/>
        <v>Switzerland</v>
      </c>
    </row>
    <row r="23" spans="1:28" x14ac:dyDescent="0.2">
      <c r="A23" t="str">
        <f>IF(E23&gt;1, TII_VH!B23, "")</f>
        <v>Oman</v>
      </c>
      <c r="B23" t="s">
        <v>110</v>
      </c>
      <c r="C23">
        <v>0.96738999999999997</v>
      </c>
      <c r="D23">
        <f>INDEX($U$2:$U$194, MATCH(TII_VH!B23,$T$2:$T$194,0))</f>
        <v>39840</v>
      </c>
      <c r="E23">
        <f>INDEX($V$2:$V$194, MATCH(TII_VH!B23,$T$2:$T$194,0))</f>
        <v>4.5</v>
      </c>
      <c r="F23">
        <f>INDEX($O$2:$O$194, MATCH(TII_VH!B23,$N$2:$N$194,0))</f>
        <v>0.79766999999999999</v>
      </c>
      <c r="H23" t="s">
        <v>54</v>
      </c>
      <c r="I23">
        <v>0.86299999999999999</v>
      </c>
      <c r="K23" t="s">
        <v>60</v>
      </c>
      <c r="L23">
        <v>0.90542</v>
      </c>
      <c r="N23" t="s">
        <v>56</v>
      </c>
      <c r="O23">
        <v>0.90027999999999997</v>
      </c>
      <c r="Q23" t="s">
        <v>110</v>
      </c>
      <c r="R23">
        <v>0.96738999999999997</v>
      </c>
      <c r="T23" t="s">
        <v>56</v>
      </c>
      <c r="U23" s="5">
        <v>60840</v>
      </c>
      <c r="V23">
        <v>9</v>
      </c>
      <c r="W23">
        <v>23</v>
      </c>
      <c r="X23">
        <v>0.33291457286432158</v>
      </c>
      <c r="Y23">
        <v>23</v>
      </c>
      <c r="Z23">
        <v>0.33291457286432158</v>
      </c>
      <c r="AB23" t="str">
        <f t="shared" si="0"/>
        <v>Austria</v>
      </c>
    </row>
    <row r="24" spans="1:28" x14ac:dyDescent="0.2">
      <c r="A24" t="str">
        <f>IF(E24&gt;1, TII_VH!B24, "")</f>
        <v>Latvia</v>
      </c>
      <c r="B24" t="s">
        <v>86</v>
      </c>
      <c r="C24">
        <v>0.96597</v>
      </c>
      <c r="D24">
        <f>INDEX($U$2:$U$194, MATCH(TII_VH!B24,$T$2:$T$194,0))</f>
        <v>35230</v>
      </c>
      <c r="E24">
        <f>INDEX($V$2:$V$194, MATCH(TII_VH!B24,$T$2:$T$194,0))</f>
        <v>1.8</v>
      </c>
      <c r="F24">
        <f>INDEX($O$2:$O$194, MATCH(TII_VH!B24,$N$2:$N$194,0))</f>
        <v>0.88046999999999997</v>
      </c>
      <c r="H24" t="s">
        <v>36</v>
      </c>
      <c r="I24">
        <v>0.86299999999999999</v>
      </c>
      <c r="K24" t="s">
        <v>63</v>
      </c>
      <c r="L24">
        <v>0.90305000000000002</v>
      </c>
      <c r="N24" t="s">
        <v>60</v>
      </c>
      <c r="O24">
        <v>0.89610000000000001</v>
      </c>
      <c r="Q24" t="s">
        <v>86</v>
      </c>
      <c r="R24">
        <v>0.96597</v>
      </c>
      <c r="T24" t="s">
        <v>74</v>
      </c>
      <c r="U24" s="5">
        <v>44740</v>
      </c>
      <c r="V24">
        <v>9.3000000000000007</v>
      </c>
      <c r="W24">
        <v>24</v>
      </c>
      <c r="X24">
        <v>0.33668341708542715</v>
      </c>
      <c r="Y24">
        <v>24</v>
      </c>
      <c r="Z24">
        <v>0.33668341708542715</v>
      </c>
      <c r="AB24" t="str">
        <f t="shared" si="0"/>
        <v>Spain</v>
      </c>
    </row>
    <row r="25" spans="1:28" x14ac:dyDescent="0.2">
      <c r="A25" t="str">
        <f>IF(E25&gt;1, TII_VH!B25, "")</f>
        <v>Norway</v>
      </c>
      <c r="B25" t="s">
        <v>54</v>
      </c>
      <c r="C25">
        <v>0.96538999999999997</v>
      </c>
      <c r="D25">
        <f>INDEX($U$2:$U$194, MATCH(TII_VH!B25,$T$2:$T$194,0))</f>
        <v>74940</v>
      </c>
      <c r="E25">
        <f>INDEX($V$2:$V$194, MATCH(TII_VH!B25,$T$2:$T$194,0))</f>
        <v>5.4</v>
      </c>
      <c r="F25">
        <f>INDEX($O$2:$O$194, MATCH(TII_VH!B25,$N$2:$N$194,0))</f>
        <v>0.91747999999999996</v>
      </c>
      <c r="H25" t="s">
        <v>130</v>
      </c>
      <c r="I25">
        <v>0.86299999999999999</v>
      </c>
      <c r="K25" t="s">
        <v>107</v>
      </c>
      <c r="L25">
        <v>0.88721000000000005</v>
      </c>
      <c r="N25" t="s">
        <v>68</v>
      </c>
      <c r="O25">
        <v>0.88612999999999997</v>
      </c>
      <c r="Q25" t="s">
        <v>54</v>
      </c>
      <c r="R25">
        <v>0.96538999999999997</v>
      </c>
      <c r="T25" t="s">
        <v>76</v>
      </c>
      <c r="U25" s="5">
        <v>26940</v>
      </c>
      <c r="V25">
        <v>19.399999999999999</v>
      </c>
      <c r="W25">
        <v>25</v>
      </c>
      <c r="X25">
        <v>0.34045226130653267</v>
      </c>
      <c r="Y25">
        <v>25</v>
      </c>
      <c r="Z25">
        <v>0.34045226130653267</v>
      </c>
      <c r="AB25" t="str">
        <f t="shared" si="0"/>
        <v>Lithuania</v>
      </c>
    </row>
    <row r="26" spans="1:28" x14ac:dyDescent="0.2">
      <c r="A26" t="str">
        <f>IF(E26&gt;1, TII_VH!B26, "")</f>
        <v>Libya</v>
      </c>
      <c r="B26" t="s">
        <v>80</v>
      </c>
      <c r="C26">
        <v>0.96389999999999998</v>
      </c>
      <c r="D26">
        <f>INDEX($U$2:$U$194, MATCH(TII_VH!B26,$T$2:$T$194,0))</f>
        <v>13910</v>
      </c>
      <c r="E26">
        <f>INDEX($V$2:$V$194, MATCH(TII_VH!B26,$T$2:$T$194,0))</f>
        <v>6.9</v>
      </c>
      <c r="F26">
        <f>INDEX($O$2:$O$194, MATCH(TII_VH!B26,$N$2:$N$194,0))</f>
        <v>0.59514999999999996</v>
      </c>
      <c r="H26" t="s">
        <v>50</v>
      </c>
      <c r="I26">
        <v>0.86299999999999999</v>
      </c>
      <c r="K26" t="s">
        <v>161</v>
      </c>
      <c r="L26">
        <v>0.88507000000000002</v>
      </c>
      <c r="N26" t="s">
        <v>64</v>
      </c>
      <c r="O26">
        <v>0.88424000000000003</v>
      </c>
      <c r="Q26" t="s">
        <v>80</v>
      </c>
      <c r="R26">
        <v>0.96389999999999998</v>
      </c>
      <c r="T26" t="s">
        <v>79</v>
      </c>
      <c r="U26" s="5">
        <v>25660</v>
      </c>
      <c r="V26">
        <v>3.5</v>
      </c>
      <c r="W26">
        <v>26</v>
      </c>
      <c r="X26">
        <v>0.34422110552763818</v>
      </c>
      <c r="Y26">
        <v>26</v>
      </c>
      <c r="Z26">
        <v>0.34422110552763818</v>
      </c>
      <c r="AB26" t="str">
        <f t="shared" si="0"/>
        <v>U.S.A.</v>
      </c>
    </row>
    <row r="27" spans="1:28" x14ac:dyDescent="0.2">
      <c r="A27" t="str">
        <f>IF(E27&gt;1, TII_VH!B27, "")</f>
        <v>Lithuania</v>
      </c>
      <c r="B27" t="s">
        <v>68</v>
      </c>
      <c r="C27">
        <v>0.96309</v>
      </c>
      <c r="D27">
        <f>INDEX($U$2:$U$194, MATCH(TII_VH!B27,$T$2:$T$194,0))</f>
        <v>42510</v>
      </c>
      <c r="E27">
        <f>INDEX($V$2:$V$194, MATCH(TII_VH!B27,$T$2:$T$194,0))</f>
        <v>2.8</v>
      </c>
      <c r="F27">
        <f>INDEX($O$2:$O$194, MATCH(TII_VH!B27,$N$2:$N$194,0))</f>
        <v>0.88612999999999997</v>
      </c>
      <c r="H27" t="s">
        <v>79</v>
      </c>
      <c r="I27">
        <v>0.86299999999999999</v>
      </c>
      <c r="K27" t="s">
        <v>68</v>
      </c>
      <c r="L27">
        <v>0.88390000000000002</v>
      </c>
      <c r="N27" t="s">
        <v>86</v>
      </c>
      <c r="O27">
        <v>0.88046999999999997</v>
      </c>
      <c r="Q27" t="s">
        <v>68</v>
      </c>
      <c r="R27">
        <v>0.96309</v>
      </c>
      <c r="T27" t="s">
        <v>81</v>
      </c>
      <c r="U27" s="5">
        <v>74250</v>
      </c>
      <c r="V27">
        <v>8.6999999999999993</v>
      </c>
      <c r="W27">
        <v>27</v>
      </c>
      <c r="X27">
        <v>0.34798994974874375</v>
      </c>
      <c r="Y27">
        <v>27</v>
      </c>
      <c r="Z27">
        <v>0.34798994974874375</v>
      </c>
      <c r="AB27" t="str">
        <f t="shared" si="0"/>
        <v>Latvia</v>
      </c>
    </row>
    <row r="28" spans="1:28" x14ac:dyDescent="0.2">
      <c r="A28" t="str">
        <f>IF(E28&gt;1, TII_VH!B28, "")</f>
        <v>U.S.A.</v>
      </c>
      <c r="B28" t="s">
        <v>64</v>
      </c>
      <c r="C28">
        <v>0.96052000000000004</v>
      </c>
      <c r="D28">
        <f>INDEX($U$2:$U$194, MATCH(TII_VH!B28,$T$2:$T$194,0))</f>
        <v>70480</v>
      </c>
      <c r="E28">
        <f>INDEX($V$2:$V$194, MATCH(TII_VH!B28,$T$2:$T$194,0))</f>
        <v>333.3</v>
      </c>
      <c r="F28">
        <f>INDEX($O$2:$O$194, MATCH(TII_VH!B28,$N$2:$N$194,0))</f>
        <v>0.88424000000000003</v>
      </c>
      <c r="H28" t="s">
        <v>76</v>
      </c>
      <c r="I28">
        <v>0.84930000000000005</v>
      </c>
      <c r="K28" t="s">
        <v>52</v>
      </c>
      <c r="L28">
        <v>0.88361000000000001</v>
      </c>
      <c r="N28" t="s">
        <v>79</v>
      </c>
      <c r="O28">
        <v>0.87487999999999999</v>
      </c>
      <c r="Q28" t="s">
        <v>64</v>
      </c>
      <c r="R28">
        <v>0.96052000000000004</v>
      </c>
      <c r="T28" t="s">
        <v>50</v>
      </c>
      <c r="U28" s="5">
        <v>32730</v>
      </c>
      <c r="V28">
        <v>85.3</v>
      </c>
      <c r="W28">
        <v>28</v>
      </c>
      <c r="X28">
        <v>0.35175879396984921</v>
      </c>
      <c r="Y28">
        <v>28</v>
      </c>
      <c r="Z28">
        <v>0.35175879396984921</v>
      </c>
      <c r="AB28" t="str">
        <f t="shared" si="0"/>
        <v>Uruguay</v>
      </c>
    </row>
    <row r="29" spans="1:28" x14ac:dyDescent="0.2">
      <c r="A29" t="str">
        <f>IF(E29&gt;1, TII_VH!B29, "")</f>
        <v>Poland</v>
      </c>
      <c r="B29" t="s">
        <v>101</v>
      </c>
      <c r="C29">
        <v>0.96033999999999997</v>
      </c>
      <c r="D29">
        <f>INDEX($U$2:$U$194, MATCH(TII_VH!B29,$T$2:$T$194,0))</f>
        <v>37710</v>
      </c>
      <c r="E29">
        <f>INDEX($V$2:$V$194, MATCH(TII_VH!B29,$T$2:$T$194,0))</f>
        <v>37.799999999999997</v>
      </c>
      <c r="F29">
        <f>INDEX($O$2:$O$194, MATCH(TII_VH!B29,$N$2:$N$194,0))</f>
        <v>0.83038999999999996</v>
      </c>
      <c r="H29" t="s">
        <v>124</v>
      </c>
      <c r="I29">
        <v>0.84930000000000005</v>
      </c>
      <c r="K29" t="s">
        <v>79</v>
      </c>
      <c r="L29">
        <v>0.88321000000000005</v>
      </c>
      <c r="N29" t="s">
        <v>74</v>
      </c>
      <c r="O29">
        <v>0.87390000000000001</v>
      </c>
      <c r="Q29" t="s">
        <v>101</v>
      </c>
      <c r="R29">
        <v>0.96033999999999997</v>
      </c>
      <c r="T29" t="s">
        <v>83</v>
      </c>
      <c r="U29" s="5">
        <v>54910</v>
      </c>
      <c r="V29">
        <v>0.5</v>
      </c>
      <c r="W29">
        <v>29</v>
      </c>
      <c r="X29">
        <v>0.35552763819095479</v>
      </c>
      <c r="Y29">
        <v>29</v>
      </c>
      <c r="Z29">
        <v>0.35552763819095479</v>
      </c>
      <c r="AB29" t="str">
        <f t="shared" si="0"/>
        <v>Israel</v>
      </c>
    </row>
    <row r="30" spans="1:28" x14ac:dyDescent="0.2">
      <c r="A30" t="str">
        <f>IF(E30&gt;1, TII_VH!B30, "")</f>
        <v>Spain</v>
      </c>
      <c r="B30" t="s">
        <v>60</v>
      </c>
      <c r="C30">
        <v>0.96031</v>
      </c>
      <c r="D30">
        <f>INDEX($U$2:$U$194, MATCH(TII_VH!B30,$T$2:$T$194,0))</f>
        <v>42520</v>
      </c>
      <c r="E30">
        <f>INDEX($V$2:$V$194, MATCH(TII_VH!B30,$T$2:$T$194,0))</f>
        <v>47.4</v>
      </c>
      <c r="F30">
        <f>INDEX($O$2:$O$194, MATCH(TII_VH!B30,$N$2:$N$194,0))</f>
        <v>0.89610000000000001</v>
      </c>
      <c r="H30" t="s">
        <v>68</v>
      </c>
      <c r="I30">
        <v>0.83560000000000001</v>
      </c>
      <c r="K30" t="s">
        <v>66</v>
      </c>
      <c r="L30">
        <v>0.87678</v>
      </c>
      <c r="N30" t="s">
        <v>122</v>
      </c>
      <c r="O30">
        <v>0.87248999999999999</v>
      </c>
      <c r="Q30" t="s">
        <v>60</v>
      </c>
      <c r="R30">
        <v>0.96031</v>
      </c>
      <c r="T30" t="s">
        <v>86</v>
      </c>
      <c r="U30" s="5">
        <v>35230</v>
      </c>
      <c r="V30">
        <v>1.8</v>
      </c>
      <c r="W30">
        <v>30</v>
      </c>
      <c r="X30">
        <v>0.3592964824120603</v>
      </c>
      <c r="Y30">
        <v>30</v>
      </c>
      <c r="Z30">
        <v>0.3592964824120603</v>
      </c>
      <c r="AB30" t="str">
        <f t="shared" si="0"/>
        <v>Canada</v>
      </c>
    </row>
    <row r="31" spans="1:28" x14ac:dyDescent="0.2">
      <c r="A31" t="str">
        <f>IF(E31&gt;1, TII_VH!B31, "")</f>
        <v>Ireland</v>
      </c>
      <c r="B31" t="s">
        <v>66</v>
      </c>
      <c r="C31">
        <v>0.95987</v>
      </c>
      <c r="D31">
        <f>INDEX($U$2:$U$194, MATCH(TII_VH!B31,$T$2:$T$194,0))</f>
        <v>99240</v>
      </c>
      <c r="E31">
        <f>INDEX($V$2:$V$194, MATCH(TII_VH!B31,$T$2:$T$194,0))</f>
        <v>5</v>
      </c>
      <c r="F31">
        <f>INDEX($O$2:$O$194, MATCH(TII_VH!B31,$N$2:$N$194,0))</f>
        <v>0.90459999999999996</v>
      </c>
      <c r="H31" t="s">
        <v>89</v>
      </c>
      <c r="I31">
        <v>0.83560000000000001</v>
      </c>
      <c r="K31" t="s">
        <v>83</v>
      </c>
      <c r="L31">
        <v>0.87492000000000003</v>
      </c>
      <c r="N31" t="s">
        <v>146</v>
      </c>
      <c r="O31">
        <v>0.87029999999999996</v>
      </c>
      <c r="Q31" t="s">
        <v>66</v>
      </c>
      <c r="R31">
        <v>0.95987</v>
      </c>
      <c r="T31" t="s">
        <v>13</v>
      </c>
      <c r="U31" s="5">
        <v>14480</v>
      </c>
      <c r="V31">
        <v>41.2</v>
      </c>
      <c r="W31">
        <v>31</v>
      </c>
      <c r="X31">
        <v>0.36306532663316582</v>
      </c>
      <c r="Y31">
        <v>31</v>
      </c>
      <c r="Z31">
        <v>0.36306532663316582</v>
      </c>
      <c r="AB31" t="str">
        <f t="shared" si="0"/>
        <v>Hungary</v>
      </c>
    </row>
    <row r="32" spans="1:28" x14ac:dyDescent="0.2">
      <c r="A32" t="str">
        <f>IF(E32&gt;1, TII_VH!B32, "")</f>
        <v>Switzerland</v>
      </c>
      <c r="B32" t="s">
        <v>81</v>
      </c>
      <c r="C32">
        <v>0.95757000000000003</v>
      </c>
      <c r="D32">
        <f>INDEX($U$2:$U$194, MATCH(TII_VH!B32,$T$2:$T$194,0))</f>
        <v>74250</v>
      </c>
      <c r="E32">
        <f>INDEX($V$2:$V$194, MATCH(TII_VH!B32,$T$2:$T$194,0))</f>
        <v>8.6999999999999993</v>
      </c>
      <c r="F32">
        <f>INDEX($O$2:$O$194, MATCH(TII_VH!B32,$N$2:$N$194,0))</f>
        <v>0.90264</v>
      </c>
      <c r="H32" t="s">
        <v>107</v>
      </c>
      <c r="I32">
        <v>0.83560000000000001</v>
      </c>
      <c r="K32" t="s">
        <v>91</v>
      </c>
      <c r="L32">
        <v>0.87346999999999997</v>
      </c>
      <c r="N32" t="s">
        <v>102</v>
      </c>
      <c r="O32">
        <v>0.86980000000000002</v>
      </c>
      <c r="Q32" t="s">
        <v>81</v>
      </c>
      <c r="R32">
        <v>0.95757000000000003</v>
      </c>
      <c r="T32" t="s">
        <v>89</v>
      </c>
      <c r="U32" s="5">
        <v>25670</v>
      </c>
      <c r="V32">
        <v>19.5</v>
      </c>
      <c r="W32">
        <v>32</v>
      </c>
      <c r="X32">
        <v>0.36683417085427139</v>
      </c>
      <c r="Y32">
        <v>32</v>
      </c>
      <c r="Z32">
        <v>0.36683417085427139</v>
      </c>
      <c r="AB32" t="str">
        <f t="shared" si="0"/>
        <v>Cyprus</v>
      </c>
    </row>
    <row r="33" spans="1:28" x14ac:dyDescent="0.2">
      <c r="A33" t="str">
        <f>IF(E33&gt;1, TII_VH!B33, "")</f>
        <v>Russia</v>
      </c>
      <c r="B33" t="s">
        <v>93</v>
      </c>
      <c r="C33">
        <v>0.95118000000000003</v>
      </c>
      <c r="D33">
        <f>INDEX($U$2:$U$194, MATCH(TII_VH!B33,$T$2:$T$194,0))</f>
        <v>28710</v>
      </c>
      <c r="E33">
        <f>INDEX($V$2:$V$194, MATCH(TII_VH!B33,$T$2:$T$194,0))</f>
        <v>143.6</v>
      </c>
      <c r="F33">
        <f>INDEX($O$2:$O$194, MATCH(TII_VH!B33,$N$2:$N$194,0))</f>
        <v>0.83194000000000001</v>
      </c>
      <c r="H33" t="s">
        <v>81</v>
      </c>
      <c r="I33">
        <v>0.82189999999999996</v>
      </c>
      <c r="K33" t="s">
        <v>94</v>
      </c>
      <c r="L33">
        <v>0.86395999999999995</v>
      </c>
      <c r="N33" t="s">
        <v>63</v>
      </c>
      <c r="O33">
        <v>0.86804000000000003</v>
      </c>
      <c r="Q33" t="s">
        <v>93</v>
      </c>
      <c r="R33">
        <v>0.95118000000000003</v>
      </c>
      <c r="T33" t="s">
        <v>91</v>
      </c>
      <c r="U33" s="5">
        <v>34740</v>
      </c>
      <c r="V33">
        <v>3.9</v>
      </c>
      <c r="W33">
        <v>33</v>
      </c>
      <c r="X33">
        <v>0.37060301507537685</v>
      </c>
      <c r="Y33">
        <v>33</v>
      </c>
      <c r="Z33">
        <v>0.37060301507537685</v>
      </c>
      <c r="AB33" t="str">
        <f t="shared" si="0"/>
        <v>Bahrain</v>
      </c>
    </row>
    <row r="34" spans="1:28" x14ac:dyDescent="0.2">
      <c r="A34" t="str">
        <f>IF(E34&gt;1, TII_VH!B34, "")</f>
        <v>Australia</v>
      </c>
      <c r="B34" s="6" t="s">
        <v>36</v>
      </c>
      <c r="C34" s="6">
        <v>0.95091999999999999</v>
      </c>
      <c r="D34">
        <f>INDEX($U$2:$U$194, MATCH(TII_VH!B34,$T$2:$T$194,0))</f>
        <v>55100</v>
      </c>
      <c r="E34">
        <f>INDEX($V$2:$V$194, MATCH(TII_VH!B34,$T$2:$T$194,0))</f>
        <v>25.7</v>
      </c>
      <c r="F34">
        <f>INDEX($O$2:$O$194, MATCH(TII_VH!B34,$N$2:$N$194,0))</f>
        <v>1</v>
      </c>
      <c r="H34" t="s">
        <v>60</v>
      </c>
      <c r="I34">
        <v>0.80820000000000003</v>
      </c>
      <c r="K34" t="s">
        <v>89</v>
      </c>
      <c r="L34">
        <v>0.86119000000000001</v>
      </c>
      <c r="N34" t="s">
        <v>95</v>
      </c>
      <c r="O34">
        <v>0.86538999999999999</v>
      </c>
      <c r="Q34" s="6" t="s">
        <v>36</v>
      </c>
      <c r="R34" s="6">
        <v>0.95091999999999999</v>
      </c>
      <c r="T34" t="s">
        <v>94</v>
      </c>
      <c r="U34" s="5">
        <v>43770</v>
      </c>
      <c r="V34">
        <v>2.1</v>
      </c>
      <c r="W34">
        <v>34</v>
      </c>
      <c r="X34">
        <v>0.37437185929648242</v>
      </c>
      <c r="Y34">
        <v>34</v>
      </c>
      <c r="Z34">
        <v>0.37437185929648242</v>
      </c>
      <c r="AB34" t="str">
        <f t="shared" si="0"/>
        <v>Georgia</v>
      </c>
    </row>
    <row r="35" spans="1:28" x14ac:dyDescent="0.2">
      <c r="A35" t="str">
        <f>IF(E35&gt;1, TII_VH!B35, "")</f>
        <v>Japan</v>
      </c>
      <c r="B35" t="s">
        <v>49</v>
      </c>
      <c r="C35">
        <v>0.95091000000000003</v>
      </c>
      <c r="D35">
        <f>INDEX($U$2:$U$194, MATCH(TII_VH!B35,$T$2:$T$194,0))</f>
        <v>44600</v>
      </c>
      <c r="E35">
        <f>INDEX($V$2:$V$194, MATCH(TII_VH!B35,$T$2:$T$194,0))</f>
        <v>125.1</v>
      </c>
      <c r="F35">
        <f>INDEX($O$2:$O$194, MATCH(TII_VH!B35,$N$2:$N$194,0))</f>
        <v>0.91169999999999995</v>
      </c>
      <c r="H35" t="s">
        <v>96</v>
      </c>
      <c r="I35">
        <v>0.80820000000000003</v>
      </c>
      <c r="K35" t="s">
        <v>122</v>
      </c>
      <c r="L35">
        <v>0.85516000000000003</v>
      </c>
      <c r="N35" t="s">
        <v>96</v>
      </c>
      <c r="O35">
        <v>0.85645000000000004</v>
      </c>
      <c r="Q35" t="s">
        <v>49</v>
      </c>
      <c r="R35">
        <v>0.95091000000000003</v>
      </c>
      <c r="T35" t="s">
        <v>96</v>
      </c>
      <c r="U35" s="5">
        <v>50660</v>
      </c>
      <c r="V35">
        <v>67.8</v>
      </c>
      <c r="W35">
        <v>35</v>
      </c>
      <c r="X35">
        <v>0.37814070351758794</v>
      </c>
      <c r="Y35">
        <v>35</v>
      </c>
      <c r="Z35">
        <v>0.37814070351758794</v>
      </c>
      <c r="AB35" t="str">
        <f t="shared" si="0"/>
        <v>France</v>
      </c>
    </row>
    <row r="36" spans="1:28" x14ac:dyDescent="0.2">
      <c r="A36" t="str">
        <f>IF(E36&gt;1, TII_VH!B36, "")</f>
        <v/>
      </c>
      <c r="B36" t="s">
        <v>233</v>
      </c>
      <c r="C36">
        <v>0.94911999999999996</v>
      </c>
      <c r="E36">
        <f>INDEX($V$2:$V$194, MATCH(TII_VH!B36,$T$2:$T$194,0))</f>
        <v>0.03</v>
      </c>
      <c r="F36">
        <f>INDEX($O$2:$O$194, MATCH(TII_VH!B36,$N$2:$N$194,0))</f>
        <v>0.65866000000000002</v>
      </c>
      <c r="H36" t="s">
        <v>156</v>
      </c>
      <c r="I36">
        <v>0.79449999999999998</v>
      </c>
      <c r="K36" t="s">
        <v>74</v>
      </c>
      <c r="L36">
        <v>0.85411999999999999</v>
      </c>
      <c r="N36" t="s">
        <v>124</v>
      </c>
      <c r="O36">
        <v>0.85609999999999997</v>
      </c>
      <c r="Q36" t="s">
        <v>233</v>
      </c>
      <c r="R36">
        <v>0.94911999999999996</v>
      </c>
      <c r="T36" t="s">
        <v>97</v>
      </c>
      <c r="U36" s="5">
        <v>18140</v>
      </c>
      <c r="V36" s="7">
        <v>1412.2</v>
      </c>
      <c r="W36">
        <v>36</v>
      </c>
      <c r="X36">
        <v>0.38190954773869346</v>
      </c>
      <c r="Y36">
        <v>36</v>
      </c>
      <c r="Z36">
        <v>0.38190954773869346</v>
      </c>
      <c r="AB36" t="str">
        <f t="shared" si="0"/>
        <v>Armenia</v>
      </c>
    </row>
    <row r="37" spans="1:28" x14ac:dyDescent="0.2">
      <c r="A37" t="str">
        <f>IF(E37&gt;1, TII_VH!B37, "")</f>
        <v>Chile</v>
      </c>
      <c r="B37" t="s">
        <v>89</v>
      </c>
      <c r="C37">
        <v>0.94552999999999998</v>
      </c>
      <c r="D37">
        <f>INDEX($U$2:$U$194, MATCH(TII_VH!B37,$T$2:$T$194,0))</f>
        <v>25670</v>
      </c>
      <c r="E37">
        <f>INDEX($V$2:$V$194, MATCH(TII_VH!B37,$T$2:$T$194,0))</f>
        <v>19.5</v>
      </c>
      <c r="F37">
        <f>INDEX($O$2:$O$194, MATCH(TII_VH!B37,$N$2:$N$194,0))</f>
        <v>0.84128999999999998</v>
      </c>
      <c r="H37" t="s">
        <v>52</v>
      </c>
      <c r="I37">
        <v>0.79449999999999998</v>
      </c>
      <c r="K37" t="s">
        <v>67</v>
      </c>
      <c r="L37">
        <v>0.85397000000000001</v>
      </c>
      <c r="N37" t="s">
        <v>91</v>
      </c>
      <c r="O37">
        <v>0.85375999999999996</v>
      </c>
      <c r="Q37" t="s">
        <v>89</v>
      </c>
      <c r="R37">
        <v>0.94552999999999998</v>
      </c>
      <c r="T37" t="s">
        <v>100</v>
      </c>
      <c r="U37" s="5">
        <v>32160</v>
      </c>
      <c r="V37">
        <v>10.4</v>
      </c>
      <c r="W37">
        <v>37</v>
      </c>
      <c r="X37">
        <v>0.38567839195979903</v>
      </c>
      <c r="Y37">
        <v>37</v>
      </c>
      <c r="Z37">
        <v>0.38567839195979903</v>
      </c>
      <c r="AB37" t="str">
        <f t="shared" si="0"/>
        <v>Croatia</v>
      </c>
    </row>
    <row r="38" spans="1:28" x14ac:dyDescent="0.2">
      <c r="A38" t="str">
        <f>IF(E38&gt;1, TII_VH!B38, "")</f>
        <v>Uruguay</v>
      </c>
      <c r="B38" t="s">
        <v>79</v>
      </c>
      <c r="C38">
        <v>0.94374000000000002</v>
      </c>
      <c r="D38">
        <f>INDEX($U$2:$U$194, MATCH(TII_VH!B38,$T$2:$T$194,0))</f>
        <v>25660</v>
      </c>
      <c r="E38">
        <f>INDEX($V$2:$V$194, MATCH(TII_VH!B38,$T$2:$T$194,0))</f>
        <v>3.5</v>
      </c>
      <c r="F38">
        <f>INDEX($O$2:$O$194, MATCH(TII_VH!B38,$N$2:$N$194,0))</f>
        <v>0.87487999999999999</v>
      </c>
      <c r="H38" t="s">
        <v>86</v>
      </c>
      <c r="I38">
        <v>0.78080000000000005</v>
      </c>
      <c r="K38" t="s">
        <v>96</v>
      </c>
      <c r="L38">
        <v>0.84399999999999997</v>
      </c>
      <c r="N38" t="s">
        <v>94</v>
      </c>
      <c r="O38">
        <v>0.85297999999999996</v>
      </c>
      <c r="Q38" t="s">
        <v>79</v>
      </c>
      <c r="R38">
        <v>0.94374000000000002</v>
      </c>
      <c r="T38" t="s">
        <v>101</v>
      </c>
      <c r="U38" s="5">
        <v>37710</v>
      </c>
      <c r="V38">
        <v>37.799999999999997</v>
      </c>
      <c r="W38">
        <v>38</v>
      </c>
      <c r="X38">
        <v>0.38944723618090449</v>
      </c>
      <c r="Y38">
        <v>38</v>
      </c>
      <c r="Z38">
        <v>0.38944723618090449</v>
      </c>
      <c r="AB38" t="str">
        <f t="shared" si="0"/>
        <v>Slovenia</v>
      </c>
    </row>
    <row r="39" spans="1:28" x14ac:dyDescent="0.2">
      <c r="A39" t="str">
        <f>IF(E39&gt;1, TII_VH!B39, "")</f>
        <v>Thailand</v>
      </c>
      <c r="B39" t="s">
        <v>135</v>
      </c>
      <c r="C39">
        <v>0.94101000000000001</v>
      </c>
      <c r="D39">
        <f>INDEX($U$2:$U$194, MATCH(TII_VH!B39,$T$2:$T$194,0))</f>
        <v>19110</v>
      </c>
      <c r="E39">
        <f>INDEX($V$2:$V$194, MATCH(TII_VH!B39,$T$2:$T$194,0))</f>
        <v>71.7</v>
      </c>
      <c r="F39">
        <f>INDEX($O$2:$O$194, MATCH(TII_VH!B39,$N$2:$N$194,0))</f>
        <v>0.80320000000000003</v>
      </c>
      <c r="H39" t="s">
        <v>119</v>
      </c>
      <c r="I39">
        <v>0.78080000000000005</v>
      </c>
      <c r="K39" t="s">
        <v>81</v>
      </c>
      <c r="L39">
        <v>0.84079999999999999</v>
      </c>
      <c r="N39" t="s">
        <v>121</v>
      </c>
      <c r="O39">
        <v>0.85082000000000002</v>
      </c>
      <c r="Q39" t="s">
        <v>135</v>
      </c>
      <c r="R39">
        <v>0.94101000000000001</v>
      </c>
      <c r="T39" t="s">
        <v>102</v>
      </c>
      <c r="U39" s="5">
        <v>42230</v>
      </c>
      <c r="V39">
        <v>1.2</v>
      </c>
      <c r="W39">
        <v>39</v>
      </c>
      <c r="X39">
        <v>0.39321608040201006</v>
      </c>
      <c r="Y39">
        <v>39</v>
      </c>
      <c r="Z39">
        <v>0.39321608040201006</v>
      </c>
      <c r="AB39" t="str">
        <f t="shared" si="0"/>
        <v>Czechia</v>
      </c>
    </row>
    <row r="40" spans="1:28" x14ac:dyDescent="0.2">
      <c r="A40" t="str">
        <f>IF(E40&gt;1, TII_VH!B40, "")</f>
        <v>Mongolia</v>
      </c>
      <c r="B40" t="s">
        <v>119</v>
      </c>
      <c r="C40">
        <v>0.93740999999999997</v>
      </c>
      <c r="D40">
        <f>INDEX($U$2:$U$194, MATCH(TII_VH!B40,$T$2:$T$194,0))</f>
        <v>13350</v>
      </c>
      <c r="E40">
        <f>INDEX($V$2:$V$194, MATCH(TII_VH!B40,$T$2:$T$194,0))</f>
        <v>3.4</v>
      </c>
      <c r="F40">
        <f>INDEX($O$2:$O$194, MATCH(TII_VH!B40,$N$2:$N$194,0))</f>
        <v>0.77747999999999995</v>
      </c>
      <c r="H40" t="s">
        <v>56</v>
      </c>
      <c r="I40">
        <v>0.78080000000000005</v>
      </c>
      <c r="K40" t="s">
        <v>56</v>
      </c>
      <c r="L40">
        <v>0.83828999999999998</v>
      </c>
      <c r="N40" t="s">
        <v>141</v>
      </c>
      <c r="O40">
        <v>0.84416000000000002</v>
      </c>
      <c r="Q40" t="s">
        <v>119</v>
      </c>
      <c r="R40">
        <v>0.93740999999999997</v>
      </c>
      <c r="T40" t="s">
        <v>67</v>
      </c>
      <c r="U40" s="5">
        <v>23170</v>
      </c>
      <c r="V40">
        <v>6.7</v>
      </c>
      <c r="W40">
        <v>40</v>
      </c>
      <c r="X40">
        <v>0.39698492462311558</v>
      </c>
      <c r="Y40">
        <v>40</v>
      </c>
      <c r="Z40">
        <v>0.39698492462311558</v>
      </c>
      <c r="AB40" t="str">
        <f t="shared" si="0"/>
        <v>Belgium</v>
      </c>
    </row>
    <row r="41" spans="1:28" x14ac:dyDescent="0.2">
      <c r="A41" t="str">
        <f>IF(E41&gt;1, TII_VH!B41, "")</f>
        <v>Germany</v>
      </c>
      <c r="B41" t="s">
        <v>46</v>
      </c>
      <c r="C41">
        <v>0.92359000000000002</v>
      </c>
      <c r="D41">
        <f>INDEX($U$2:$U$194, MATCH(TII_VH!B41,$T$2:$T$194,0))</f>
        <v>58370</v>
      </c>
      <c r="E41">
        <f>INDEX($V$2:$V$194, MATCH(TII_VH!B41,$T$2:$T$194,0))</f>
        <v>83.2</v>
      </c>
      <c r="F41">
        <f>INDEX($O$2:$O$194, MATCH(TII_VH!B41,$N$2:$N$194,0))</f>
        <v>0.96723999999999999</v>
      </c>
      <c r="H41" t="s">
        <v>94</v>
      </c>
      <c r="I41">
        <v>0.78080000000000005</v>
      </c>
      <c r="K41" t="s">
        <v>144</v>
      </c>
      <c r="L41">
        <v>0.8377</v>
      </c>
      <c r="N41" t="s">
        <v>132</v>
      </c>
      <c r="O41">
        <v>0.84262000000000004</v>
      </c>
      <c r="Q41" t="s">
        <v>46</v>
      </c>
      <c r="R41">
        <v>0.92359000000000002</v>
      </c>
      <c r="T41" t="s">
        <v>107</v>
      </c>
      <c r="U41" s="5">
        <v>13360</v>
      </c>
      <c r="V41">
        <v>60</v>
      </c>
      <c r="W41">
        <v>41</v>
      </c>
      <c r="X41">
        <v>0.40075376884422109</v>
      </c>
      <c r="Y41">
        <v>41</v>
      </c>
      <c r="Z41">
        <v>0.40075376884422109</v>
      </c>
      <c r="AB41" t="str">
        <f t="shared" si="0"/>
        <v>Italy</v>
      </c>
    </row>
    <row r="42" spans="1:28" x14ac:dyDescent="0.2">
      <c r="A42" t="str">
        <f>IF(E42&gt;1, TII_VH!B42, "")</f>
        <v>Kazakhstan</v>
      </c>
      <c r="B42" t="s">
        <v>76</v>
      </c>
      <c r="C42">
        <v>0.92352999999999996</v>
      </c>
      <c r="D42">
        <f>INDEX($U$2:$U$194, MATCH(TII_VH!B42,$T$2:$T$194,0))</f>
        <v>26940</v>
      </c>
      <c r="E42">
        <f>INDEX($V$2:$V$194, MATCH(TII_VH!B42,$T$2:$T$194,0))</f>
        <v>19.399999999999999</v>
      </c>
      <c r="F42">
        <f>INDEX($O$2:$O$194, MATCH(TII_VH!B42,$N$2:$N$194,0))</f>
        <v>0.84028999999999998</v>
      </c>
      <c r="H42" t="s">
        <v>16</v>
      </c>
      <c r="I42">
        <v>0.78080000000000005</v>
      </c>
      <c r="K42" t="s">
        <v>119</v>
      </c>
      <c r="L42">
        <v>0.82218999999999998</v>
      </c>
      <c r="N42" t="s">
        <v>89</v>
      </c>
      <c r="O42">
        <v>0.84128999999999998</v>
      </c>
      <c r="Q42" t="s">
        <v>76</v>
      </c>
      <c r="R42">
        <v>0.92352999999999996</v>
      </c>
      <c r="T42" t="s">
        <v>110</v>
      </c>
      <c r="U42" s="5">
        <v>39840</v>
      </c>
      <c r="V42">
        <v>4.5</v>
      </c>
      <c r="W42">
        <v>42</v>
      </c>
      <c r="X42">
        <v>0.40452261306532666</v>
      </c>
      <c r="Y42">
        <v>42</v>
      </c>
      <c r="Z42">
        <v>0.40452261306532666</v>
      </c>
      <c r="AB42" t="str">
        <f t="shared" si="0"/>
        <v>Chile</v>
      </c>
    </row>
    <row r="43" spans="1:28" x14ac:dyDescent="0.2">
      <c r="A43" t="str">
        <f>IF(E43&gt;1, TII_VH!B43, "")</f>
        <v/>
      </c>
      <c r="B43" t="s">
        <v>206</v>
      </c>
      <c r="C43">
        <v>0.92306999999999995</v>
      </c>
      <c r="E43">
        <f>INDEX($V$2:$V$194, MATCH(TII_VH!B43,$T$2:$T$194,0))</f>
        <v>0.08</v>
      </c>
      <c r="F43">
        <f>INDEX($O$2:$O$194, MATCH(TII_VH!B43,$N$2:$N$194,0))</f>
        <v>0.66683999999999999</v>
      </c>
      <c r="H43" t="s">
        <v>144</v>
      </c>
      <c r="I43">
        <v>0.75339999999999996</v>
      </c>
      <c r="K43" t="s">
        <v>102</v>
      </c>
      <c r="L43">
        <v>0.82164999999999999</v>
      </c>
      <c r="N43" t="s">
        <v>76</v>
      </c>
      <c r="O43">
        <v>0.84028999999999998</v>
      </c>
      <c r="Q43" t="s">
        <v>206</v>
      </c>
      <c r="R43">
        <v>0.92306999999999995</v>
      </c>
      <c r="T43" t="s">
        <v>111</v>
      </c>
      <c r="U43" s="5">
        <v>22270</v>
      </c>
      <c r="V43">
        <v>45.8</v>
      </c>
      <c r="W43">
        <v>43</v>
      </c>
      <c r="X43">
        <v>0.40829145728643212</v>
      </c>
      <c r="Y43">
        <v>43</v>
      </c>
      <c r="Z43">
        <v>0.40829145728643212</v>
      </c>
      <c r="AB43" t="str">
        <f t="shared" si="0"/>
        <v>Kazakhstan</v>
      </c>
    </row>
    <row r="44" spans="1:28" x14ac:dyDescent="0.2">
      <c r="A44" t="str">
        <f>IF(E44&gt;1, TII_VH!B44, "")</f>
        <v/>
      </c>
      <c r="B44" t="s">
        <v>115</v>
      </c>
      <c r="C44">
        <v>0.92291000000000001</v>
      </c>
      <c r="D44">
        <f>INDEX($U$2:$U$194, MATCH(TII_VH!B44,$T$2:$T$194,0))</f>
        <v>22940</v>
      </c>
      <c r="E44">
        <f>INDEX($V$2:$V$194, MATCH(TII_VH!B44,$T$2:$T$194,0))</f>
        <v>0.6</v>
      </c>
      <c r="F44">
        <f>INDEX($O$2:$O$194, MATCH(TII_VH!B44,$N$2:$N$194,0))</f>
        <v>0.71904000000000001</v>
      </c>
      <c r="H44" t="s">
        <v>101</v>
      </c>
      <c r="I44">
        <v>0.75339999999999996</v>
      </c>
      <c r="K44" t="s">
        <v>264</v>
      </c>
      <c r="L44">
        <v>0.82064999999999999</v>
      </c>
      <c r="N44" t="s">
        <v>127</v>
      </c>
      <c r="O44">
        <v>0.83887999999999996</v>
      </c>
      <c r="Q44" t="s">
        <v>115</v>
      </c>
      <c r="R44">
        <v>0.92291000000000001</v>
      </c>
      <c r="T44" t="s">
        <v>93</v>
      </c>
      <c r="U44" s="5">
        <v>28710</v>
      </c>
      <c r="V44">
        <v>143.6</v>
      </c>
      <c r="W44">
        <v>44</v>
      </c>
      <c r="X44">
        <v>0.4120603015075377</v>
      </c>
      <c r="Y44">
        <v>44</v>
      </c>
      <c r="Z44">
        <v>0.4120603015075377</v>
      </c>
      <c r="AB44" t="str">
        <f t="shared" si="0"/>
        <v>Portugal</v>
      </c>
    </row>
    <row r="45" spans="1:28" x14ac:dyDescent="0.2">
      <c r="A45" t="str">
        <f>IF(E45&gt;1, TII_VH!B45, "")</f>
        <v>France</v>
      </c>
      <c r="B45" t="s">
        <v>96</v>
      </c>
      <c r="C45">
        <v>0.92281000000000002</v>
      </c>
      <c r="D45">
        <f>INDEX($U$2:$U$194, MATCH(TII_VH!B45,$T$2:$T$194,0))</f>
        <v>50660</v>
      </c>
      <c r="E45">
        <f>INDEX($V$2:$V$194, MATCH(TII_VH!B45,$T$2:$T$194,0))</f>
        <v>67.8</v>
      </c>
      <c r="F45">
        <f>INDEX($O$2:$O$194, MATCH(TII_VH!B45,$N$2:$N$194,0))</f>
        <v>0.85645000000000004</v>
      </c>
      <c r="H45" t="s">
        <v>135</v>
      </c>
      <c r="I45">
        <v>0.75339999999999996</v>
      </c>
      <c r="K45" t="s">
        <v>222</v>
      </c>
      <c r="L45">
        <v>0.81842000000000004</v>
      </c>
      <c r="N45" t="s">
        <v>93</v>
      </c>
      <c r="O45">
        <v>0.83194000000000001</v>
      </c>
      <c r="Q45" t="s">
        <v>96</v>
      </c>
      <c r="R45">
        <v>0.92281000000000002</v>
      </c>
      <c r="T45" t="s">
        <v>35</v>
      </c>
      <c r="U45" s="8" t="s">
        <v>118</v>
      </c>
      <c r="V45">
        <v>0.04</v>
      </c>
      <c r="W45">
        <v>45</v>
      </c>
      <c r="X45">
        <v>0.41582914572864321</v>
      </c>
      <c r="Y45">
        <v>45</v>
      </c>
      <c r="Z45">
        <v>0.41582914572864321</v>
      </c>
      <c r="AB45" t="str">
        <f t="shared" si="0"/>
        <v>Russia</v>
      </c>
    </row>
    <row r="46" spans="1:28" x14ac:dyDescent="0.2">
      <c r="A46" t="str">
        <f>IF(E46&gt;1, TII_VH!B46, "")</f>
        <v>Serbia</v>
      </c>
      <c r="B46" t="s">
        <v>67</v>
      </c>
      <c r="C46">
        <v>0.92205999999999999</v>
      </c>
      <c r="D46">
        <f>INDEX($U$2:$U$194, MATCH(TII_VH!B46,$T$2:$T$194,0))</f>
        <v>23170</v>
      </c>
      <c r="E46">
        <f>INDEX($V$2:$V$194, MATCH(TII_VH!B46,$T$2:$T$194,0))</f>
        <v>6.7</v>
      </c>
      <c r="F46">
        <f>INDEX($O$2:$O$194, MATCH(TII_VH!B46,$N$2:$N$194,0))</f>
        <v>0.80940999999999996</v>
      </c>
      <c r="H46" t="s">
        <v>264</v>
      </c>
      <c r="I46">
        <v>0.75339999999999996</v>
      </c>
      <c r="K46" t="s">
        <v>100</v>
      </c>
      <c r="L46">
        <v>0.81452999999999998</v>
      </c>
      <c r="N46" t="s">
        <v>101</v>
      </c>
      <c r="O46">
        <v>0.83038999999999996</v>
      </c>
      <c r="Q46" t="s">
        <v>67</v>
      </c>
      <c r="R46">
        <v>0.92205999999999999</v>
      </c>
      <c r="T46" t="s">
        <v>37</v>
      </c>
      <c r="U46" s="5">
        <v>82230</v>
      </c>
      <c r="V46">
        <v>0.6</v>
      </c>
      <c r="W46">
        <v>46</v>
      </c>
      <c r="X46">
        <v>0.41959798994974873</v>
      </c>
      <c r="Y46">
        <v>46</v>
      </c>
      <c r="Z46">
        <v>0.41959798994974873</v>
      </c>
      <c r="AB46" t="str">
        <f t="shared" si="0"/>
        <v>Poland</v>
      </c>
    </row>
    <row r="47" spans="1:28" x14ac:dyDescent="0.2">
      <c r="A47" t="str">
        <f>IF(E47&gt;1, TII_VH!B47, "")</f>
        <v>Czechia</v>
      </c>
      <c r="B47" t="s">
        <v>121</v>
      </c>
      <c r="C47">
        <v>0.92042999999999997</v>
      </c>
      <c r="D47">
        <f>INDEX($U$2:$U$194, MATCH(TII_VH!B47,$T$2:$T$194,0))</f>
        <v>45130</v>
      </c>
      <c r="E47">
        <f>INDEX($V$2:$V$194, MATCH(TII_VH!B47,$T$2:$T$194,0))</f>
        <v>10.7</v>
      </c>
      <c r="F47">
        <f>INDEX($O$2:$O$194, MATCH(TII_VH!B47,$N$2:$N$194,0))</f>
        <v>0.85082000000000002</v>
      </c>
      <c r="H47" t="s">
        <v>83</v>
      </c>
      <c r="I47">
        <v>0.73970000000000002</v>
      </c>
      <c r="K47" t="s">
        <v>151</v>
      </c>
      <c r="L47">
        <v>0.81440999999999997</v>
      </c>
      <c r="N47" t="s">
        <v>35</v>
      </c>
      <c r="O47">
        <v>0.82630999999999999</v>
      </c>
      <c r="Q47" t="s">
        <v>121</v>
      </c>
      <c r="R47">
        <v>0.92042999999999997</v>
      </c>
      <c r="T47" t="s">
        <v>119</v>
      </c>
      <c r="U47" s="5">
        <v>13350</v>
      </c>
      <c r="V47">
        <v>3.4</v>
      </c>
      <c r="W47">
        <v>47</v>
      </c>
      <c r="X47">
        <v>0.4233668341708543</v>
      </c>
      <c r="Y47">
        <v>47</v>
      </c>
      <c r="Z47">
        <v>0.4233668341708543</v>
      </c>
      <c r="AB47" t="str">
        <f t="shared" si="0"/>
        <v>Liechtenstein</v>
      </c>
    </row>
    <row r="48" spans="1:28" x14ac:dyDescent="0.2">
      <c r="A48" t="str">
        <f>IF(E48&gt;1, TII_VH!B48, "")</f>
        <v>Croatia</v>
      </c>
      <c r="B48" t="s">
        <v>91</v>
      </c>
      <c r="C48">
        <v>0.91798999999999997</v>
      </c>
      <c r="D48">
        <f>INDEX($U$2:$U$194, MATCH(TII_VH!B48,$T$2:$T$194,0))</f>
        <v>34740</v>
      </c>
      <c r="E48">
        <f>INDEX($V$2:$V$194, MATCH(TII_VH!B48,$T$2:$T$194,0))</f>
        <v>3.9</v>
      </c>
      <c r="F48">
        <f>INDEX($O$2:$O$194, MATCH(TII_VH!B48,$N$2:$N$194,0))</f>
        <v>0.85375999999999996</v>
      </c>
      <c r="H48" t="s">
        <v>158</v>
      </c>
      <c r="I48">
        <v>0.73970000000000002</v>
      </c>
      <c r="K48" t="s">
        <v>86</v>
      </c>
      <c r="L48">
        <v>0.80915000000000004</v>
      </c>
      <c r="N48" t="s">
        <v>13</v>
      </c>
      <c r="O48">
        <v>0.82401999999999997</v>
      </c>
      <c r="Q48" t="s">
        <v>91</v>
      </c>
      <c r="R48">
        <v>0.91798999999999997</v>
      </c>
      <c r="T48" t="s">
        <v>122</v>
      </c>
      <c r="U48" s="5">
        <v>55970</v>
      </c>
      <c r="V48">
        <v>38.200000000000003</v>
      </c>
      <c r="W48">
        <v>48</v>
      </c>
      <c r="X48">
        <v>0.42713567839195976</v>
      </c>
      <c r="Y48">
        <v>48</v>
      </c>
      <c r="Z48">
        <v>0.42713567839195976</v>
      </c>
      <c r="AB48" t="str">
        <f t="shared" si="0"/>
        <v>Ukraine</v>
      </c>
    </row>
    <row r="49" spans="1:28" x14ac:dyDescent="0.2">
      <c r="A49" t="str">
        <f>IF(E49&gt;1, TII_VH!B49, "")</f>
        <v/>
      </c>
      <c r="B49" t="s">
        <v>193</v>
      </c>
      <c r="C49">
        <v>0.91710999999999998</v>
      </c>
      <c r="E49">
        <f>INDEX($V$2:$V$194, MATCH(TII_VH!B49,$T$2:$T$194,0))</f>
        <v>0.04</v>
      </c>
      <c r="F49">
        <f>INDEX($O$2:$O$194, MATCH(TII_VH!B49,$N$2:$N$194,0))</f>
        <v>0.75149999999999995</v>
      </c>
      <c r="H49" t="s">
        <v>165</v>
      </c>
      <c r="I49">
        <v>0.73970000000000002</v>
      </c>
      <c r="K49" t="s">
        <v>110</v>
      </c>
      <c r="L49">
        <v>0.80774000000000001</v>
      </c>
      <c r="N49" t="s">
        <v>83</v>
      </c>
      <c r="O49">
        <v>0.81620000000000004</v>
      </c>
      <c r="Q49" t="s">
        <v>193</v>
      </c>
      <c r="R49">
        <v>0.91710999999999998</v>
      </c>
      <c r="T49" t="s">
        <v>124</v>
      </c>
      <c r="U49" s="5">
        <v>16950</v>
      </c>
      <c r="V49">
        <v>2.8</v>
      </c>
      <c r="W49">
        <v>49</v>
      </c>
      <c r="X49">
        <v>0.43090452261306533</v>
      </c>
      <c r="Y49">
        <v>49</v>
      </c>
      <c r="Z49">
        <v>0.43090452261306533</v>
      </c>
      <c r="AB49" t="str">
        <f t="shared" si="0"/>
        <v>Malta</v>
      </c>
    </row>
    <row r="50" spans="1:28" x14ac:dyDescent="0.2">
      <c r="A50" t="str">
        <f>IF(E50&gt;1, TII_VH!B50, "")</f>
        <v>Bulgaria</v>
      </c>
      <c r="B50" t="s">
        <v>139</v>
      </c>
      <c r="C50">
        <v>0.91707000000000005</v>
      </c>
      <c r="D50">
        <f>INDEX($U$2:$U$194, MATCH(TII_VH!B50,$T$2:$T$194,0))</f>
        <v>27800</v>
      </c>
      <c r="E50">
        <f>INDEX($V$2:$V$194, MATCH(TII_VH!B50,$T$2:$T$194,0))</f>
        <v>6.5</v>
      </c>
      <c r="F50">
        <f>INDEX($O$2:$O$194, MATCH(TII_VH!B50,$N$2:$N$194,0))</f>
        <v>0.75378000000000001</v>
      </c>
      <c r="H50" t="s">
        <v>151</v>
      </c>
      <c r="I50">
        <v>0.72599999999999998</v>
      </c>
      <c r="K50" t="s">
        <v>175</v>
      </c>
      <c r="L50">
        <v>0.80542999999999998</v>
      </c>
      <c r="N50" t="s">
        <v>151</v>
      </c>
      <c r="O50">
        <v>0.81059000000000003</v>
      </c>
      <c r="Q50" t="s">
        <v>139</v>
      </c>
      <c r="R50">
        <v>0.91707000000000005</v>
      </c>
      <c r="T50" t="s">
        <v>127</v>
      </c>
      <c r="U50" s="5">
        <v>38730</v>
      </c>
      <c r="V50">
        <v>10.3</v>
      </c>
      <c r="W50">
        <v>50</v>
      </c>
      <c r="X50">
        <v>0.43467336683417085</v>
      </c>
      <c r="Y50">
        <v>50</v>
      </c>
      <c r="Z50">
        <v>0.43467336683417085</v>
      </c>
      <c r="AB50" t="str">
        <f t="shared" si="0"/>
        <v>Albania</v>
      </c>
    </row>
    <row r="51" spans="1:28" x14ac:dyDescent="0.2">
      <c r="A51" t="str">
        <f>IF(E51&gt;1, TII_VH!B51, "")</f>
        <v>Mauritius</v>
      </c>
      <c r="B51" t="s">
        <v>181</v>
      </c>
      <c r="C51">
        <v>0.91586000000000001</v>
      </c>
      <c r="D51">
        <f>INDEX($U$2:$U$194, MATCH(TII_VH!B51,$T$2:$T$194,0))</f>
        <v>24310</v>
      </c>
      <c r="E51">
        <f>INDEX($V$2:$V$194, MATCH(TII_VH!B51,$T$2:$T$194,0))</f>
        <v>1.3</v>
      </c>
      <c r="F51">
        <f>INDEX($O$2:$O$194, MATCH(TII_VH!B51,$N$2:$N$194,0))</f>
        <v>0.74563999999999997</v>
      </c>
      <c r="H51" t="s">
        <v>175</v>
      </c>
      <c r="I51">
        <v>0.72599999999999998</v>
      </c>
      <c r="K51" t="s">
        <v>101</v>
      </c>
      <c r="L51">
        <v>0.80371000000000004</v>
      </c>
      <c r="N51" t="s">
        <v>67</v>
      </c>
      <c r="O51">
        <v>0.80940999999999996</v>
      </c>
      <c r="Q51" t="s">
        <v>181</v>
      </c>
      <c r="R51">
        <v>0.91586000000000001</v>
      </c>
      <c r="T51" t="s">
        <v>130</v>
      </c>
      <c r="U51" s="5">
        <v>15600</v>
      </c>
      <c r="V51">
        <v>215.3</v>
      </c>
      <c r="W51">
        <v>51</v>
      </c>
      <c r="X51">
        <v>0.43844221105527637</v>
      </c>
      <c r="Y51">
        <v>51</v>
      </c>
      <c r="Z51">
        <v>0.43844221105527637</v>
      </c>
      <c r="AB51" t="str">
        <f t="shared" si="0"/>
        <v>Serbia</v>
      </c>
    </row>
    <row r="52" spans="1:28" x14ac:dyDescent="0.2">
      <c r="A52" t="str">
        <f>IF(E52&gt;1, TII_VH!B52, "")</f>
        <v>Belarus</v>
      </c>
      <c r="B52" t="s">
        <v>185</v>
      </c>
      <c r="C52">
        <v>0.91561000000000003</v>
      </c>
      <c r="D52">
        <f>INDEX($U$2:$U$194, MATCH(TII_VH!B52,$T$2:$T$194,0))</f>
        <v>20080</v>
      </c>
      <c r="E52">
        <f>INDEX($V$2:$V$194, MATCH(TII_VH!B52,$T$2:$T$194,0))</f>
        <v>9.3000000000000007</v>
      </c>
      <c r="F52">
        <f>INDEX($O$2:$O$194, MATCH(TII_VH!B52,$N$2:$N$194,0))</f>
        <v>0.74187999999999998</v>
      </c>
      <c r="H52" t="s">
        <v>168</v>
      </c>
      <c r="I52">
        <v>0.72599999999999998</v>
      </c>
      <c r="K52" t="s">
        <v>156</v>
      </c>
      <c r="L52">
        <v>0.80345999999999995</v>
      </c>
      <c r="N52" t="s">
        <v>130</v>
      </c>
      <c r="O52">
        <v>0.80767999999999995</v>
      </c>
      <c r="Q52" t="s">
        <v>185</v>
      </c>
      <c r="R52">
        <v>0.91561000000000003</v>
      </c>
      <c r="T52" t="s">
        <v>132</v>
      </c>
      <c r="U52" s="5">
        <v>47190</v>
      </c>
      <c r="V52">
        <v>59</v>
      </c>
      <c r="W52">
        <v>52</v>
      </c>
      <c r="X52">
        <v>0.44221105527638194</v>
      </c>
      <c r="Y52">
        <v>52</v>
      </c>
      <c r="Z52">
        <v>0.44221105527638194</v>
      </c>
      <c r="AB52" t="str">
        <f t="shared" si="0"/>
        <v>Brazil</v>
      </c>
    </row>
    <row r="53" spans="1:28" x14ac:dyDescent="0.2">
      <c r="A53" t="str">
        <f>IF(E53&gt;1, TII_VH!B53, "")</f>
        <v>Slovenia</v>
      </c>
      <c r="B53" t="s">
        <v>94</v>
      </c>
      <c r="C53">
        <v>0.91071999999999997</v>
      </c>
      <c r="D53">
        <f>INDEX($U$2:$U$194, MATCH(TII_VH!B53,$T$2:$T$194,0))</f>
        <v>43770</v>
      </c>
      <c r="E53">
        <f>INDEX($V$2:$V$194, MATCH(TII_VH!B53,$T$2:$T$194,0))</f>
        <v>2.1</v>
      </c>
      <c r="F53">
        <f>INDEX($O$2:$O$194, MATCH(TII_VH!B53,$N$2:$N$194,0))</f>
        <v>0.85297999999999996</v>
      </c>
      <c r="H53" t="s">
        <v>150</v>
      </c>
      <c r="I53">
        <v>0.72599999999999998</v>
      </c>
      <c r="K53" t="s">
        <v>111</v>
      </c>
      <c r="L53">
        <v>0.79649000000000003</v>
      </c>
      <c r="N53" t="s">
        <v>135</v>
      </c>
      <c r="O53">
        <v>0.80320000000000003</v>
      </c>
      <c r="Q53" t="s">
        <v>94</v>
      </c>
      <c r="R53">
        <v>0.91071999999999997</v>
      </c>
      <c r="T53" t="s">
        <v>135</v>
      </c>
      <c r="U53" s="5">
        <v>19110</v>
      </c>
      <c r="V53">
        <v>71.7</v>
      </c>
      <c r="W53">
        <v>53</v>
      </c>
      <c r="X53">
        <v>0.44597989949748745</v>
      </c>
      <c r="Y53">
        <v>53</v>
      </c>
      <c r="Z53">
        <v>0.44597989949748745</v>
      </c>
      <c r="AB53" t="str">
        <f t="shared" si="0"/>
        <v>Thailand</v>
      </c>
    </row>
    <row r="54" spans="1:28" x14ac:dyDescent="0.2">
      <c r="A54" t="str">
        <f>IF(E54&gt;1, TII_VH!B54, "")</f>
        <v>Georgia</v>
      </c>
      <c r="B54" t="s">
        <v>95</v>
      </c>
      <c r="C54">
        <v>0.90712999999999999</v>
      </c>
      <c r="D54">
        <f>INDEX($U$2:$U$194, MATCH(TII_VH!B54,$T$2:$T$194,0))</f>
        <v>18170</v>
      </c>
      <c r="E54">
        <f>INDEX($V$2:$V$194, MATCH(TII_VH!B54,$T$2:$T$194,0))</f>
        <v>3.7</v>
      </c>
      <c r="F54">
        <f>INDEX($O$2:$O$194, MATCH(TII_VH!B54,$N$2:$N$194,0))</f>
        <v>0.86538999999999999</v>
      </c>
      <c r="H54" t="s">
        <v>74</v>
      </c>
      <c r="I54">
        <v>0.6986</v>
      </c>
      <c r="K54" t="s">
        <v>124</v>
      </c>
      <c r="L54">
        <v>0.79220000000000002</v>
      </c>
      <c r="N54" t="s">
        <v>107</v>
      </c>
      <c r="O54">
        <v>0.80257000000000001</v>
      </c>
      <c r="Q54" t="s">
        <v>95</v>
      </c>
      <c r="R54">
        <v>0.90712999999999999</v>
      </c>
      <c r="T54" t="s">
        <v>137</v>
      </c>
      <c r="U54" s="5">
        <v>88070</v>
      </c>
      <c r="V54">
        <v>2.9</v>
      </c>
      <c r="W54">
        <v>54</v>
      </c>
      <c r="X54">
        <v>0.44974874371859297</v>
      </c>
      <c r="Y54">
        <v>54</v>
      </c>
      <c r="Z54">
        <v>0.44974874371859297</v>
      </c>
      <c r="AB54" t="str">
        <f t="shared" si="0"/>
        <v>South Africa</v>
      </c>
    </row>
    <row r="55" spans="1:28" x14ac:dyDescent="0.2">
      <c r="A55" t="str">
        <f>IF(E55&gt;1, TII_VH!B55, "")</f>
        <v>Italy</v>
      </c>
      <c r="B55" t="s">
        <v>132</v>
      </c>
      <c r="C55">
        <v>0.90166999999999997</v>
      </c>
      <c r="D55">
        <f>INDEX($U$2:$U$194, MATCH(TII_VH!B55,$T$2:$T$194,0))</f>
        <v>47190</v>
      </c>
      <c r="E55">
        <f>INDEX($V$2:$V$194, MATCH(TII_VH!B55,$T$2:$T$194,0))</f>
        <v>59</v>
      </c>
      <c r="F55">
        <f>INDEX($O$2:$O$194, MATCH(TII_VH!B55,$N$2:$N$194,0))</f>
        <v>0.84262000000000004</v>
      </c>
      <c r="H55" t="s">
        <v>51</v>
      </c>
      <c r="I55">
        <v>0.6986</v>
      </c>
      <c r="K55" t="s">
        <v>127</v>
      </c>
      <c r="L55">
        <v>0.78774999999999995</v>
      </c>
      <c r="N55" t="s">
        <v>148</v>
      </c>
      <c r="O55">
        <v>0.79823</v>
      </c>
      <c r="Q55" t="s">
        <v>132</v>
      </c>
      <c r="R55">
        <v>0.90166999999999997</v>
      </c>
      <c r="T55" t="s">
        <v>121</v>
      </c>
      <c r="U55" s="5">
        <v>45130</v>
      </c>
      <c r="V55">
        <v>10.7</v>
      </c>
      <c r="W55">
        <v>55</v>
      </c>
      <c r="X55">
        <v>0.45351758793969849</v>
      </c>
      <c r="Y55">
        <v>55</v>
      </c>
      <c r="Z55">
        <v>0.45351758793969849</v>
      </c>
      <c r="AB55" t="str">
        <f t="shared" si="0"/>
        <v>Slovakia</v>
      </c>
    </row>
    <row r="56" spans="1:28" x14ac:dyDescent="0.2">
      <c r="A56" t="str">
        <f>IF(E56&gt;1, TII_VH!B56, "")</f>
        <v>China</v>
      </c>
      <c r="B56" t="s">
        <v>97</v>
      </c>
      <c r="C56">
        <v>0.89954000000000001</v>
      </c>
      <c r="D56">
        <f>INDEX($U$2:$U$194, MATCH(TII_VH!B56,$T$2:$T$194,0))</f>
        <v>18140</v>
      </c>
      <c r="E56">
        <f>INDEX($V$2:$V$194, MATCH(TII_VH!B56,$T$2:$T$194,0))</f>
        <v>1412.2</v>
      </c>
      <c r="F56">
        <f>INDEX($O$2:$O$194, MATCH(TII_VH!B56,$N$2:$N$194,0))</f>
        <v>0.79022999999999999</v>
      </c>
      <c r="H56" t="s">
        <v>102</v>
      </c>
      <c r="I56">
        <v>0.6986</v>
      </c>
      <c r="K56" t="s">
        <v>249</v>
      </c>
      <c r="L56">
        <v>0.77703999999999995</v>
      </c>
      <c r="N56" t="s">
        <v>110</v>
      </c>
      <c r="O56">
        <v>0.79766999999999999</v>
      </c>
      <c r="Q56" t="s">
        <v>97</v>
      </c>
      <c r="R56">
        <v>0.89954000000000001</v>
      </c>
      <c r="T56" t="s">
        <v>139</v>
      </c>
      <c r="U56" s="5">
        <v>27800</v>
      </c>
      <c r="V56">
        <v>6.5</v>
      </c>
      <c r="W56">
        <v>56</v>
      </c>
      <c r="X56">
        <v>0.457286432160804</v>
      </c>
      <c r="Y56">
        <v>56</v>
      </c>
      <c r="Z56">
        <v>0.457286432160804</v>
      </c>
      <c r="AB56" t="str">
        <f t="shared" si="0"/>
        <v>Oman</v>
      </c>
    </row>
    <row r="57" spans="1:28" x14ac:dyDescent="0.2">
      <c r="A57" t="str">
        <f>IF(E57&gt;1, TII_VH!B57, "")</f>
        <v>Iran</v>
      </c>
      <c r="B57" t="s">
        <v>143</v>
      </c>
      <c r="C57">
        <v>0.89868999999999999</v>
      </c>
      <c r="D57">
        <f>INDEX($U$2:$U$194, MATCH(TII_VH!B57,$T$2:$T$194,0))</f>
        <v>16790</v>
      </c>
      <c r="E57">
        <f>INDEX($V$2:$V$194, MATCH(TII_VH!B57,$T$2:$T$194,0))</f>
        <v>88.6</v>
      </c>
      <c r="F57">
        <f>INDEX($O$2:$O$194, MATCH(TII_VH!B57,$N$2:$N$194,0))</f>
        <v>0.69316</v>
      </c>
      <c r="H57" t="s">
        <v>152</v>
      </c>
      <c r="I57">
        <v>0.6986</v>
      </c>
      <c r="K57" t="s">
        <v>93</v>
      </c>
      <c r="L57">
        <v>0.77659999999999996</v>
      </c>
      <c r="N57" t="s">
        <v>37</v>
      </c>
      <c r="O57">
        <v>0.79547999999999996</v>
      </c>
      <c r="Q57" t="s">
        <v>143</v>
      </c>
      <c r="R57">
        <v>0.89868999999999999</v>
      </c>
      <c r="T57" t="s">
        <v>141</v>
      </c>
      <c r="U57" s="5">
        <v>54640</v>
      </c>
      <c r="V57">
        <v>11.7</v>
      </c>
      <c r="W57">
        <v>57</v>
      </c>
      <c r="X57">
        <v>0.46105527638190957</v>
      </c>
      <c r="Y57">
        <v>57</v>
      </c>
      <c r="Z57">
        <v>0.46105527638190957</v>
      </c>
      <c r="AB57" t="str">
        <f t="shared" si="0"/>
        <v>Luxembourg</v>
      </c>
    </row>
    <row r="58" spans="1:28" x14ac:dyDescent="0.2">
      <c r="A58" t="str">
        <f>IF(E58&gt;1, TII_VH!B58, "")</f>
        <v>Slovakia</v>
      </c>
      <c r="B58" t="s">
        <v>148</v>
      </c>
      <c r="C58">
        <v>0.89851000000000003</v>
      </c>
      <c r="D58">
        <f>INDEX($U$2:$U$194, MATCH(TII_VH!B58,$T$2:$T$194,0))</f>
        <v>38540</v>
      </c>
      <c r="E58">
        <f>INDEX($V$2:$V$194, MATCH(TII_VH!B58,$T$2:$T$194,0))</f>
        <v>5.4</v>
      </c>
      <c r="F58">
        <f>INDEX($O$2:$O$194, MATCH(TII_VH!B58,$N$2:$N$194,0))</f>
        <v>0.79823</v>
      </c>
      <c r="H58" t="s">
        <v>148</v>
      </c>
      <c r="I58">
        <v>0.6986</v>
      </c>
      <c r="K58" t="s">
        <v>139</v>
      </c>
      <c r="L58">
        <v>0.77271000000000001</v>
      </c>
      <c r="N58" t="s">
        <v>97</v>
      </c>
      <c r="O58">
        <v>0.79022999999999999</v>
      </c>
      <c r="Q58" t="s">
        <v>148</v>
      </c>
      <c r="R58">
        <v>0.89851000000000003</v>
      </c>
      <c r="T58" t="s">
        <v>51</v>
      </c>
      <c r="U58" s="5">
        <v>28650</v>
      </c>
      <c r="V58">
        <v>33.6</v>
      </c>
      <c r="W58">
        <v>58</v>
      </c>
      <c r="X58">
        <v>0.46482412060301509</v>
      </c>
      <c r="Y58">
        <v>58</v>
      </c>
      <c r="Z58">
        <v>0.46482412060301509</v>
      </c>
      <c r="AB58" t="str">
        <f t="shared" si="0"/>
        <v>China</v>
      </c>
    </row>
    <row r="59" spans="1:28" x14ac:dyDescent="0.2">
      <c r="A59" t="str">
        <f>IF(E59&gt;1, TII_VH!B59, "")</f>
        <v>Portugal</v>
      </c>
      <c r="B59" t="s">
        <v>127</v>
      </c>
      <c r="C59">
        <v>0.89790999999999999</v>
      </c>
      <c r="D59">
        <f>INDEX($U$2:$U$194, MATCH(TII_VH!B59,$T$2:$T$194,0))</f>
        <v>38730</v>
      </c>
      <c r="E59">
        <f>INDEX($V$2:$V$194, MATCH(TII_VH!B59,$T$2:$T$194,0))</f>
        <v>10.3</v>
      </c>
      <c r="F59">
        <f>INDEX($O$2:$O$194, MATCH(TII_VH!B59,$N$2:$N$194,0))</f>
        <v>0.83887999999999996</v>
      </c>
      <c r="H59" t="s">
        <v>172</v>
      </c>
      <c r="I59">
        <v>0.68489999999999995</v>
      </c>
      <c r="K59" t="s">
        <v>137</v>
      </c>
      <c r="L59">
        <v>0.76549</v>
      </c>
      <c r="N59" t="s">
        <v>150</v>
      </c>
      <c r="O59">
        <v>0.78766000000000003</v>
      </c>
      <c r="Q59" t="s">
        <v>127</v>
      </c>
      <c r="R59">
        <v>0.89790999999999999</v>
      </c>
      <c r="T59" t="s">
        <v>144</v>
      </c>
      <c r="U59" s="5">
        <v>12480</v>
      </c>
      <c r="V59">
        <v>33.700000000000003</v>
      </c>
      <c r="W59">
        <v>59</v>
      </c>
      <c r="X59">
        <v>0.46859296482412061</v>
      </c>
      <c r="Y59">
        <v>59</v>
      </c>
      <c r="Z59">
        <v>0.46859296482412061</v>
      </c>
      <c r="AB59" t="str">
        <f t="shared" si="0"/>
        <v>Costa Rica</v>
      </c>
    </row>
    <row r="60" spans="1:28" x14ac:dyDescent="0.2">
      <c r="A60" t="str">
        <f>IF(E60&gt;1, TII_VH!B60, "")</f>
        <v>South Africa</v>
      </c>
      <c r="B60" t="s">
        <v>107</v>
      </c>
      <c r="C60">
        <v>0.89512000000000003</v>
      </c>
      <c r="D60">
        <f>INDEX($U$2:$U$194, MATCH(TII_VH!B60,$T$2:$T$194,0))</f>
        <v>13360</v>
      </c>
      <c r="E60">
        <f>INDEX($V$2:$V$194, MATCH(TII_VH!B60,$T$2:$T$194,0))</f>
        <v>60</v>
      </c>
      <c r="F60">
        <f>INDEX($O$2:$O$194, MATCH(TII_VH!B60,$N$2:$N$194,0))</f>
        <v>0.80257000000000001</v>
      </c>
      <c r="H60" t="s">
        <v>139</v>
      </c>
      <c r="I60">
        <v>0.67120000000000002</v>
      </c>
      <c r="K60" t="s">
        <v>152</v>
      </c>
      <c r="L60">
        <v>0.76483999999999996</v>
      </c>
      <c r="N60" t="s">
        <v>213</v>
      </c>
      <c r="O60">
        <v>0.78449999999999998</v>
      </c>
      <c r="Q60" t="s">
        <v>107</v>
      </c>
      <c r="R60">
        <v>0.89512000000000003</v>
      </c>
      <c r="T60" t="s">
        <v>146</v>
      </c>
      <c r="U60" s="5">
        <v>35540</v>
      </c>
      <c r="V60">
        <v>9.6</v>
      </c>
      <c r="W60">
        <v>60</v>
      </c>
      <c r="X60">
        <v>0.47236180904522612</v>
      </c>
      <c r="Y60">
        <v>60</v>
      </c>
      <c r="Z60">
        <v>0.47236180904522612</v>
      </c>
      <c r="AB60" t="str">
        <f t="shared" si="0"/>
        <v>Barbados</v>
      </c>
    </row>
    <row r="61" spans="1:28" x14ac:dyDescent="0.2">
      <c r="A61" t="str">
        <f>IF(E61&gt;1, TII_VH!B61, "")</f>
        <v>Cyprus</v>
      </c>
      <c r="B61" t="s">
        <v>102</v>
      </c>
      <c r="C61">
        <v>0.89405999999999997</v>
      </c>
      <c r="D61">
        <f>INDEX($U$2:$U$194, MATCH(TII_VH!B61,$T$2:$T$194,0))</f>
        <v>42230</v>
      </c>
      <c r="E61">
        <f>INDEX($V$2:$V$194, MATCH(TII_VH!B61,$T$2:$T$194,0))</f>
        <v>1.2</v>
      </c>
      <c r="F61">
        <f>INDEX($O$2:$O$194, MATCH(TII_VH!B61,$N$2:$N$194,0))</f>
        <v>0.86980000000000002</v>
      </c>
      <c r="H61" t="s">
        <v>100</v>
      </c>
      <c r="I61">
        <v>0.67120000000000002</v>
      </c>
      <c r="K61" t="s">
        <v>158</v>
      </c>
      <c r="L61">
        <v>0.76366000000000001</v>
      </c>
      <c r="N61" t="s">
        <v>309</v>
      </c>
      <c r="O61">
        <v>0.78356000000000003</v>
      </c>
      <c r="Q61" t="s">
        <v>102</v>
      </c>
      <c r="R61">
        <v>0.89405999999999997</v>
      </c>
      <c r="T61" t="s">
        <v>148</v>
      </c>
      <c r="U61" s="5">
        <v>38540</v>
      </c>
      <c r="V61">
        <v>5.4</v>
      </c>
      <c r="W61">
        <v>61</v>
      </c>
      <c r="X61">
        <v>0.47613065326633164</v>
      </c>
      <c r="Y61">
        <v>61</v>
      </c>
      <c r="Z61">
        <v>0.47613065326633164</v>
      </c>
      <c r="AB61" t="str">
        <f t="shared" si="0"/>
        <v>Marshall Islands</v>
      </c>
    </row>
    <row r="62" spans="1:28" x14ac:dyDescent="0.2">
      <c r="A62" t="str">
        <f>IF(E62&gt;1, TII_VH!B62, "")</f>
        <v>Costa Rica</v>
      </c>
      <c r="B62" t="s">
        <v>150</v>
      </c>
      <c r="C62">
        <v>0.89327000000000001</v>
      </c>
      <c r="D62">
        <f>INDEX($U$2:$U$194, MATCH(TII_VH!B62,$T$2:$T$194,0))</f>
        <v>23340</v>
      </c>
      <c r="E62">
        <f>INDEX($V$2:$V$194, MATCH(TII_VH!B62,$T$2:$T$194,0))</f>
        <v>5.2</v>
      </c>
      <c r="F62">
        <f>INDEX($O$2:$O$194, MATCH(TII_VH!B62,$N$2:$N$194,0))</f>
        <v>0.78766000000000003</v>
      </c>
      <c r="H62" t="s">
        <v>132</v>
      </c>
      <c r="I62">
        <v>0.65749999999999997</v>
      </c>
      <c r="K62" t="s">
        <v>132</v>
      </c>
      <c r="L62">
        <v>0.76239000000000001</v>
      </c>
      <c r="N62" t="s">
        <v>165</v>
      </c>
      <c r="O62">
        <v>0.77930999999999995</v>
      </c>
      <c r="Q62" t="s">
        <v>150</v>
      </c>
      <c r="R62">
        <v>0.89327000000000001</v>
      </c>
      <c r="T62" t="s">
        <v>150</v>
      </c>
      <c r="U62" s="5">
        <v>23340</v>
      </c>
      <c r="V62">
        <v>5.2</v>
      </c>
      <c r="W62">
        <v>62</v>
      </c>
      <c r="X62">
        <v>0.47989949748743721</v>
      </c>
      <c r="Y62">
        <v>62</v>
      </c>
      <c r="Z62">
        <v>0.47989949748743721</v>
      </c>
      <c r="AB62" t="str">
        <f t="shared" si="0"/>
        <v>Colombia</v>
      </c>
    </row>
    <row r="63" spans="1:28" x14ac:dyDescent="0.2">
      <c r="A63" t="str">
        <f>IF(E63&gt;1, TII_VH!B63, "")</f>
        <v>Romania</v>
      </c>
      <c r="B63" t="s">
        <v>172</v>
      </c>
      <c r="C63">
        <v>0.89224000000000003</v>
      </c>
      <c r="D63">
        <f>INDEX($U$2:$U$194, MATCH(TII_VH!B63,$T$2:$T$194,0))</f>
        <v>34520</v>
      </c>
      <c r="E63">
        <f>INDEX($V$2:$V$194, MATCH(TII_VH!B63,$T$2:$T$194,0))</f>
        <v>19</v>
      </c>
      <c r="F63">
        <f>INDEX($O$2:$O$194, MATCH(TII_VH!B63,$N$2:$N$194,0))</f>
        <v>0.74392000000000003</v>
      </c>
      <c r="H63" t="s">
        <v>35</v>
      </c>
      <c r="I63">
        <v>0.65749999999999997</v>
      </c>
      <c r="K63" t="s">
        <v>135</v>
      </c>
      <c r="L63">
        <v>0.76105</v>
      </c>
      <c r="N63" t="s">
        <v>168</v>
      </c>
      <c r="O63">
        <v>0.77764</v>
      </c>
      <c r="Q63" t="s">
        <v>172</v>
      </c>
      <c r="R63">
        <v>0.89224000000000003</v>
      </c>
      <c r="T63" t="s">
        <v>151</v>
      </c>
      <c r="U63" s="5">
        <v>16000</v>
      </c>
      <c r="V63">
        <v>2.8</v>
      </c>
      <c r="W63">
        <v>63</v>
      </c>
      <c r="X63">
        <v>0.48366834170854273</v>
      </c>
      <c r="Y63">
        <v>63</v>
      </c>
      <c r="Z63">
        <v>0.48366834170854273</v>
      </c>
      <c r="AB63" t="str">
        <f t="shared" si="0"/>
        <v>Moldova</v>
      </c>
    </row>
    <row r="64" spans="1:28" x14ac:dyDescent="0.2">
      <c r="A64" t="str">
        <f>IF(E64&gt;1, TII_VH!B64, "")</f>
        <v/>
      </c>
      <c r="B64" t="s">
        <v>214</v>
      </c>
      <c r="C64">
        <v>0.89126000000000005</v>
      </c>
      <c r="D64">
        <f>INDEX($U$2:$U$194, MATCH(TII_VH!B64,$T$2:$T$194,0))</f>
        <v>26320</v>
      </c>
      <c r="E64">
        <f>INDEX($V$2:$V$194, MATCH(TII_VH!B64,$T$2:$T$194,0))</f>
        <v>0.1</v>
      </c>
      <c r="F64">
        <f>INDEX($O$2:$O$194, MATCH(TII_VH!B64,$N$2:$N$194,0))</f>
        <v>0.67688000000000004</v>
      </c>
      <c r="H64" t="s">
        <v>197</v>
      </c>
      <c r="I64">
        <v>0.65749999999999997</v>
      </c>
      <c r="K64" t="s">
        <v>209</v>
      </c>
      <c r="L64">
        <v>0.75905</v>
      </c>
      <c r="N64" t="s">
        <v>119</v>
      </c>
      <c r="O64">
        <v>0.77747999999999995</v>
      </c>
      <c r="Q64" t="s">
        <v>214</v>
      </c>
      <c r="R64">
        <v>0.89126000000000005</v>
      </c>
      <c r="T64" t="s">
        <v>152</v>
      </c>
      <c r="U64" s="5">
        <v>9470</v>
      </c>
      <c r="V64">
        <v>35.299999999999997</v>
      </c>
      <c r="W64">
        <v>64</v>
      </c>
      <c r="X64">
        <v>0.48743718592964824</v>
      </c>
      <c r="Y64">
        <v>64</v>
      </c>
      <c r="Z64">
        <v>0.48743718592964824</v>
      </c>
      <c r="AB64" t="str">
        <f t="shared" si="0"/>
        <v>Mongolia</v>
      </c>
    </row>
    <row r="65" spans="1:28" x14ac:dyDescent="0.2">
      <c r="A65" t="str">
        <f>IF(E65&gt;1, TII_VH!B65, "")</f>
        <v>Morocco</v>
      </c>
      <c r="B65" t="s">
        <v>211</v>
      </c>
      <c r="C65">
        <v>0.88273000000000001</v>
      </c>
      <c r="D65">
        <f>INDEX($U$2:$U$194, MATCH(TII_VH!B65,$T$2:$T$194,0))</f>
        <v>9230</v>
      </c>
      <c r="E65">
        <f>INDEX($V$2:$V$194, MATCH(TII_VH!B65,$T$2:$T$194,0))</f>
        <v>37.799999999999997</v>
      </c>
      <c r="F65">
        <f>INDEX($O$2:$O$194, MATCH(TII_VH!B65,$N$2:$N$194,0))</f>
        <v>0.60782999999999998</v>
      </c>
      <c r="H65" t="s">
        <v>110</v>
      </c>
      <c r="I65">
        <v>0.65749999999999997</v>
      </c>
      <c r="K65" t="s">
        <v>37</v>
      </c>
      <c r="L65">
        <v>0.75553999999999999</v>
      </c>
      <c r="N65" t="s">
        <v>161</v>
      </c>
      <c r="O65">
        <v>0.77149999999999996</v>
      </c>
      <c r="Q65" t="s">
        <v>211</v>
      </c>
      <c r="R65">
        <v>0.88273000000000001</v>
      </c>
      <c r="T65" t="s">
        <v>156</v>
      </c>
      <c r="U65" s="5">
        <v>12310</v>
      </c>
      <c r="V65">
        <v>275.5</v>
      </c>
      <c r="W65">
        <v>65</v>
      </c>
      <c r="X65">
        <v>0.49120603015075376</v>
      </c>
      <c r="Y65">
        <v>65</v>
      </c>
      <c r="Z65">
        <v>0.49120603015075376</v>
      </c>
      <c r="AB65" t="str">
        <f t="shared" si="0"/>
        <v>Ecuador</v>
      </c>
    </row>
    <row r="66" spans="1:28" x14ac:dyDescent="0.2">
      <c r="A66" t="str">
        <f>IF(E66&gt;1, TII_VH!B66, "")</f>
        <v>Kyrgyzstan</v>
      </c>
      <c r="B66" t="s">
        <v>187</v>
      </c>
      <c r="C66">
        <v>0.88153999999999999</v>
      </c>
      <c r="D66">
        <f>INDEX($U$2:$U$194, MATCH(TII_VH!B66,$T$2:$T$194,0))</f>
        <v>5300</v>
      </c>
      <c r="E66">
        <f>INDEX($V$2:$V$194, MATCH(TII_VH!B66,$T$2:$T$194,0))</f>
        <v>6.7</v>
      </c>
      <c r="F66">
        <f>INDEX($O$2:$O$194, MATCH(TII_VH!B66,$N$2:$N$194,0))</f>
        <v>0.70609999999999995</v>
      </c>
      <c r="H66" t="s">
        <v>222</v>
      </c>
      <c r="I66">
        <v>0.65749999999999997</v>
      </c>
      <c r="K66" t="s">
        <v>165</v>
      </c>
      <c r="L66">
        <v>0.75209999999999999</v>
      </c>
      <c r="N66" t="s">
        <v>158</v>
      </c>
      <c r="O66">
        <v>0.76027</v>
      </c>
      <c r="Q66" t="s">
        <v>187</v>
      </c>
      <c r="R66">
        <v>0.88153999999999999</v>
      </c>
      <c r="T66" t="s">
        <v>158</v>
      </c>
      <c r="U66" s="5">
        <v>20960</v>
      </c>
      <c r="V66">
        <v>127.5</v>
      </c>
      <c r="W66">
        <v>66</v>
      </c>
      <c r="X66">
        <v>0.49497487437185933</v>
      </c>
      <c r="Y66">
        <v>66</v>
      </c>
      <c r="Z66">
        <v>0.49497487437185933</v>
      </c>
      <c r="AB66" t="str">
        <f t="shared" si="0"/>
        <v>Mexico</v>
      </c>
    </row>
    <row r="67" spans="1:28" x14ac:dyDescent="0.2">
      <c r="A67" t="str">
        <f>IF(E67&gt;1, TII_VH!B67, "")</f>
        <v>Armenia</v>
      </c>
      <c r="B67" t="s">
        <v>124</v>
      </c>
      <c r="C67">
        <v>0.87824000000000002</v>
      </c>
      <c r="E67">
        <f>INDEX($V$2:$V$194, MATCH(TII_VH!B67,$T$2:$T$194,0))</f>
        <v>2.8</v>
      </c>
      <c r="F67">
        <f>INDEX($O$2:$O$194, MATCH(TII_VH!B67,$N$2:$N$194,0))</f>
        <v>0.85609999999999997</v>
      </c>
      <c r="H67" t="s">
        <v>127</v>
      </c>
      <c r="I67">
        <v>0.64380000000000004</v>
      </c>
      <c r="K67" t="s">
        <v>35</v>
      </c>
      <c r="L67">
        <v>0.74156999999999995</v>
      </c>
      <c r="N67" t="s">
        <v>152</v>
      </c>
      <c r="O67">
        <v>0.75800999999999996</v>
      </c>
      <c r="Q67" t="s">
        <v>124</v>
      </c>
      <c r="R67">
        <v>0.87824000000000002</v>
      </c>
      <c r="T67" t="s">
        <v>160</v>
      </c>
      <c r="U67" s="5">
        <v>74630</v>
      </c>
      <c r="V67">
        <v>4.3</v>
      </c>
      <c r="W67">
        <v>67</v>
      </c>
      <c r="X67">
        <v>0.49874371859296485</v>
      </c>
      <c r="Y67">
        <v>67</v>
      </c>
      <c r="Z67">
        <v>0.49874371859296485</v>
      </c>
      <c r="AB67" t="str">
        <f t="shared" ref="AB67:AB130" si="1">TRIM(N67)</f>
        <v>Uzbekistan</v>
      </c>
    </row>
    <row r="68" spans="1:28" x14ac:dyDescent="0.2">
      <c r="A68" t="str">
        <f>IF(E68&gt;1, TII_VH!B68, "")</f>
        <v>Vietnam</v>
      </c>
      <c r="B68" t="s">
        <v>170</v>
      </c>
      <c r="C68">
        <v>0.87797000000000003</v>
      </c>
      <c r="D68">
        <f>INDEX($U$2:$U$194, MATCH(TII_VH!B68,$T$2:$T$194,0))</f>
        <v>11260</v>
      </c>
      <c r="E68">
        <f>INDEX($V$2:$V$194, MATCH(TII_VH!B68,$T$2:$T$194,0))</f>
        <v>98.2</v>
      </c>
      <c r="F68">
        <f>INDEX($O$2:$O$194, MATCH(TII_VH!B68,$N$2:$N$194,0))</f>
        <v>0.72665000000000002</v>
      </c>
      <c r="H68" t="s">
        <v>93</v>
      </c>
      <c r="I68">
        <v>0.64380000000000004</v>
      </c>
      <c r="K68" t="s">
        <v>176</v>
      </c>
      <c r="L68">
        <v>0.73863000000000001</v>
      </c>
      <c r="N68" t="s">
        <v>238</v>
      </c>
      <c r="O68">
        <v>0.75500999999999996</v>
      </c>
      <c r="Q68" t="s">
        <v>170</v>
      </c>
      <c r="R68">
        <v>0.87797000000000003</v>
      </c>
      <c r="T68" t="s">
        <v>161</v>
      </c>
      <c r="U68" s="5">
        <v>11500</v>
      </c>
      <c r="V68">
        <v>18.100000000000001</v>
      </c>
      <c r="W68">
        <v>68</v>
      </c>
      <c r="X68">
        <v>0.50251256281407031</v>
      </c>
      <c r="Y68">
        <v>68</v>
      </c>
      <c r="Z68">
        <v>0.50251256281407031</v>
      </c>
      <c r="AB68" t="str">
        <f t="shared" si="1"/>
        <v>Grenada</v>
      </c>
    </row>
    <row r="69" spans="1:28" x14ac:dyDescent="0.2">
      <c r="A69" t="str">
        <f>IF(E69&gt;1, TII_VH!B69, "")</f>
        <v>Uzbekistan</v>
      </c>
      <c r="B69" t="s">
        <v>152</v>
      </c>
      <c r="C69">
        <v>0.87687000000000004</v>
      </c>
      <c r="D69">
        <f>INDEX($U$2:$U$194, MATCH(TII_VH!B69,$T$2:$T$194,0))</f>
        <v>9470</v>
      </c>
      <c r="E69">
        <f>INDEX($V$2:$V$194, MATCH(TII_VH!B69,$T$2:$T$194,0))</f>
        <v>35.299999999999997</v>
      </c>
      <c r="F69">
        <f>INDEX($O$2:$O$194, MATCH(TII_VH!B69,$N$2:$N$194,0))</f>
        <v>0.75800999999999996</v>
      </c>
      <c r="H69" t="s">
        <v>37</v>
      </c>
      <c r="I69">
        <v>0.63009999999999999</v>
      </c>
      <c r="K69" t="s">
        <v>230</v>
      </c>
      <c r="L69">
        <v>0.73743999999999998</v>
      </c>
      <c r="N69" t="s">
        <v>139</v>
      </c>
      <c r="O69">
        <v>0.75378000000000001</v>
      </c>
      <c r="Q69" t="s">
        <v>152</v>
      </c>
      <c r="R69">
        <v>0.87687000000000004</v>
      </c>
      <c r="T69" t="s">
        <v>165</v>
      </c>
      <c r="U69" s="5">
        <v>16580</v>
      </c>
      <c r="V69">
        <v>51.5</v>
      </c>
      <c r="W69">
        <v>69</v>
      </c>
      <c r="X69">
        <v>0.50628140703517588</v>
      </c>
      <c r="Y69">
        <v>69</v>
      </c>
      <c r="Z69">
        <v>0.50628140703517588</v>
      </c>
      <c r="AB69" t="str">
        <f t="shared" si="1"/>
        <v>Bulgaria</v>
      </c>
    </row>
    <row r="70" spans="1:28" x14ac:dyDescent="0.2">
      <c r="A70" t="str">
        <f>IF(E70&gt;1, TII_VH!B70, "")</f>
        <v>New Zealand</v>
      </c>
      <c r="B70" t="s">
        <v>57</v>
      </c>
      <c r="C70">
        <v>0.87280999999999997</v>
      </c>
      <c r="D70">
        <f>INDEX($U$2:$U$194, MATCH(TII_VH!B70,$T$2:$T$194,0))</f>
        <v>48830</v>
      </c>
      <c r="E70">
        <f>INDEX($V$2:$V$194, MATCH(TII_VH!B70,$T$2:$T$194,0))</f>
        <v>5.0999999999999996</v>
      </c>
      <c r="F70">
        <f>INDEX($O$2:$O$194, MATCH(TII_VH!B70,$N$2:$N$194,0))</f>
        <v>0.96152000000000004</v>
      </c>
      <c r="H70" t="s">
        <v>111</v>
      </c>
      <c r="I70">
        <v>0.63009999999999999</v>
      </c>
      <c r="K70" t="s">
        <v>51</v>
      </c>
      <c r="L70">
        <v>0.72796000000000005</v>
      </c>
      <c r="N70" t="s">
        <v>298</v>
      </c>
      <c r="O70">
        <v>0.75202999999999998</v>
      </c>
      <c r="Q70" t="s">
        <v>57</v>
      </c>
      <c r="R70">
        <v>0.87280999999999997</v>
      </c>
      <c r="T70" t="s">
        <v>95</v>
      </c>
      <c r="U70" s="5">
        <v>18170</v>
      </c>
      <c r="V70">
        <v>3.7</v>
      </c>
      <c r="W70">
        <v>70</v>
      </c>
      <c r="X70">
        <v>0.51005025125628145</v>
      </c>
      <c r="Y70">
        <v>70</v>
      </c>
      <c r="Z70">
        <v>0.51005025125628145</v>
      </c>
      <c r="AB70" t="str">
        <f t="shared" si="1"/>
        <v>Palau</v>
      </c>
    </row>
    <row r="71" spans="1:28" x14ac:dyDescent="0.2">
      <c r="A71" t="str">
        <f>IF(E71&gt;1, TII_VH!B71, "")</f>
        <v/>
      </c>
      <c r="B71" t="s">
        <v>241</v>
      </c>
      <c r="C71">
        <v>0.87141000000000002</v>
      </c>
      <c r="D71">
        <f>INDEX($U$2:$U$194, MATCH(TII_VH!B71,$T$2:$T$194,0))</f>
        <v>15120</v>
      </c>
      <c r="E71">
        <f>INDEX($V$2:$V$194, MATCH(TII_VH!B71,$T$2:$T$194,0))</f>
        <v>0.6</v>
      </c>
      <c r="F71">
        <f>INDEX($O$2:$O$194, MATCH(TII_VH!B71,$N$2:$N$194,0))</f>
        <v>0.55684</v>
      </c>
      <c r="H71" t="s">
        <v>209</v>
      </c>
      <c r="I71">
        <v>0.61639999999999995</v>
      </c>
      <c r="K71" t="s">
        <v>168</v>
      </c>
      <c r="L71">
        <v>0.72636000000000001</v>
      </c>
      <c r="N71" t="s">
        <v>193</v>
      </c>
      <c r="O71">
        <v>0.75149999999999995</v>
      </c>
      <c r="Q71" t="s">
        <v>241</v>
      </c>
      <c r="R71">
        <v>0.87141000000000002</v>
      </c>
      <c r="T71" t="s">
        <v>168</v>
      </c>
      <c r="U71" s="5">
        <v>14260</v>
      </c>
      <c r="V71">
        <v>2.6</v>
      </c>
      <c r="W71">
        <v>71</v>
      </c>
      <c r="X71">
        <v>0.51381909547738691</v>
      </c>
      <c r="Y71">
        <v>71</v>
      </c>
      <c r="Z71">
        <v>0.51381909547738691</v>
      </c>
      <c r="AB71" t="str">
        <f t="shared" si="1"/>
        <v>Monaco</v>
      </c>
    </row>
    <row r="72" spans="1:28" x14ac:dyDescent="0.2">
      <c r="A72" t="str">
        <f>IF(E72&gt;1, TII_VH!B72, "")</f>
        <v>Belgium</v>
      </c>
      <c r="B72" t="s">
        <v>141</v>
      </c>
      <c r="C72">
        <v>0.86983999999999995</v>
      </c>
      <c r="D72">
        <f>INDEX($U$2:$U$194, MATCH(TII_VH!B72,$T$2:$T$194,0))</f>
        <v>54640</v>
      </c>
      <c r="E72">
        <f>INDEX($V$2:$V$194, MATCH(TII_VH!B72,$T$2:$T$194,0))</f>
        <v>11.7</v>
      </c>
      <c r="F72">
        <f>INDEX($O$2:$O$194, MATCH(TII_VH!B72,$N$2:$N$194,0))</f>
        <v>0.84416000000000002</v>
      </c>
      <c r="H72" t="s">
        <v>230</v>
      </c>
      <c r="I72">
        <v>0.61639999999999995</v>
      </c>
      <c r="K72" t="s">
        <v>141</v>
      </c>
      <c r="L72">
        <v>0.72243999999999997</v>
      </c>
      <c r="N72" t="s">
        <v>293</v>
      </c>
      <c r="O72">
        <v>0.74877000000000005</v>
      </c>
      <c r="Q72" t="s">
        <v>141</v>
      </c>
      <c r="R72">
        <v>0.86983999999999995</v>
      </c>
      <c r="T72" t="s">
        <v>170</v>
      </c>
      <c r="U72" s="5">
        <v>11260</v>
      </c>
      <c r="V72">
        <v>98.2</v>
      </c>
      <c r="W72">
        <v>72</v>
      </c>
      <c r="X72">
        <v>0.51758793969849248</v>
      </c>
      <c r="Y72">
        <v>72</v>
      </c>
      <c r="Z72">
        <v>0.51758793969849248</v>
      </c>
      <c r="AB72" t="str">
        <f t="shared" si="1"/>
        <v>Tonga</v>
      </c>
    </row>
    <row r="73" spans="1:28" x14ac:dyDescent="0.2">
      <c r="A73" t="str">
        <f>IF(E73&gt;1, TII_VH!B73, "")</f>
        <v/>
      </c>
      <c r="B73" t="s">
        <v>251</v>
      </c>
      <c r="C73">
        <v>0.86745000000000005</v>
      </c>
      <c r="D73">
        <f>INDEX($U$2:$U$194, MATCH(TII_VH!B73,$T$2:$T$194,0))</f>
        <v>25940</v>
      </c>
      <c r="E73">
        <f>INDEX($V$2:$V$194, MATCH(TII_VH!B73,$T$2:$T$194,0))</f>
        <v>0.05</v>
      </c>
      <c r="F73">
        <f>INDEX($O$2:$O$194, MATCH(TII_VH!B73,$N$2:$N$194,0))</f>
        <v>0.72021000000000002</v>
      </c>
      <c r="H73" t="s">
        <v>191</v>
      </c>
      <c r="I73">
        <v>0.60270000000000001</v>
      </c>
      <c r="K73" t="s">
        <v>150</v>
      </c>
      <c r="L73">
        <v>0.72169000000000005</v>
      </c>
      <c r="N73" t="s">
        <v>144</v>
      </c>
      <c r="O73">
        <v>0.74690000000000001</v>
      </c>
      <c r="Q73" t="s">
        <v>251</v>
      </c>
      <c r="R73">
        <v>0.86745000000000005</v>
      </c>
      <c r="T73" t="s">
        <v>172</v>
      </c>
      <c r="U73" s="5">
        <v>34520</v>
      </c>
      <c r="V73">
        <v>19</v>
      </c>
      <c r="W73">
        <v>73</v>
      </c>
      <c r="X73">
        <v>0.52135678391959805</v>
      </c>
      <c r="Y73">
        <v>73</v>
      </c>
      <c r="Z73">
        <v>0.52135678391959805</v>
      </c>
      <c r="AB73" t="str">
        <f t="shared" si="1"/>
        <v>Peru</v>
      </c>
    </row>
    <row r="74" spans="1:28" x14ac:dyDescent="0.2">
      <c r="A74" t="str">
        <f>IF(E74&gt;1, TII_VH!B74, "")</f>
        <v>Greece</v>
      </c>
      <c r="B74" t="s">
        <v>100</v>
      </c>
      <c r="C74">
        <v>0.86568000000000001</v>
      </c>
      <c r="D74">
        <f>INDEX($U$2:$U$194, MATCH(TII_VH!B74,$T$2:$T$194,0))</f>
        <v>32160</v>
      </c>
      <c r="E74">
        <f>INDEX($V$2:$V$194, MATCH(TII_VH!B74,$T$2:$T$194,0))</f>
        <v>10.4</v>
      </c>
      <c r="F74">
        <f>INDEX($O$2:$O$194, MATCH(TII_VH!B74,$N$2:$N$194,0))</f>
        <v>0.92190000000000005</v>
      </c>
      <c r="H74" t="s">
        <v>170</v>
      </c>
      <c r="I74">
        <v>0.60270000000000001</v>
      </c>
      <c r="K74" t="s">
        <v>146</v>
      </c>
      <c r="L74">
        <v>0.71436999999999995</v>
      </c>
      <c r="N74" t="s">
        <v>181</v>
      </c>
      <c r="O74">
        <v>0.74563999999999997</v>
      </c>
      <c r="Q74" t="s">
        <v>100</v>
      </c>
      <c r="R74">
        <v>0.86568000000000001</v>
      </c>
      <c r="T74" t="s">
        <v>175</v>
      </c>
      <c r="U74" s="5">
        <v>9820</v>
      </c>
      <c r="V74">
        <v>115.6</v>
      </c>
      <c r="W74">
        <v>74</v>
      </c>
      <c r="X74">
        <v>0.52512562814070352</v>
      </c>
      <c r="Y74">
        <v>74</v>
      </c>
      <c r="Z74">
        <v>0.52512562814070352</v>
      </c>
      <c r="AB74" t="str">
        <f t="shared" si="1"/>
        <v>Mauritius</v>
      </c>
    </row>
    <row r="75" spans="1:28" x14ac:dyDescent="0.2">
      <c r="A75" t="str">
        <f>IF(E75&gt;1, TII_VH!B75, "")</f>
        <v/>
      </c>
      <c r="B75" t="s">
        <v>195</v>
      </c>
      <c r="C75">
        <v>0.86521999999999999</v>
      </c>
      <c r="D75">
        <f>INDEX($U$2:$U$194, MATCH(TII_VH!B75,$T$2:$T$194,0))</f>
        <v>34860</v>
      </c>
      <c r="E75">
        <f>INDEX($V$2:$V$194, MATCH(TII_VH!B75,$T$2:$T$194,0))</f>
        <v>0.4</v>
      </c>
      <c r="F75">
        <f>INDEX($O$2:$O$194, MATCH(TII_VH!B75,$N$2:$N$194,0))</f>
        <v>0.73762000000000005</v>
      </c>
      <c r="H75" t="s">
        <v>218</v>
      </c>
      <c r="I75">
        <v>0.58899999999999997</v>
      </c>
      <c r="K75" t="s">
        <v>148</v>
      </c>
      <c r="L75">
        <v>0.70969000000000004</v>
      </c>
      <c r="N75" t="s">
        <v>172</v>
      </c>
      <c r="O75">
        <v>0.74392000000000003</v>
      </c>
      <c r="Q75" t="s">
        <v>195</v>
      </c>
      <c r="R75">
        <v>0.86521999999999999</v>
      </c>
      <c r="T75" t="s">
        <v>176</v>
      </c>
      <c r="U75" s="5">
        <v>14540</v>
      </c>
      <c r="V75">
        <v>10.199999999999999</v>
      </c>
      <c r="W75">
        <v>75</v>
      </c>
      <c r="X75">
        <v>0.52889447236180898</v>
      </c>
      <c r="Y75">
        <v>75</v>
      </c>
      <c r="Z75">
        <v>0.52889447236180898</v>
      </c>
      <c r="AB75" t="str">
        <f t="shared" si="1"/>
        <v>Romania</v>
      </c>
    </row>
    <row r="76" spans="1:28" x14ac:dyDescent="0.2">
      <c r="A76" t="str">
        <f>IF(E76&gt;1, TII_VH!B76, "")</f>
        <v>Botswana</v>
      </c>
      <c r="B76" t="s">
        <v>256</v>
      </c>
      <c r="C76">
        <v>0.86495</v>
      </c>
      <c r="D76">
        <f>INDEX($U$2:$U$194, MATCH(TII_VH!B76,$T$2:$T$194,0))</f>
        <v>17220</v>
      </c>
      <c r="E76">
        <f>INDEX($V$2:$V$194, MATCH(TII_VH!B76,$T$2:$T$194,0))</f>
        <v>2.4</v>
      </c>
      <c r="F76">
        <f>INDEX($O$2:$O$194, MATCH(TII_VH!B76,$N$2:$N$194,0))</f>
        <v>0.57194</v>
      </c>
      <c r="H76" t="s">
        <v>121</v>
      </c>
      <c r="I76">
        <v>0.58899999999999997</v>
      </c>
      <c r="K76" t="s">
        <v>170</v>
      </c>
      <c r="L76">
        <v>0.70811000000000002</v>
      </c>
      <c r="N76" t="s">
        <v>185</v>
      </c>
      <c r="O76">
        <v>0.74187999999999998</v>
      </c>
      <c r="Q76" t="s">
        <v>256</v>
      </c>
      <c r="R76">
        <v>0.86495</v>
      </c>
      <c r="T76" t="s">
        <v>179</v>
      </c>
      <c r="U76" s="5">
        <v>83530</v>
      </c>
      <c r="V76">
        <v>0.4</v>
      </c>
      <c r="W76">
        <v>76</v>
      </c>
      <c r="X76">
        <v>0.53266331658291466</v>
      </c>
      <c r="Y76">
        <v>76</v>
      </c>
      <c r="Z76">
        <v>0.53266331658291466</v>
      </c>
      <c r="AB76" t="str">
        <f t="shared" si="1"/>
        <v>Belarus</v>
      </c>
    </row>
    <row r="77" spans="1:28" x14ac:dyDescent="0.2">
      <c r="A77" t="str">
        <f>IF(E77&gt;1, TII_VH!B77, "")</f>
        <v>Indonesia</v>
      </c>
      <c r="B77" t="s">
        <v>156</v>
      </c>
      <c r="C77">
        <v>0.86448000000000003</v>
      </c>
      <c r="D77">
        <f>INDEX($U$2:$U$194, MATCH(TII_VH!B77,$T$2:$T$194,0))</f>
        <v>12310</v>
      </c>
      <c r="E77">
        <f>INDEX($V$2:$V$194, MATCH(TII_VH!B77,$T$2:$T$194,0))</f>
        <v>275.5</v>
      </c>
      <c r="F77">
        <f>INDEX($O$2:$O$194, MATCH(TII_VH!B77,$N$2:$N$194,0))</f>
        <v>0.72933999999999999</v>
      </c>
      <c r="H77" t="s">
        <v>182</v>
      </c>
      <c r="I77">
        <v>0.57530000000000003</v>
      </c>
      <c r="K77" t="s">
        <v>297</v>
      </c>
      <c r="L77">
        <v>0.70416999999999996</v>
      </c>
      <c r="N77" t="s">
        <v>216</v>
      </c>
      <c r="O77">
        <v>0.74131000000000002</v>
      </c>
      <c r="Q77" t="s">
        <v>156</v>
      </c>
      <c r="R77">
        <v>0.86448000000000003</v>
      </c>
      <c r="T77" t="s">
        <v>181</v>
      </c>
      <c r="U77" s="5">
        <v>24310</v>
      </c>
      <c r="V77">
        <v>1.3</v>
      </c>
      <c r="W77">
        <v>77</v>
      </c>
      <c r="X77">
        <v>0.53643216080402012</v>
      </c>
      <c r="Y77">
        <v>77</v>
      </c>
      <c r="Z77">
        <v>0.53643216080402012</v>
      </c>
      <c r="AB77" t="str">
        <f t="shared" si="1"/>
        <v>Fiji</v>
      </c>
    </row>
    <row r="78" spans="1:28" x14ac:dyDescent="0.2">
      <c r="A78" t="str">
        <f>IF(E78&gt;1, TII_VH!B78, "")</f>
        <v>Panama</v>
      </c>
      <c r="B78" t="s">
        <v>188</v>
      </c>
      <c r="C78">
        <v>0.85229999999999995</v>
      </c>
      <c r="D78">
        <f>INDEX($U$2:$U$194, MATCH(TII_VH!B78,$T$2:$T$194,0))</f>
        <v>30990</v>
      </c>
      <c r="E78">
        <f>INDEX($V$2:$V$194, MATCH(TII_VH!B78,$T$2:$T$194,0))</f>
        <v>4.4000000000000004</v>
      </c>
      <c r="F78">
        <f>INDEX($O$2:$O$194, MATCH(TII_VH!B78,$N$2:$N$194,0))</f>
        <v>0.68662999999999996</v>
      </c>
      <c r="H78" t="s">
        <v>95</v>
      </c>
      <c r="I78">
        <v>0.56159999999999999</v>
      </c>
      <c r="K78" t="s">
        <v>121</v>
      </c>
      <c r="L78">
        <v>0.70062999999999998</v>
      </c>
      <c r="N78" t="s">
        <v>195</v>
      </c>
      <c r="O78">
        <v>0.73762000000000005</v>
      </c>
      <c r="Q78" t="s">
        <v>188</v>
      </c>
      <c r="R78">
        <v>0.85229999999999995</v>
      </c>
      <c r="T78" t="s">
        <v>185</v>
      </c>
      <c r="U78" s="5">
        <v>20080</v>
      </c>
      <c r="V78">
        <v>9.3000000000000007</v>
      </c>
      <c r="W78">
        <v>78</v>
      </c>
      <c r="X78">
        <v>0.54020100502512558</v>
      </c>
      <c r="Y78">
        <v>78</v>
      </c>
      <c r="Z78">
        <v>0.54020100502512558</v>
      </c>
      <c r="AB78" t="str">
        <f t="shared" si="1"/>
        <v>Bahamas</v>
      </c>
    </row>
    <row r="79" spans="1:28" x14ac:dyDescent="0.2">
      <c r="A79" t="str">
        <f>IF(E79&gt;1, TII_VH!B79, "")</f>
        <v>Ukraine</v>
      </c>
      <c r="B79" t="s">
        <v>13</v>
      </c>
      <c r="C79">
        <v>0.84277999999999997</v>
      </c>
      <c r="D79">
        <f>INDEX($U$2:$U$194, MATCH(TII_VH!B79,$T$2:$T$194,0))</f>
        <v>14480</v>
      </c>
      <c r="E79">
        <f>INDEX($V$2:$V$194, MATCH(TII_VH!B79,$T$2:$T$194,0))</f>
        <v>41.2</v>
      </c>
      <c r="F79">
        <f>INDEX($O$2:$O$194, MATCH(TII_VH!B79,$N$2:$N$194,0))</f>
        <v>0.82401999999999997</v>
      </c>
      <c r="H79" t="s">
        <v>206</v>
      </c>
      <c r="I79">
        <v>0.54790000000000005</v>
      </c>
      <c r="K79" t="s">
        <v>218</v>
      </c>
      <c r="L79">
        <v>0.70016</v>
      </c>
      <c r="N79" t="s">
        <v>156</v>
      </c>
      <c r="O79">
        <v>0.72933999999999999</v>
      </c>
      <c r="Q79" t="s">
        <v>13</v>
      </c>
      <c r="R79">
        <v>0.84277999999999997</v>
      </c>
      <c r="T79" t="s">
        <v>187</v>
      </c>
      <c r="U79" s="5">
        <v>5300</v>
      </c>
      <c r="V79">
        <v>6.7</v>
      </c>
      <c r="W79">
        <v>79</v>
      </c>
      <c r="X79">
        <v>0.54396984924623115</v>
      </c>
      <c r="Y79">
        <v>79</v>
      </c>
      <c r="Z79">
        <v>0.54396984924623115</v>
      </c>
      <c r="AB79" t="str">
        <f t="shared" si="1"/>
        <v>Indonesia</v>
      </c>
    </row>
    <row r="80" spans="1:28" x14ac:dyDescent="0.2">
      <c r="A80" t="str">
        <f>IF(E80&gt;1, TII_VH!B80, "")</f>
        <v>Argentina</v>
      </c>
      <c r="B80" t="s">
        <v>111</v>
      </c>
      <c r="C80">
        <v>0.84253999999999996</v>
      </c>
      <c r="D80">
        <f>INDEX($U$2:$U$194, MATCH(TII_VH!B80,$T$2:$T$194,0))</f>
        <v>22270</v>
      </c>
      <c r="E80">
        <f>INDEX($V$2:$V$194, MATCH(TII_VH!B80,$T$2:$T$194,0))</f>
        <v>45.8</v>
      </c>
      <c r="F80">
        <f>INDEX($O$2:$O$194, MATCH(TII_VH!B80,$N$2:$N$194,0))</f>
        <v>0.93298000000000003</v>
      </c>
      <c r="H80" t="s">
        <v>245</v>
      </c>
      <c r="I80">
        <v>0.54790000000000005</v>
      </c>
      <c r="K80" t="s">
        <v>252</v>
      </c>
      <c r="L80">
        <v>0.68916999999999995</v>
      </c>
      <c r="N80" t="s">
        <v>170</v>
      </c>
      <c r="O80">
        <v>0.72665000000000002</v>
      </c>
      <c r="Q80" t="s">
        <v>111</v>
      </c>
      <c r="R80">
        <v>0.84253999999999996</v>
      </c>
      <c r="T80" t="s">
        <v>188</v>
      </c>
      <c r="U80" s="5">
        <v>30990</v>
      </c>
      <c r="V80">
        <v>4.4000000000000004</v>
      </c>
      <c r="W80">
        <v>80</v>
      </c>
      <c r="X80">
        <v>0.54773869346733672</v>
      </c>
      <c r="Y80">
        <v>80</v>
      </c>
      <c r="Z80">
        <v>0.54773869346733672</v>
      </c>
      <c r="AB80" t="str">
        <f t="shared" si="1"/>
        <v>Vietnam</v>
      </c>
    </row>
    <row r="81" spans="1:28" x14ac:dyDescent="0.2">
      <c r="A81" t="str">
        <f>IF(E81&gt;1, TII_VH!B81, "")</f>
        <v>Peru</v>
      </c>
      <c r="B81" t="s">
        <v>144</v>
      </c>
      <c r="C81">
        <v>0.83638000000000001</v>
      </c>
      <c r="D81">
        <f>INDEX($U$2:$U$194, MATCH(TII_VH!B81,$T$2:$T$194,0))</f>
        <v>12480</v>
      </c>
      <c r="E81">
        <f>INDEX($V$2:$V$194, MATCH(TII_VH!B81,$T$2:$T$194,0))</f>
        <v>33.700000000000003</v>
      </c>
      <c r="F81">
        <f>INDEX($O$2:$O$194, MATCH(TII_VH!B81,$N$2:$N$194,0))</f>
        <v>0.74690000000000001</v>
      </c>
      <c r="H81" t="s">
        <v>252</v>
      </c>
      <c r="I81">
        <v>0.54790000000000005</v>
      </c>
      <c r="K81" t="s">
        <v>191</v>
      </c>
      <c r="L81">
        <v>0.67115000000000002</v>
      </c>
      <c r="N81" t="s">
        <v>175</v>
      </c>
      <c r="O81">
        <v>0.72555999999999998</v>
      </c>
      <c r="Q81" t="s">
        <v>144</v>
      </c>
      <c r="R81">
        <v>0.83638000000000001</v>
      </c>
      <c r="T81" t="s">
        <v>191</v>
      </c>
      <c r="U81" s="5">
        <v>13990</v>
      </c>
      <c r="V81">
        <v>7.3</v>
      </c>
      <c r="W81">
        <v>81</v>
      </c>
      <c r="X81">
        <v>0.55150753768844218</v>
      </c>
      <c r="Y81">
        <v>81</v>
      </c>
      <c r="Z81">
        <v>0.55150753768844218</v>
      </c>
      <c r="AB81" t="str">
        <f t="shared" si="1"/>
        <v>Philippines</v>
      </c>
    </row>
    <row r="82" spans="1:28" x14ac:dyDescent="0.2">
      <c r="A82" t="str">
        <f>IF(E82&gt;1, TII_VH!B82, "")</f>
        <v>Tunisia</v>
      </c>
      <c r="B82" t="s">
        <v>201</v>
      </c>
      <c r="C82">
        <v>0.83565999999999996</v>
      </c>
      <c r="D82">
        <f>INDEX($U$2:$U$194, MATCH(TII_VH!B82,$T$2:$T$194,0))</f>
        <v>11870</v>
      </c>
      <c r="E82">
        <f>INDEX($V$2:$V$194, MATCH(TII_VH!B82,$T$2:$T$194,0))</f>
        <v>12.3</v>
      </c>
      <c r="F82">
        <f>INDEX($O$2:$O$194, MATCH(TII_VH!B82,$N$2:$N$194,0))</f>
        <v>0.64964999999999995</v>
      </c>
      <c r="H82" t="s">
        <v>146</v>
      </c>
      <c r="I82">
        <v>0.54790000000000005</v>
      </c>
      <c r="K82" t="s">
        <v>182</v>
      </c>
      <c r="L82">
        <v>0.66415000000000002</v>
      </c>
      <c r="N82" t="s">
        <v>176</v>
      </c>
      <c r="O82">
        <v>0.72328999999999999</v>
      </c>
      <c r="Q82" t="s">
        <v>201</v>
      </c>
      <c r="R82">
        <v>0.83565999999999996</v>
      </c>
      <c r="T82" t="s">
        <v>115</v>
      </c>
      <c r="U82" s="5">
        <v>22940</v>
      </c>
      <c r="V82">
        <v>0.6</v>
      </c>
      <c r="W82">
        <v>82</v>
      </c>
      <c r="X82">
        <v>0.55527638190954776</v>
      </c>
      <c r="Y82">
        <v>82</v>
      </c>
      <c r="Z82">
        <v>0.55527638190954776</v>
      </c>
      <c r="AB82" t="str">
        <f t="shared" si="1"/>
        <v>Azerbaijan</v>
      </c>
    </row>
    <row r="83" spans="1:28" x14ac:dyDescent="0.2">
      <c r="A83" t="str">
        <f>IF(E83&gt;1, TII_VH!B83, "")</f>
        <v>Turkiye</v>
      </c>
      <c r="B83" t="s">
        <v>50</v>
      </c>
      <c r="C83">
        <v>0.83221000000000001</v>
      </c>
      <c r="D83">
        <f>INDEX($U$2:$U$194, MATCH(TII_VH!B83,$T$2:$T$194,0))</f>
        <v>32730</v>
      </c>
      <c r="E83">
        <f>INDEX($V$2:$V$194, MATCH(TII_VH!B83,$T$2:$T$194,0))</f>
        <v>85.3</v>
      </c>
      <c r="F83">
        <f>INDEX($O$2:$O$194, MATCH(TII_VH!B83,$N$2:$N$194,0))</f>
        <v>0.91922999999999999</v>
      </c>
      <c r="H83" t="s">
        <v>248</v>
      </c>
      <c r="I83">
        <v>0.53420000000000001</v>
      </c>
      <c r="K83" t="s">
        <v>172</v>
      </c>
      <c r="L83">
        <v>0.65476999999999996</v>
      </c>
      <c r="N83" t="s">
        <v>251</v>
      </c>
      <c r="O83">
        <v>0.72021000000000002</v>
      </c>
      <c r="Q83" t="s">
        <v>50</v>
      </c>
      <c r="R83">
        <v>0.83221000000000001</v>
      </c>
      <c r="T83" t="s">
        <v>193</v>
      </c>
      <c r="U83" s="8" t="s">
        <v>118</v>
      </c>
      <c r="V83">
        <v>0.04</v>
      </c>
      <c r="W83">
        <v>83</v>
      </c>
      <c r="X83">
        <v>0.55904522613065333</v>
      </c>
      <c r="Y83">
        <v>83</v>
      </c>
      <c r="Z83">
        <v>0.55904522613065333</v>
      </c>
      <c r="AB83" t="str">
        <f t="shared" si="1"/>
        <v>St Kitts and Nevis</v>
      </c>
    </row>
    <row r="84" spans="1:28" x14ac:dyDescent="0.2">
      <c r="A84" t="str">
        <f>IF(E84&gt;1, TII_VH!B84, "")</f>
        <v>Mexico</v>
      </c>
      <c r="B84" t="s">
        <v>158</v>
      </c>
      <c r="C84">
        <v>0.83101000000000003</v>
      </c>
      <c r="D84">
        <f>INDEX($U$2:$U$194, MATCH(TII_VH!B84,$T$2:$T$194,0))</f>
        <v>20960</v>
      </c>
      <c r="E84">
        <f>INDEX($V$2:$V$194, MATCH(TII_VH!B84,$T$2:$T$194,0))</f>
        <v>127.5</v>
      </c>
      <c r="F84">
        <f>INDEX($O$2:$O$194, MATCH(TII_VH!B84,$N$2:$N$194,0))</f>
        <v>0.76027</v>
      </c>
      <c r="H84" t="s">
        <v>249</v>
      </c>
      <c r="I84">
        <v>0.52049999999999996</v>
      </c>
      <c r="K84" t="s">
        <v>272</v>
      </c>
      <c r="L84">
        <v>0.65378999999999998</v>
      </c>
      <c r="N84" t="s">
        <v>51</v>
      </c>
      <c r="O84">
        <v>0.71921000000000002</v>
      </c>
      <c r="Q84" t="s">
        <v>158</v>
      </c>
      <c r="R84">
        <v>0.83101000000000003</v>
      </c>
      <c r="T84" t="s">
        <v>195</v>
      </c>
      <c r="U84" s="5">
        <v>34860</v>
      </c>
      <c r="V84">
        <v>0.4</v>
      </c>
      <c r="W84">
        <v>84</v>
      </c>
      <c r="X84">
        <v>0.56281407035175879</v>
      </c>
      <c r="Y84">
        <v>84</v>
      </c>
      <c r="Z84">
        <v>0.56281407035175879</v>
      </c>
      <c r="AB84" t="str">
        <f t="shared" si="1"/>
        <v>Malaysia</v>
      </c>
    </row>
    <row r="85" spans="1:28" x14ac:dyDescent="0.2">
      <c r="A85" t="str">
        <f>IF(E85&gt;1, TII_VH!B85, "")</f>
        <v>Hungary</v>
      </c>
      <c r="B85" t="s">
        <v>146</v>
      </c>
      <c r="C85">
        <v>0.82821</v>
      </c>
      <c r="D85">
        <f>INDEX($U$2:$U$194, MATCH(TII_VH!B85,$T$2:$T$194,0))</f>
        <v>35540</v>
      </c>
      <c r="E85">
        <f>INDEX($V$2:$V$194, MATCH(TII_VH!B85,$T$2:$T$194,0))</f>
        <v>9.6</v>
      </c>
      <c r="F85">
        <f>INDEX($O$2:$O$194, MATCH(TII_VH!B85,$N$2:$N$194,0))</f>
        <v>0.87029999999999996</v>
      </c>
      <c r="H85" t="s">
        <v>188</v>
      </c>
      <c r="I85">
        <v>0.52049999999999996</v>
      </c>
      <c r="K85" t="s">
        <v>188</v>
      </c>
      <c r="L85">
        <v>0.65049000000000001</v>
      </c>
      <c r="N85" t="s">
        <v>115</v>
      </c>
      <c r="O85">
        <v>0.71904000000000001</v>
      </c>
      <c r="Q85" t="s">
        <v>146</v>
      </c>
      <c r="R85">
        <v>0.82821</v>
      </c>
      <c r="T85" t="s">
        <v>182</v>
      </c>
      <c r="U85" s="5">
        <v>18210</v>
      </c>
      <c r="V85">
        <v>2.1</v>
      </c>
      <c r="W85">
        <v>85</v>
      </c>
      <c r="X85">
        <v>0.56658291457286425</v>
      </c>
      <c r="Y85">
        <v>85</v>
      </c>
      <c r="Z85">
        <v>0.56658291457286425</v>
      </c>
      <c r="AB85" t="str">
        <f t="shared" si="1"/>
        <v>Montenegro</v>
      </c>
    </row>
    <row r="86" spans="1:28" x14ac:dyDescent="0.2">
      <c r="A86" t="str">
        <f>IF(E86&gt;1, TII_VH!B86, "")</f>
        <v>Gabon</v>
      </c>
      <c r="B86" t="s">
        <v>270</v>
      </c>
      <c r="C86">
        <v>0.82630000000000003</v>
      </c>
      <c r="D86">
        <f>INDEX($U$2:$U$194, MATCH(TII_VH!B86,$T$2:$T$194,0))</f>
        <v>14970</v>
      </c>
      <c r="E86">
        <f>INDEX($V$2:$V$194, MATCH(TII_VH!B86,$T$2:$T$194,0))</f>
        <v>2.2999999999999998</v>
      </c>
      <c r="F86">
        <f>INDEX($O$2:$O$194, MATCH(TII_VH!B86,$N$2:$N$194,0))</f>
        <v>0.57723000000000002</v>
      </c>
      <c r="H86" t="s">
        <v>115</v>
      </c>
      <c r="I86">
        <v>0.50680000000000003</v>
      </c>
      <c r="K86" t="s">
        <v>197</v>
      </c>
      <c r="L86">
        <v>0.64046999999999998</v>
      </c>
      <c r="N86" t="s">
        <v>197</v>
      </c>
      <c r="O86">
        <v>0.71889999999999998</v>
      </c>
      <c r="Q86" t="s">
        <v>270</v>
      </c>
      <c r="R86">
        <v>0.82630000000000003</v>
      </c>
      <c r="T86" t="s">
        <v>197</v>
      </c>
      <c r="U86" s="5">
        <v>20640</v>
      </c>
      <c r="V86">
        <v>10.8</v>
      </c>
      <c r="W86">
        <v>86</v>
      </c>
      <c r="X86">
        <v>0.57035175879396993</v>
      </c>
      <c r="Y86">
        <v>86</v>
      </c>
      <c r="Z86">
        <v>0.57035175879396993</v>
      </c>
      <c r="AB86" t="str">
        <f t="shared" si="1"/>
        <v>Dominican Republic</v>
      </c>
    </row>
    <row r="87" spans="1:28" x14ac:dyDescent="0.2">
      <c r="A87" t="str">
        <f>IF(E87&gt;1, TII_VH!B87, "")</f>
        <v>Azerbaijan</v>
      </c>
      <c r="B87" t="s">
        <v>176</v>
      </c>
      <c r="C87">
        <v>0.82033999999999996</v>
      </c>
      <c r="D87">
        <f>INDEX($U$2:$U$194, MATCH(TII_VH!B87,$T$2:$T$194,0))</f>
        <v>14540</v>
      </c>
      <c r="E87">
        <f>INDEX($V$2:$V$194, MATCH(TII_VH!B87,$T$2:$T$194,0))</f>
        <v>10.199999999999999</v>
      </c>
      <c r="F87">
        <f>INDEX($O$2:$O$194, MATCH(TII_VH!B87,$N$2:$N$194,0))</f>
        <v>0.72328999999999999</v>
      </c>
      <c r="H87" t="s">
        <v>141</v>
      </c>
      <c r="I87">
        <v>0.50680000000000003</v>
      </c>
      <c r="K87" t="s">
        <v>160</v>
      </c>
      <c r="L87">
        <v>0.63654999999999995</v>
      </c>
      <c r="N87" t="s">
        <v>239</v>
      </c>
      <c r="O87">
        <v>0.71757000000000004</v>
      </c>
      <c r="Q87" t="s">
        <v>176</v>
      </c>
      <c r="R87">
        <v>0.82033999999999996</v>
      </c>
      <c r="T87" t="s">
        <v>199</v>
      </c>
      <c r="U87" s="5">
        <v>26730</v>
      </c>
      <c r="V87">
        <v>1.4</v>
      </c>
      <c r="W87">
        <v>87</v>
      </c>
      <c r="X87">
        <v>0.57412060301507539</v>
      </c>
      <c r="Y87">
        <v>87</v>
      </c>
      <c r="Z87">
        <v>0.57412060301507539</v>
      </c>
      <c r="AB87" t="str">
        <f t="shared" si="1"/>
        <v>Antigua and Barbuda</v>
      </c>
    </row>
    <row r="88" spans="1:28" x14ac:dyDescent="0.2">
      <c r="A88" t="str">
        <f>IF(E88&gt;1, TII_VH!B88, "")</f>
        <v/>
      </c>
      <c r="B88" t="s">
        <v>234</v>
      </c>
      <c r="C88">
        <v>0.81694999999999995</v>
      </c>
      <c r="D88">
        <f>INDEX($U$2:$U$194, MATCH(TII_VH!B88,$T$2:$T$194,0))</f>
        <v>10840</v>
      </c>
      <c r="E88">
        <f>INDEX($V$2:$V$194, MATCH(TII_VH!B88,$T$2:$T$194,0))</f>
        <v>0.8</v>
      </c>
      <c r="F88">
        <f>INDEX($O$2:$O$194, MATCH(TII_VH!B88,$N$2:$N$194,0))</f>
        <v>0.54781000000000002</v>
      </c>
      <c r="H88" t="s">
        <v>338</v>
      </c>
      <c r="I88">
        <v>0.50680000000000003</v>
      </c>
      <c r="K88" t="s">
        <v>203</v>
      </c>
      <c r="L88">
        <v>0.62200999999999995</v>
      </c>
      <c r="N88" t="s">
        <v>199</v>
      </c>
      <c r="O88">
        <v>0.71738999999999997</v>
      </c>
      <c r="Q88" t="s">
        <v>234</v>
      </c>
      <c r="R88">
        <v>0.81694999999999995</v>
      </c>
      <c r="T88" t="s">
        <v>201</v>
      </c>
      <c r="U88" s="5">
        <v>11870</v>
      </c>
      <c r="V88">
        <v>12.3</v>
      </c>
      <c r="W88">
        <v>88</v>
      </c>
      <c r="X88">
        <v>0.57788944723618085</v>
      </c>
      <c r="Y88">
        <v>88</v>
      </c>
      <c r="Z88">
        <v>0.57788944723618085</v>
      </c>
      <c r="AB88" t="str">
        <f t="shared" si="1"/>
        <v>Trinidad and Tobago</v>
      </c>
    </row>
    <row r="89" spans="1:28" x14ac:dyDescent="0.2">
      <c r="A89" t="str">
        <f>IF(E89&gt;1, TII_VH!B89, "")</f>
        <v>Algeria</v>
      </c>
      <c r="B89" t="s">
        <v>261</v>
      </c>
      <c r="C89">
        <v>0.81289999999999996</v>
      </c>
      <c r="D89">
        <f>INDEX($U$2:$U$194, MATCH(TII_VH!B89,$T$2:$T$194,0))</f>
        <v>11430</v>
      </c>
      <c r="E89">
        <f>INDEX($V$2:$V$194, MATCH(TII_VH!B89,$T$2:$T$194,0))</f>
        <v>46.2</v>
      </c>
      <c r="F89">
        <f>INDEX($O$2:$O$194, MATCH(TII_VH!B89,$N$2:$N$194,0))</f>
        <v>0.64178999999999997</v>
      </c>
      <c r="H89" t="s">
        <v>297</v>
      </c>
      <c r="I89">
        <v>0.49320000000000003</v>
      </c>
      <c r="K89" t="s">
        <v>248</v>
      </c>
      <c r="L89">
        <v>0.60836999999999997</v>
      </c>
      <c r="N89" t="s">
        <v>303</v>
      </c>
      <c r="O89">
        <v>0.71480999999999995</v>
      </c>
      <c r="Q89" t="s">
        <v>261</v>
      </c>
      <c r="R89">
        <v>0.81289999999999996</v>
      </c>
      <c r="T89" t="s">
        <v>206</v>
      </c>
      <c r="U89" s="8" t="s">
        <v>118</v>
      </c>
      <c r="V89">
        <v>0.08</v>
      </c>
      <c r="W89">
        <v>89</v>
      </c>
      <c r="X89">
        <v>0.58165829145728642</v>
      </c>
      <c r="Y89">
        <v>89</v>
      </c>
      <c r="Z89">
        <v>0.58165829145728642</v>
      </c>
      <c r="AB89" t="str">
        <f t="shared" si="1"/>
        <v>Cuba</v>
      </c>
    </row>
    <row r="90" spans="1:28" x14ac:dyDescent="0.2">
      <c r="A90" t="str">
        <f>IF(E90&gt;1, TII_VH!B90, "")</f>
        <v>Moldova</v>
      </c>
      <c r="B90" t="s">
        <v>168</v>
      </c>
      <c r="C90">
        <v>0.81179999999999997</v>
      </c>
      <c r="D90">
        <f>INDEX($U$2:$U$194, MATCH(TII_VH!B90,$T$2:$T$194,0))</f>
        <v>14260</v>
      </c>
      <c r="E90">
        <f>INDEX($V$2:$V$194, MATCH(TII_VH!B90,$T$2:$T$194,0))</f>
        <v>2.6</v>
      </c>
      <c r="F90">
        <f>INDEX($O$2:$O$194, MATCH(TII_VH!B90,$N$2:$N$194,0))</f>
        <v>0.77764</v>
      </c>
      <c r="H90" t="s">
        <v>176</v>
      </c>
      <c r="I90">
        <v>0.49320000000000003</v>
      </c>
      <c r="K90" t="s">
        <v>187</v>
      </c>
      <c r="L90">
        <v>0.60723000000000005</v>
      </c>
      <c r="N90" t="s">
        <v>287</v>
      </c>
      <c r="O90">
        <v>0.71148999999999996</v>
      </c>
      <c r="Q90" t="s">
        <v>168</v>
      </c>
      <c r="R90">
        <v>0.81179999999999997</v>
      </c>
      <c r="T90" t="s">
        <v>209</v>
      </c>
      <c r="U90" s="5">
        <v>11980</v>
      </c>
      <c r="V90">
        <v>11.1</v>
      </c>
      <c r="W90">
        <v>90</v>
      </c>
      <c r="X90">
        <v>0.585427135678392</v>
      </c>
      <c r="Y90">
        <v>90</v>
      </c>
      <c r="Z90">
        <v>0.585427135678392</v>
      </c>
      <c r="AB90" t="str">
        <f t="shared" si="1"/>
        <v>Venezuela</v>
      </c>
    </row>
    <row r="91" spans="1:28" x14ac:dyDescent="0.2">
      <c r="A91" t="str">
        <f>IF(E91&gt;1, TII_VH!B91, "")</f>
        <v>Canada</v>
      </c>
      <c r="B91" t="s">
        <v>122</v>
      </c>
      <c r="C91">
        <v>0.80781999999999998</v>
      </c>
      <c r="D91">
        <f>INDEX($U$2:$U$194, MATCH(TII_VH!B91,$T$2:$T$194,0))</f>
        <v>55970</v>
      </c>
      <c r="E91">
        <f>INDEX($V$2:$V$194, MATCH(TII_VH!B91,$T$2:$T$194,0))</f>
        <v>38.200000000000003</v>
      </c>
      <c r="F91">
        <f>INDEX($O$2:$O$194, MATCH(TII_VH!B91,$N$2:$N$194,0))</f>
        <v>0.87248999999999999</v>
      </c>
      <c r="H91" t="s">
        <v>185</v>
      </c>
      <c r="I91">
        <v>0.49320000000000003</v>
      </c>
      <c r="K91" t="s">
        <v>319</v>
      </c>
      <c r="L91">
        <v>0.60690999999999995</v>
      </c>
      <c r="N91" t="s">
        <v>137</v>
      </c>
      <c r="O91">
        <v>0.71135000000000004</v>
      </c>
      <c r="Q91" t="s">
        <v>122</v>
      </c>
      <c r="R91">
        <v>0.80781999999999998</v>
      </c>
      <c r="T91" t="s">
        <v>211</v>
      </c>
      <c r="U91" s="5">
        <v>9230</v>
      </c>
      <c r="V91">
        <v>37.799999999999997</v>
      </c>
      <c r="W91">
        <v>91</v>
      </c>
      <c r="X91">
        <v>0.58919597989949746</v>
      </c>
      <c r="Y91">
        <v>91</v>
      </c>
      <c r="Z91">
        <v>0.58919597989949746</v>
      </c>
      <c r="AB91" t="str">
        <f t="shared" si="1"/>
        <v>Qatar</v>
      </c>
    </row>
    <row r="92" spans="1:28" x14ac:dyDescent="0.2">
      <c r="A92" t="str">
        <f>IF(E92&gt;1, TII_VH!B92, "")</f>
        <v>Brazil</v>
      </c>
      <c r="B92" t="s">
        <v>130</v>
      </c>
      <c r="C92">
        <v>0.80684999999999996</v>
      </c>
      <c r="D92">
        <f>INDEX($U$2:$U$194, MATCH(TII_VH!B92,$T$2:$T$194,0))</f>
        <v>15600</v>
      </c>
      <c r="E92">
        <f>INDEX($V$2:$V$194, MATCH(TII_VH!B92,$T$2:$T$194,0))</f>
        <v>215.3</v>
      </c>
      <c r="F92">
        <f>INDEX($O$2:$O$194, MATCH(TII_VH!B92,$N$2:$N$194,0))</f>
        <v>0.80767999999999995</v>
      </c>
      <c r="H92" t="s">
        <v>234</v>
      </c>
      <c r="I92">
        <v>0.49320000000000003</v>
      </c>
      <c r="K92" t="s">
        <v>199</v>
      </c>
      <c r="L92">
        <v>0.59989000000000003</v>
      </c>
      <c r="N92" t="s">
        <v>191</v>
      </c>
      <c r="O92">
        <v>0.70931999999999995</v>
      </c>
      <c r="Q92" t="s">
        <v>130</v>
      </c>
      <c r="R92">
        <v>0.80684999999999996</v>
      </c>
      <c r="T92" t="s">
        <v>213</v>
      </c>
      <c r="U92" s="5">
        <v>17450</v>
      </c>
      <c r="V92">
        <v>0.3</v>
      </c>
      <c r="W92">
        <v>92</v>
      </c>
      <c r="X92">
        <v>0.59296482412060303</v>
      </c>
      <c r="Y92">
        <v>92</v>
      </c>
      <c r="Z92">
        <v>0.59296482412060303</v>
      </c>
      <c r="AB92" t="str">
        <f t="shared" si="1"/>
        <v>Paraguay</v>
      </c>
    </row>
    <row r="93" spans="1:28" x14ac:dyDescent="0.2">
      <c r="A93" t="str">
        <f>IF(E93&gt;1, TII_VH!B93, "")</f>
        <v>Colombia</v>
      </c>
      <c r="B93" t="s">
        <v>165</v>
      </c>
      <c r="C93">
        <v>0.80654000000000003</v>
      </c>
      <c r="D93">
        <f>INDEX($U$2:$U$194, MATCH(TII_VH!B93,$T$2:$T$194,0))</f>
        <v>16580</v>
      </c>
      <c r="E93">
        <f>INDEX($V$2:$V$194, MATCH(TII_VH!B93,$T$2:$T$194,0))</f>
        <v>51.5</v>
      </c>
      <c r="F93">
        <f>INDEX($O$2:$O$194, MATCH(TII_VH!B93,$N$2:$N$194,0))</f>
        <v>0.77930999999999995</v>
      </c>
      <c r="H93" t="s">
        <v>203</v>
      </c>
      <c r="I93">
        <v>0.47949999999999998</v>
      </c>
      <c r="K93" t="s">
        <v>228</v>
      </c>
      <c r="L93">
        <v>0.59869000000000006</v>
      </c>
      <c r="N93" t="s">
        <v>160</v>
      </c>
      <c r="O93">
        <v>0.70830000000000004</v>
      </c>
      <c r="Q93" t="s">
        <v>165</v>
      </c>
      <c r="R93">
        <v>0.80654000000000003</v>
      </c>
      <c r="T93" t="s">
        <v>214</v>
      </c>
      <c r="U93" s="5">
        <v>26320</v>
      </c>
      <c r="V93">
        <v>0.1</v>
      </c>
      <c r="W93">
        <v>93</v>
      </c>
      <c r="X93">
        <v>0.5967336683417086</v>
      </c>
      <c r="Y93">
        <v>93</v>
      </c>
      <c r="Z93">
        <v>0.5967336683417086</v>
      </c>
      <c r="AB93" t="str">
        <f t="shared" si="1"/>
        <v>Kuwait</v>
      </c>
    </row>
    <row r="94" spans="1:28" x14ac:dyDescent="0.2">
      <c r="A94" t="str">
        <f>IF(E94&gt;1, TII_VH!B94, "")</f>
        <v>Paraguay</v>
      </c>
      <c r="B94" t="s">
        <v>191</v>
      </c>
      <c r="C94">
        <v>0.79468000000000005</v>
      </c>
      <c r="D94">
        <f>INDEX($U$2:$U$194, MATCH(TII_VH!B94,$T$2:$T$194,0))</f>
        <v>13990</v>
      </c>
      <c r="E94">
        <f>INDEX($V$2:$V$194, MATCH(TII_VH!B94,$T$2:$T$194,0))</f>
        <v>7.3</v>
      </c>
      <c r="F94">
        <f>INDEX($O$2:$O$194, MATCH(TII_VH!B94,$N$2:$N$194,0))</f>
        <v>0.70931999999999995</v>
      </c>
      <c r="H94" t="s">
        <v>137</v>
      </c>
      <c r="I94">
        <v>0.47949999999999998</v>
      </c>
      <c r="K94" t="s">
        <v>201</v>
      </c>
      <c r="L94">
        <v>0.59506999999999999</v>
      </c>
      <c r="N94" t="s">
        <v>187</v>
      </c>
      <c r="O94">
        <v>0.70609999999999995</v>
      </c>
      <c r="Q94" t="s">
        <v>191</v>
      </c>
      <c r="R94">
        <v>0.79468000000000005</v>
      </c>
      <c r="T94" t="s">
        <v>216</v>
      </c>
      <c r="U94" s="5">
        <v>12080</v>
      </c>
      <c r="V94">
        <v>0.9</v>
      </c>
      <c r="W94">
        <v>94</v>
      </c>
      <c r="X94">
        <v>0.60050251256281406</v>
      </c>
      <c r="Y94">
        <v>94</v>
      </c>
      <c r="Z94">
        <v>0.60050251256281406</v>
      </c>
      <c r="AB94" t="str">
        <f t="shared" si="1"/>
        <v>Kyrgyzstan</v>
      </c>
    </row>
    <row r="95" spans="1:28" x14ac:dyDescent="0.2">
      <c r="A95" t="str">
        <f>IF(E95&gt;1, TII_VH!B95, "")</f>
        <v/>
      </c>
      <c r="B95" t="s">
        <v>239</v>
      </c>
      <c r="C95">
        <v>0.79425999999999997</v>
      </c>
      <c r="D95">
        <f>INDEX($U$2:$U$194, MATCH(TII_VH!B95,$T$2:$T$194,0))</f>
        <v>21840</v>
      </c>
      <c r="E95">
        <f>INDEX($V$2:$V$194, MATCH(TII_VH!B95,$T$2:$T$194,0))</f>
        <v>0.1</v>
      </c>
      <c r="F95">
        <f>INDEX($O$2:$O$194, MATCH(TII_VH!B95,$N$2:$N$194,0))</f>
        <v>0.71757000000000004</v>
      </c>
      <c r="H95" t="s">
        <v>187</v>
      </c>
      <c r="I95">
        <v>0.46579999999999999</v>
      </c>
      <c r="K95" t="s">
        <v>181</v>
      </c>
      <c r="L95">
        <v>0.59031999999999996</v>
      </c>
      <c r="N95" t="s">
        <v>221</v>
      </c>
      <c r="O95">
        <v>0.70599999999999996</v>
      </c>
      <c r="Q95" t="s">
        <v>239</v>
      </c>
      <c r="R95">
        <v>0.79425999999999997</v>
      </c>
      <c r="T95" t="s">
        <v>203</v>
      </c>
      <c r="U95" s="5">
        <v>19150</v>
      </c>
      <c r="V95">
        <v>0.5</v>
      </c>
      <c r="W95">
        <v>95</v>
      </c>
      <c r="X95">
        <v>0.60427135678391952</v>
      </c>
      <c r="Y95">
        <v>95</v>
      </c>
      <c r="Z95">
        <v>0.60427135678391952</v>
      </c>
      <c r="AB95" t="str">
        <f t="shared" si="1"/>
        <v>Jamaica</v>
      </c>
    </row>
    <row r="96" spans="1:28" x14ac:dyDescent="0.2">
      <c r="A96" t="str">
        <f>IF(E96&gt;1, TII_VH!B96, "")</f>
        <v>Sri Lanka</v>
      </c>
      <c r="B96" t="s">
        <v>225</v>
      </c>
      <c r="C96">
        <v>0.79359000000000002</v>
      </c>
      <c r="D96">
        <f>INDEX($U$2:$U$194, MATCH(TII_VH!B96,$T$2:$T$194,0))</f>
        <v>12570</v>
      </c>
      <c r="E96">
        <f>INDEX($V$2:$V$194, MATCH(TII_VH!B96,$T$2:$T$194,0))</f>
        <v>21.5</v>
      </c>
      <c r="F96">
        <f>INDEX($O$2:$O$194, MATCH(TII_VH!B96,$N$2:$N$194,0))</f>
        <v>0.65703999999999996</v>
      </c>
      <c r="H96" t="s">
        <v>278</v>
      </c>
      <c r="I96">
        <v>0.46579999999999999</v>
      </c>
      <c r="K96" t="s">
        <v>234</v>
      </c>
      <c r="L96">
        <v>0.58862000000000003</v>
      </c>
      <c r="N96" t="s">
        <v>182</v>
      </c>
      <c r="O96">
        <v>0.70233000000000001</v>
      </c>
      <c r="Q96" t="s">
        <v>225</v>
      </c>
      <c r="R96">
        <v>0.79359000000000002</v>
      </c>
      <c r="T96" t="s">
        <v>218</v>
      </c>
      <c r="U96" s="5">
        <v>14000</v>
      </c>
      <c r="V96">
        <v>110.9</v>
      </c>
      <c r="W96">
        <v>96</v>
      </c>
      <c r="X96">
        <v>0.6080402010050252</v>
      </c>
      <c r="Y96">
        <v>96</v>
      </c>
      <c r="Z96">
        <v>0.6080402010050252</v>
      </c>
      <c r="AB96" t="str">
        <f t="shared" si="1"/>
        <v>North Macedonia</v>
      </c>
    </row>
    <row r="97" spans="1:28" x14ac:dyDescent="0.2">
      <c r="A97" t="str">
        <f>IF(E97&gt;1, TII_VH!B97, "")</f>
        <v/>
      </c>
      <c r="B97" t="s">
        <v>203</v>
      </c>
      <c r="C97">
        <v>0.78856000000000004</v>
      </c>
      <c r="D97">
        <f>INDEX($U$2:$U$194, MATCH(TII_VH!B97,$T$2:$T$194,0))</f>
        <v>19150</v>
      </c>
      <c r="E97">
        <f>INDEX($V$2:$V$194, MATCH(TII_VH!B97,$T$2:$T$194,0))</f>
        <v>0.5</v>
      </c>
      <c r="F97">
        <f>INDEX($O$2:$O$194, MATCH(TII_VH!B97,$N$2:$N$194,0))</f>
        <v>0.61297999999999997</v>
      </c>
      <c r="H97" t="s">
        <v>179</v>
      </c>
      <c r="I97">
        <v>0.46579999999999999</v>
      </c>
      <c r="K97" t="s">
        <v>179</v>
      </c>
      <c r="L97">
        <v>0.58020000000000005</v>
      </c>
      <c r="N97" t="s">
        <v>179</v>
      </c>
      <c r="O97">
        <v>0.69908999999999999</v>
      </c>
      <c r="Q97" t="s">
        <v>203</v>
      </c>
      <c r="R97">
        <v>0.78856000000000004</v>
      </c>
      <c r="T97" t="s">
        <v>221</v>
      </c>
      <c r="U97" s="5">
        <v>10990</v>
      </c>
      <c r="V97">
        <v>2.8</v>
      </c>
      <c r="W97">
        <v>97</v>
      </c>
      <c r="X97">
        <v>0.61180904522613067</v>
      </c>
      <c r="Y97">
        <v>97</v>
      </c>
      <c r="Z97">
        <v>0.61180904522613067</v>
      </c>
      <c r="AB97" t="str">
        <f t="shared" si="1"/>
        <v>Brunei Darussalam</v>
      </c>
    </row>
    <row r="98" spans="1:28" x14ac:dyDescent="0.2">
      <c r="A98" t="str">
        <f>IF(E98&gt;1, TII_VH!B98, "")</f>
        <v>Eswatini</v>
      </c>
      <c r="B98" t="s">
        <v>224</v>
      </c>
      <c r="C98">
        <v>0.78510999999999997</v>
      </c>
      <c r="D98">
        <f>INDEX($U$2:$U$194, MATCH(TII_VH!B98,$T$2:$T$194,0))</f>
        <v>9550</v>
      </c>
      <c r="E98">
        <f>INDEX($V$2:$V$194, MATCH(TII_VH!B98,$T$2:$T$194,0))</f>
        <v>1.2</v>
      </c>
      <c r="F98">
        <f>INDEX($O$2:$O$194, MATCH(TII_VH!B98,$N$2:$N$194,0))</f>
        <v>0.58357000000000003</v>
      </c>
      <c r="H98" t="s">
        <v>272</v>
      </c>
      <c r="I98">
        <v>0.46579999999999999</v>
      </c>
      <c r="K98" t="s">
        <v>185</v>
      </c>
      <c r="L98">
        <v>0.57598000000000005</v>
      </c>
      <c r="N98" t="s">
        <v>263</v>
      </c>
      <c r="O98">
        <v>0.69557000000000002</v>
      </c>
      <c r="Q98" t="s">
        <v>224</v>
      </c>
      <c r="R98">
        <v>0.78510999999999997</v>
      </c>
      <c r="T98" t="s">
        <v>222</v>
      </c>
      <c r="U98" s="5">
        <v>7130</v>
      </c>
      <c r="V98" s="7">
        <v>1417.2</v>
      </c>
      <c r="W98">
        <v>98</v>
      </c>
      <c r="X98">
        <v>0.61557788944723613</v>
      </c>
      <c r="Y98">
        <v>98</v>
      </c>
      <c r="Z98">
        <v>0.61557788944723613</v>
      </c>
      <c r="AB98" t="str">
        <f t="shared" si="1"/>
        <v>St Vincent and the Grenadines</v>
      </c>
    </row>
    <row r="99" spans="1:28" x14ac:dyDescent="0.2">
      <c r="A99" t="str">
        <f>IF(E99&gt;1, TII_VH!B99, "")</f>
        <v>Bosnia and Herzegovina</v>
      </c>
      <c r="B99" t="s">
        <v>245</v>
      </c>
      <c r="C99">
        <v>0.77627999999999997</v>
      </c>
      <c r="D99">
        <f>INDEX($U$2:$U$194, MATCH(TII_VH!B99,$T$2:$T$194,0))</f>
        <v>17650</v>
      </c>
      <c r="E99">
        <f>INDEX($V$2:$V$194, MATCH(TII_VH!B99,$T$2:$T$194,0))</f>
        <v>3.2</v>
      </c>
      <c r="F99">
        <f>INDEX($O$2:$O$194, MATCH(TII_VH!B99,$N$2:$N$194,0))</f>
        <v>0.62219000000000002</v>
      </c>
      <c r="H99" t="s">
        <v>284</v>
      </c>
      <c r="I99">
        <v>0.46579999999999999</v>
      </c>
      <c r="K99" t="s">
        <v>221</v>
      </c>
      <c r="L99">
        <v>0.56772</v>
      </c>
      <c r="N99" t="s">
        <v>143</v>
      </c>
      <c r="O99">
        <v>0.69316</v>
      </c>
      <c r="Q99" t="s">
        <v>245</v>
      </c>
      <c r="R99">
        <v>0.77627999999999997</v>
      </c>
      <c r="T99" t="s">
        <v>225</v>
      </c>
      <c r="U99" s="5">
        <v>12570</v>
      </c>
      <c r="V99">
        <v>21.5</v>
      </c>
      <c r="W99">
        <v>99</v>
      </c>
      <c r="X99">
        <v>0.6193467336683417</v>
      </c>
      <c r="Y99">
        <v>99</v>
      </c>
      <c r="Z99">
        <v>0.6193467336683417</v>
      </c>
      <c r="AB99" t="str">
        <f t="shared" si="1"/>
        <v>Iran</v>
      </c>
    </row>
    <row r="100" spans="1:28" x14ac:dyDescent="0.2">
      <c r="A100" t="str">
        <f>IF(E100&gt;1, TII_VH!B100, "")</f>
        <v>Albania</v>
      </c>
      <c r="B100" t="s">
        <v>151</v>
      </c>
      <c r="C100">
        <v>0.77497000000000005</v>
      </c>
      <c r="D100">
        <f>INDEX($U$2:$U$194, MATCH(TII_VH!B100,$T$2:$T$194,0))</f>
        <v>16000</v>
      </c>
      <c r="E100">
        <f>INDEX($V$2:$V$194, MATCH(TII_VH!B100,$T$2:$T$194,0))</f>
        <v>2.8</v>
      </c>
      <c r="F100">
        <f>INDEX($O$2:$O$194, MATCH(TII_VH!B100,$N$2:$N$194,0))</f>
        <v>0.81059000000000003</v>
      </c>
      <c r="H100" t="s">
        <v>341</v>
      </c>
      <c r="I100">
        <v>0.4521</v>
      </c>
      <c r="K100" t="s">
        <v>95</v>
      </c>
      <c r="L100">
        <v>0.56521999999999994</v>
      </c>
      <c r="N100" t="s">
        <v>228</v>
      </c>
      <c r="O100">
        <v>0.68764999999999998</v>
      </c>
      <c r="Q100" t="s">
        <v>151</v>
      </c>
      <c r="R100">
        <v>0.77497000000000005</v>
      </c>
      <c r="T100" t="s">
        <v>228</v>
      </c>
      <c r="U100" s="5">
        <v>8550</v>
      </c>
      <c r="V100">
        <v>12.1</v>
      </c>
      <c r="W100">
        <v>100</v>
      </c>
      <c r="X100">
        <v>0.62311557788944727</v>
      </c>
      <c r="Y100">
        <v>100</v>
      </c>
      <c r="Z100">
        <v>0.62311557788944727</v>
      </c>
      <c r="AB100" t="str">
        <f t="shared" si="1"/>
        <v>Bolivia</v>
      </c>
    </row>
    <row r="101" spans="1:28" x14ac:dyDescent="0.2">
      <c r="A101" t="str">
        <f>IF(E101&gt;1, TII_VH!B101, "")</f>
        <v>Trinidad and Tobago</v>
      </c>
      <c r="B101" t="s">
        <v>199</v>
      </c>
      <c r="C101">
        <v>0.77454000000000001</v>
      </c>
      <c r="D101">
        <f>INDEX($U$2:$U$194, MATCH(TII_VH!B101,$T$2:$T$194,0))</f>
        <v>26730</v>
      </c>
      <c r="E101">
        <f>INDEX($V$2:$V$194, MATCH(TII_VH!B101,$T$2:$T$194,0))</f>
        <v>1.4</v>
      </c>
      <c r="F101">
        <f>INDEX($O$2:$O$194, MATCH(TII_VH!B101,$N$2:$N$194,0))</f>
        <v>0.71738999999999997</v>
      </c>
      <c r="H101" t="s">
        <v>339</v>
      </c>
      <c r="I101">
        <v>0.4521</v>
      </c>
      <c r="K101" t="s">
        <v>211</v>
      </c>
      <c r="L101">
        <v>0.56184000000000001</v>
      </c>
      <c r="N101" t="s">
        <v>188</v>
      </c>
      <c r="O101">
        <v>0.68662999999999996</v>
      </c>
      <c r="Q101" t="s">
        <v>199</v>
      </c>
      <c r="R101">
        <v>0.77454000000000001</v>
      </c>
      <c r="T101" t="s">
        <v>230</v>
      </c>
      <c r="U101" s="5">
        <v>6530</v>
      </c>
      <c r="V101">
        <v>171.2</v>
      </c>
      <c r="W101">
        <v>101</v>
      </c>
      <c r="X101">
        <v>0.62688442211055273</v>
      </c>
      <c r="Y101">
        <v>101</v>
      </c>
      <c r="Z101">
        <v>0.62688442211055273</v>
      </c>
      <c r="AB101" t="str">
        <f t="shared" si="1"/>
        <v>Panama</v>
      </c>
    </row>
    <row r="102" spans="1:28" x14ac:dyDescent="0.2">
      <c r="A102" t="str">
        <f>IF(E102&gt;1, TII_VH!B102, "")</f>
        <v>Nepal</v>
      </c>
      <c r="B102" t="s">
        <v>267</v>
      </c>
      <c r="C102">
        <v>0.76529000000000003</v>
      </c>
      <c r="D102">
        <f>INDEX($U$2:$U$194, MATCH(TII_VH!B102,$T$2:$T$194,0))</f>
        <v>4190</v>
      </c>
      <c r="E102">
        <f>INDEX($V$2:$V$194, MATCH(TII_VH!B102,$T$2:$T$194,0))</f>
        <v>30</v>
      </c>
      <c r="F102">
        <f>INDEX($O$2:$O$194, MATCH(TII_VH!B102,$N$2:$N$194,0))</f>
        <v>0.52100000000000002</v>
      </c>
      <c r="H102" t="s">
        <v>201</v>
      </c>
      <c r="I102">
        <v>0.4521</v>
      </c>
      <c r="K102" t="s">
        <v>225</v>
      </c>
      <c r="L102">
        <v>0.54937000000000002</v>
      </c>
      <c r="N102" t="s">
        <v>214</v>
      </c>
      <c r="O102">
        <v>0.67688000000000004</v>
      </c>
      <c r="Q102" t="s">
        <v>267</v>
      </c>
      <c r="R102">
        <v>0.76529000000000003</v>
      </c>
      <c r="T102" t="s">
        <v>143</v>
      </c>
      <c r="U102" s="5">
        <v>16790</v>
      </c>
      <c r="V102">
        <v>88.6</v>
      </c>
      <c r="W102">
        <v>102</v>
      </c>
      <c r="X102">
        <v>0.6306532663316583</v>
      </c>
      <c r="Y102">
        <v>102</v>
      </c>
      <c r="Z102">
        <v>0.6306532663316583</v>
      </c>
      <c r="AB102" t="str">
        <f t="shared" si="1"/>
        <v>Seychelles</v>
      </c>
    </row>
    <row r="103" spans="1:28" x14ac:dyDescent="0.2">
      <c r="A103" t="str">
        <f>IF(E103&gt;1, TII_VH!B103, "")</f>
        <v/>
      </c>
      <c r="B103" t="s">
        <v>213</v>
      </c>
      <c r="C103">
        <v>0.76239999999999997</v>
      </c>
      <c r="D103">
        <f>INDEX($U$2:$U$194, MATCH(TII_VH!B103,$T$2:$T$194,0))</f>
        <v>17450</v>
      </c>
      <c r="E103">
        <f>INDEX($V$2:$V$194, MATCH(TII_VH!B103,$T$2:$T$194,0))</f>
        <v>0.3</v>
      </c>
      <c r="F103">
        <f>INDEX($O$2:$O$194, MATCH(TII_VH!B103,$N$2:$N$194,0))</f>
        <v>0.78449999999999998</v>
      </c>
      <c r="H103" t="s">
        <v>221</v>
      </c>
      <c r="I103">
        <v>0.43840000000000001</v>
      </c>
      <c r="K103" t="s">
        <v>195</v>
      </c>
      <c r="L103">
        <v>0.54020999999999997</v>
      </c>
      <c r="N103" t="s">
        <v>206</v>
      </c>
      <c r="O103">
        <v>0.66683999999999999</v>
      </c>
      <c r="Q103" t="s">
        <v>213</v>
      </c>
      <c r="R103">
        <v>0.76239999999999997</v>
      </c>
      <c r="T103" t="s">
        <v>233</v>
      </c>
      <c r="U103" s="5" t="s">
        <v>118</v>
      </c>
      <c r="V103">
        <v>0.03</v>
      </c>
      <c r="W103">
        <v>103</v>
      </c>
      <c r="X103">
        <v>0.63442211055276387</v>
      </c>
      <c r="Y103">
        <v>103</v>
      </c>
      <c r="Z103">
        <v>0.63442211055276387</v>
      </c>
      <c r="AB103" t="str">
        <f t="shared" si="1"/>
        <v>Andorra</v>
      </c>
    </row>
    <row r="104" spans="1:28" x14ac:dyDescent="0.2">
      <c r="A104" t="str">
        <f>IF(E104&gt;1, TII_VH!B104, "")</f>
        <v>Cambodia</v>
      </c>
      <c r="B104" t="s">
        <v>268</v>
      </c>
      <c r="C104">
        <v>0.76093999999999995</v>
      </c>
      <c r="D104">
        <f>INDEX($U$2:$U$194, MATCH(TII_VH!B104,$T$2:$T$194,0))</f>
        <v>4580</v>
      </c>
      <c r="E104">
        <f>INDEX($V$2:$V$194, MATCH(TII_VH!B104,$T$2:$T$194,0))</f>
        <v>16.899999999999999</v>
      </c>
      <c r="F104">
        <f>INDEX($O$2:$O$194, MATCH(TII_VH!B104,$N$2:$N$194,0))</f>
        <v>0.51488999999999996</v>
      </c>
      <c r="H104" t="s">
        <v>211</v>
      </c>
      <c r="I104">
        <v>0.43840000000000001</v>
      </c>
      <c r="K104" t="s">
        <v>311</v>
      </c>
      <c r="L104">
        <v>0.53718999999999995</v>
      </c>
      <c r="N104" t="s">
        <v>312</v>
      </c>
      <c r="O104">
        <v>0.66137000000000001</v>
      </c>
      <c r="Q104" t="s">
        <v>268</v>
      </c>
      <c r="R104">
        <v>0.76093999999999995</v>
      </c>
      <c r="T104" t="s">
        <v>234</v>
      </c>
      <c r="U104" s="5">
        <v>10840</v>
      </c>
      <c r="V104">
        <v>0.8</v>
      </c>
      <c r="W104">
        <v>104</v>
      </c>
      <c r="X104">
        <v>0.63819095477386933</v>
      </c>
      <c r="Y104">
        <v>104</v>
      </c>
      <c r="Z104">
        <v>0.63819095477386933</v>
      </c>
      <c r="AB104" t="str">
        <f t="shared" si="1"/>
        <v>Turkmenistan</v>
      </c>
    </row>
    <row r="105" spans="1:28" x14ac:dyDescent="0.2">
      <c r="A105" t="str">
        <f>IF(E105&gt;1, TII_VH!B105, "")</f>
        <v>Philippines</v>
      </c>
      <c r="B105" t="s">
        <v>175</v>
      </c>
      <c r="C105">
        <v>0.75544</v>
      </c>
      <c r="D105">
        <f>INDEX($U$2:$U$194, MATCH(TII_VH!B105,$T$2:$T$194,0))</f>
        <v>9820</v>
      </c>
      <c r="E105">
        <f>INDEX($V$2:$V$194, MATCH(TII_VH!B105,$T$2:$T$194,0))</f>
        <v>115.6</v>
      </c>
      <c r="F105">
        <f>INDEX($O$2:$O$194, MATCH(TII_VH!B105,$N$2:$N$194,0))</f>
        <v>0.72555999999999998</v>
      </c>
      <c r="H105" t="s">
        <v>319</v>
      </c>
      <c r="I105">
        <v>0.43840000000000001</v>
      </c>
      <c r="K105" t="s">
        <v>216</v>
      </c>
      <c r="L105">
        <v>0.53430999999999995</v>
      </c>
      <c r="N105" t="s">
        <v>233</v>
      </c>
      <c r="O105">
        <v>0.65866000000000002</v>
      </c>
      <c r="Q105" t="s">
        <v>175</v>
      </c>
      <c r="R105">
        <v>0.75544</v>
      </c>
      <c r="T105" t="s">
        <v>238</v>
      </c>
      <c r="U105" s="5">
        <v>17460</v>
      </c>
      <c r="V105">
        <v>0.1</v>
      </c>
      <c r="W105">
        <v>105</v>
      </c>
      <c r="X105">
        <v>0.64195979899497491</v>
      </c>
      <c r="Y105">
        <v>105</v>
      </c>
      <c r="Z105">
        <v>0.64195979899497491</v>
      </c>
      <c r="AB105" t="str">
        <f t="shared" si="1"/>
        <v>San Marino</v>
      </c>
    </row>
    <row r="106" spans="1:28" x14ac:dyDescent="0.2">
      <c r="A106" t="str">
        <f>IF(E106&gt;1, TII_VH!B106, "")</f>
        <v>North Macedonia</v>
      </c>
      <c r="B106" t="s">
        <v>182</v>
      </c>
      <c r="C106">
        <v>0.75458999999999998</v>
      </c>
      <c r="D106">
        <f>INDEX($U$2:$U$194, MATCH(TII_VH!B106,$T$2:$T$194,0))</f>
        <v>18210</v>
      </c>
      <c r="E106">
        <f>INDEX($V$2:$V$194, MATCH(TII_VH!B106,$T$2:$T$194,0))</f>
        <v>2.1</v>
      </c>
      <c r="F106">
        <f>INDEX($O$2:$O$194, MATCH(TII_VH!B106,$N$2:$N$194,0))</f>
        <v>0.70233000000000001</v>
      </c>
      <c r="H106" t="s">
        <v>228</v>
      </c>
      <c r="I106">
        <v>0.42470000000000002</v>
      </c>
      <c r="K106" t="s">
        <v>240</v>
      </c>
      <c r="L106">
        <v>0.52193999999999996</v>
      </c>
      <c r="N106" t="s">
        <v>225</v>
      </c>
      <c r="O106">
        <v>0.65703999999999996</v>
      </c>
      <c r="Q106" t="s">
        <v>182</v>
      </c>
      <c r="R106">
        <v>0.75458999999999998</v>
      </c>
      <c r="T106" t="s">
        <v>239</v>
      </c>
      <c r="U106" s="5">
        <v>21840</v>
      </c>
      <c r="V106">
        <v>0.1</v>
      </c>
      <c r="W106">
        <v>106</v>
      </c>
      <c r="X106">
        <v>0.64572864321608037</v>
      </c>
      <c r="Y106">
        <v>106</v>
      </c>
      <c r="Z106">
        <v>0.64572864321608037</v>
      </c>
      <c r="AB106" t="str">
        <f t="shared" si="1"/>
        <v>Sri Lanka</v>
      </c>
    </row>
    <row r="107" spans="1:28" x14ac:dyDescent="0.2">
      <c r="A107" t="str">
        <f>IF(E107&gt;1, TII_VH!B107, "")</f>
        <v>El Salvador</v>
      </c>
      <c r="B107" t="s">
        <v>259</v>
      </c>
      <c r="C107">
        <v>0.75263999999999998</v>
      </c>
      <c r="D107">
        <f>INDEX($U$2:$U$194, MATCH(TII_VH!B107,$T$2:$T$194,0))</f>
        <v>9000</v>
      </c>
      <c r="E107">
        <f>INDEX($V$2:$V$194, MATCH(TII_VH!B107,$T$2:$T$194,0))</f>
        <v>6.5</v>
      </c>
      <c r="F107">
        <f>INDEX($O$2:$O$194, MATCH(TII_VH!B107,$N$2:$N$194,0))</f>
        <v>0.53478999999999999</v>
      </c>
      <c r="H107" t="s">
        <v>329</v>
      </c>
      <c r="I107">
        <v>0.42470000000000002</v>
      </c>
      <c r="K107" t="s">
        <v>115</v>
      </c>
      <c r="L107">
        <v>0.52141999999999999</v>
      </c>
      <c r="N107" t="s">
        <v>274</v>
      </c>
      <c r="O107">
        <v>0.65305000000000002</v>
      </c>
      <c r="Q107" t="s">
        <v>259</v>
      </c>
      <c r="R107">
        <v>0.75263999999999998</v>
      </c>
      <c r="T107" t="s">
        <v>241</v>
      </c>
      <c r="U107" s="5">
        <v>15120</v>
      </c>
      <c r="V107">
        <v>0.6</v>
      </c>
      <c r="W107">
        <v>107</v>
      </c>
      <c r="X107">
        <v>0.64949748743718594</v>
      </c>
      <c r="Y107">
        <v>107</v>
      </c>
      <c r="Z107">
        <v>0.64949748743718594</v>
      </c>
      <c r="AB107" t="str">
        <f t="shared" si="1"/>
        <v>Tajikistan</v>
      </c>
    </row>
    <row r="108" spans="1:28" x14ac:dyDescent="0.2">
      <c r="A108" t="str">
        <f>IF(E108&gt;1, TII_VH!B108, "")</f>
        <v/>
      </c>
      <c r="B108" t="s">
        <v>216</v>
      </c>
      <c r="C108">
        <v>0.75066999999999995</v>
      </c>
      <c r="D108">
        <f>INDEX($U$2:$U$194, MATCH(TII_VH!B108,$T$2:$T$194,0))</f>
        <v>12080</v>
      </c>
      <c r="E108">
        <f>INDEX($V$2:$V$194, MATCH(TII_VH!B108,$T$2:$T$194,0))</f>
        <v>0.9</v>
      </c>
      <c r="F108">
        <f>INDEX($O$2:$O$194, MATCH(TII_VH!B108,$N$2:$N$194,0))</f>
        <v>0.74131000000000002</v>
      </c>
      <c r="H108" t="s">
        <v>295</v>
      </c>
      <c r="I108">
        <v>0.42470000000000002</v>
      </c>
      <c r="K108" t="s">
        <v>313</v>
      </c>
      <c r="L108">
        <v>0.52015999999999996</v>
      </c>
      <c r="N108" t="s">
        <v>201</v>
      </c>
      <c r="O108">
        <v>0.64964999999999995</v>
      </c>
      <c r="Q108" t="s">
        <v>216</v>
      </c>
      <c r="R108">
        <v>0.75066999999999995</v>
      </c>
      <c r="T108" t="s">
        <v>245</v>
      </c>
      <c r="U108" s="5">
        <v>17650</v>
      </c>
      <c r="V108">
        <v>3.2</v>
      </c>
      <c r="W108">
        <v>108</v>
      </c>
      <c r="X108">
        <v>0.6532663316582914</v>
      </c>
      <c r="Y108">
        <v>108</v>
      </c>
      <c r="Z108">
        <v>0.6532663316582914</v>
      </c>
      <c r="AB108" t="str">
        <f t="shared" si="1"/>
        <v>Tunisia</v>
      </c>
    </row>
    <row r="109" spans="1:28" x14ac:dyDescent="0.2">
      <c r="A109" t="str">
        <f>IF(E109&gt;1, TII_VH!B109, "")</f>
        <v>Dominican Republic</v>
      </c>
      <c r="B109" t="s">
        <v>197</v>
      </c>
      <c r="C109">
        <v>0.74439999999999995</v>
      </c>
      <c r="D109">
        <f>INDEX($U$2:$U$194, MATCH(TII_VH!B109,$T$2:$T$194,0))</f>
        <v>20640</v>
      </c>
      <c r="E109">
        <f>INDEX($V$2:$V$194, MATCH(TII_VH!B109,$T$2:$T$194,0))</f>
        <v>10.8</v>
      </c>
      <c r="F109">
        <f>INDEX($O$2:$O$194, MATCH(TII_VH!B109,$N$2:$N$194,0))</f>
        <v>0.71889999999999998</v>
      </c>
      <c r="H109" t="s">
        <v>181</v>
      </c>
      <c r="I109">
        <v>0.41099999999999998</v>
      </c>
      <c r="K109" t="s">
        <v>259</v>
      </c>
      <c r="L109">
        <v>0.50897000000000003</v>
      </c>
      <c r="N109" t="s">
        <v>209</v>
      </c>
      <c r="O109">
        <v>0.64578999999999998</v>
      </c>
      <c r="Q109" t="s">
        <v>197</v>
      </c>
      <c r="R109">
        <v>0.74439999999999995</v>
      </c>
      <c r="T109" t="s">
        <v>248</v>
      </c>
      <c r="U109" s="5">
        <v>6220</v>
      </c>
      <c r="V109">
        <v>32.799999999999997</v>
      </c>
      <c r="W109">
        <v>109</v>
      </c>
      <c r="X109">
        <v>0.65703517587939697</v>
      </c>
      <c r="Y109">
        <v>109</v>
      </c>
      <c r="Z109">
        <v>0.65703517587939697</v>
      </c>
      <c r="AB109" t="str">
        <f t="shared" si="1"/>
        <v>Jordan</v>
      </c>
    </row>
    <row r="110" spans="1:28" x14ac:dyDescent="0.2">
      <c r="A110" t="str">
        <f>IF(E110&gt;1, TII_VH!B110, "")</f>
        <v>Senegal</v>
      </c>
      <c r="B110" t="s">
        <v>295</v>
      </c>
      <c r="C110">
        <v>0.73285</v>
      </c>
      <c r="D110">
        <f>INDEX($U$2:$U$194, MATCH(TII_VH!B110,$T$2:$T$194,0))</f>
        <v>4090</v>
      </c>
      <c r="E110">
        <f>INDEX($V$2:$V$194, MATCH(TII_VH!B110,$T$2:$T$194,0))</f>
        <v>17.899999999999999</v>
      </c>
      <c r="F110">
        <f>INDEX($O$2:$O$194, MATCH(TII_VH!B110,$N$2:$N$194,0))</f>
        <v>0.33804000000000001</v>
      </c>
      <c r="H110" t="s">
        <v>240</v>
      </c>
      <c r="I110">
        <v>0.41099999999999998</v>
      </c>
      <c r="K110" t="s">
        <v>238</v>
      </c>
      <c r="L110">
        <v>0.50555000000000005</v>
      </c>
      <c r="N110" t="s">
        <v>305</v>
      </c>
      <c r="O110">
        <v>0.64531000000000005</v>
      </c>
      <c r="Q110" t="s">
        <v>295</v>
      </c>
      <c r="R110">
        <v>0.73285</v>
      </c>
      <c r="T110" t="s">
        <v>249</v>
      </c>
      <c r="U110" s="5">
        <v>5150</v>
      </c>
      <c r="V110">
        <v>54</v>
      </c>
      <c r="W110">
        <v>110</v>
      </c>
      <c r="X110">
        <v>0.66080402010050254</v>
      </c>
      <c r="Y110">
        <v>110</v>
      </c>
      <c r="Z110">
        <v>0.66080402010050254</v>
      </c>
      <c r="AB110" t="str">
        <f t="shared" si="1"/>
        <v>Samoa</v>
      </c>
    </row>
    <row r="111" spans="1:28" x14ac:dyDescent="0.2">
      <c r="A111" t="str">
        <f>IF(E111&gt;1, TII_VH!B111, "")</f>
        <v>Jamaica</v>
      </c>
      <c r="B111" t="s">
        <v>221</v>
      </c>
      <c r="C111">
        <v>0.72963</v>
      </c>
      <c r="D111">
        <f>INDEX($U$2:$U$194, MATCH(TII_VH!B111,$T$2:$T$194,0))</f>
        <v>10990</v>
      </c>
      <c r="E111">
        <f>INDEX($V$2:$V$194, MATCH(TII_VH!B111,$T$2:$T$194,0))</f>
        <v>2.8</v>
      </c>
      <c r="F111">
        <f>INDEX($O$2:$O$194, MATCH(TII_VH!B111,$N$2:$N$194,0))</f>
        <v>0.70599999999999996</v>
      </c>
      <c r="H111" t="s">
        <v>225</v>
      </c>
      <c r="I111">
        <v>0.41099999999999998</v>
      </c>
      <c r="K111" t="s">
        <v>245</v>
      </c>
      <c r="L111">
        <v>0.50027999999999995</v>
      </c>
      <c r="N111" t="s">
        <v>261</v>
      </c>
      <c r="O111">
        <v>0.64178999999999997</v>
      </c>
      <c r="Q111" t="s">
        <v>221</v>
      </c>
      <c r="R111">
        <v>0.72963</v>
      </c>
      <c r="T111" t="s">
        <v>251</v>
      </c>
      <c r="U111" s="5">
        <v>25940</v>
      </c>
      <c r="V111">
        <v>0.05</v>
      </c>
      <c r="W111">
        <v>111</v>
      </c>
      <c r="X111">
        <v>0.664572864321608</v>
      </c>
      <c r="Y111">
        <v>111</v>
      </c>
      <c r="Z111">
        <v>0.664572864321608</v>
      </c>
      <c r="AB111" t="str">
        <f t="shared" si="1"/>
        <v>Algeria</v>
      </c>
    </row>
    <row r="112" spans="1:28" x14ac:dyDescent="0.2">
      <c r="A112" t="str">
        <f>IF(E112&gt;1, TII_VH!B112, "")</f>
        <v>Namibia</v>
      </c>
      <c r="B112" t="s">
        <v>258</v>
      </c>
      <c r="C112">
        <v>0.72879000000000005</v>
      </c>
      <c r="D112">
        <f>INDEX($U$2:$U$194, MATCH(TII_VH!B112,$T$2:$T$194,0))</f>
        <v>9650</v>
      </c>
      <c r="E112">
        <f>INDEX($V$2:$V$194, MATCH(TII_VH!B112,$T$2:$T$194,0))</f>
        <v>2.5</v>
      </c>
      <c r="F112">
        <f>INDEX($O$2:$O$194, MATCH(TII_VH!B112,$N$2:$N$194,0))</f>
        <v>0.57382</v>
      </c>
      <c r="H112" t="s">
        <v>285</v>
      </c>
      <c r="I112">
        <v>0.41099999999999998</v>
      </c>
      <c r="K112" t="s">
        <v>258</v>
      </c>
      <c r="L112">
        <v>0.49958000000000002</v>
      </c>
      <c r="N112" t="s">
        <v>315</v>
      </c>
      <c r="O112">
        <v>0.62690000000000001</v>
      </c>
      <c r="Q112" t="s">
        <v>258</v>
      </c>
      <c r="R112">
        <v>0.72879000000000005</v>
      </c>
      <c r="T112" t="s">
        <v>252</v>
      </c>
      <c r="U112" s="5">
        <v>7000</v>
      </c>
      <c r="V112">
        <v>0.6</v>
      </c>
      <c r="W112">
        <v>112</v>
      </c>
      <c r="X112">
        <v>0.66834170854271358</v>
      </c>
      <c r="Y112">
        <v>112</v>
      </c>
      <c r="Z112">
        <v>0.66834170854271358</v>
      </c>
      <c r="AB112" t="str">
        <f t="shared" si="1"/>
        <v>Kiribati</v>
      </c>
    </row>
    <row r="113" spans="1:28" x14ac:dyDescent="0.2">
      <c r="A113" t="str">
        <f>IF(E113&gt;1, TII_VH!B113, "")</f>
        <v>Ghana</v>
      </c>
      <c r="B113" t="s">
        <v>248</v>
      </c>
      <c r="C113">
        <v>0.72814000000000001</v>
      </c>
      <c r="D113">
        <f>INDEX($U$2:$U$194, MATCH(TII_VH!B113,$T$2:$T$194,0))</f>
        <v>6220</v>
      </c>
      <c r="E113">
        <f>INDEX($V$2:$V$194, MATCH(TII_VH!B113,$T$2:$T$194,0))</f>
        <v>32.799999999999997</v>
      </c>
      <c r="F113">
        <f>INDEX($O$2:$O$194, MATCH(TII_VH!B113,$N$2:$N$194,0))</f>
        <v>0.55857000000000001</v>
      </c>
      <c r="H113" t="s">
        <v>216</v>
      </c>
      <c r="I113">
        <v>0.39729999999999999</v>
      </c>
      <c r="K113" t="s">
        <v>213</v>
      </c>
      <c r="L113">
        <v>0.49754999999999999</v>
      </c>
      <c r="N113" t="s">
        <v>285</v>
      </c>
      <c r="O113">
        <v>0.62251999999999996</v>
      </c>
      <c r="Q113" t="s">
        <v>248</v>
      </c>
      <c r="R113">
        <v>0.72814000000000001</v>
      </c>
      <c r="T113" t="s">
        <v>256</v>
      </c>
      <c r="U113" s="5">
        <v>17220</v>
      </c>
      <c r="V113">
        <v>2.4</v>
      </c>
      <c r="W113">
        <v>113</v>
      </c>
      <c r="X113">
        <v>0.67211055276381915</v>
      </c>
      <c r="Y113">
        <v>113</v>
      </c>
      <c r="Z113">
        <v>0.67211055276381915</v>
      </c>
      <c r="AB113" t="str">
        <f t="shared" si="1"/>
        <v>Zambia</v>
      </c>
    </row>
    <row r="114" spans="1:28" x14ac:dyDescent="0.2">
      <c r="A114" t="str">
        <f>IF(E114&gt;1, TII_VH!B114, "")</f>
        <v>Bolivia</v>
      </c>
      <c r="B114" t="s">
        <v>228</v>
      </c>
      <c r="C114">
        <v>0.70889999999999997</v>
      </c>
      <c r="D114">
        <f>INDEX($U$2:$U$194, MATCH(TII_VH!B114,$T$2:$T$194,0))</f>
        <v>8550</v>
      </c>
      <c r="E114">
        <f>INDEX($V$2:$V$194, MATCH(TII_VH!B114,$T$2:$T$194,0))</f>
        <v>12.1</v>
      </c>
      <c r="F114">
        <f>INDEX($O$2:$O$194, MATCH(TII_VH!B114,$N$2:$N$194,0))</f>
        <v>0.68764999999999998</v>
      </c>
      <c r="H114" t="s">
        <v>259</v>
      </c>
      <c r="I114">
        <v>0.3836</v>
      </c>
      <c r="K114" t="s">
        <v>343</v>
      </c>
      <c r="L114">
        <v>0.49696000000000001</v>
      </c>
      <c r="N114" t="s">
        <v>245</v>
      </c>
      <c r="O114">
        <v>0.62219000000000002</v>
      </c>
      <c r="Q114" t="s">
        <v>228</v>
      </c>
      <c r="R114">
        <v>0.70889999999999997</v>
      </c>
      <c r="T114" t="s">
        <v>224</v>
      </c>
      <c r="U114" s="5">
        <v>9550</v>
      </c>
      <c r="V114">
        <v>1.2</v>
      </c>
      <c r="W114">
        <v>114</v>
      </c>
      <c r="X114">
        <v>0.67587939698492461</v>
      </c>
      <c r="Y114">
        <v>114</v>
      </c>
      <c r="Z114">
        <v>0.67587939698492461</v>
      </c>
      <c r="AB114" t="str">
        <f t="shared" si="1"/>
        <v>Bosnia and Herzegovina</v>
      </c>
    </row>
    <row r="115" spans="1:28" x14ac:dyDescent="0.2">
      <c r="A115" t="str">
        <f>IF(E115&gt;1, TII_VH!B115, "")</f>
        <v>Egypt</v>
      </c>
      <c r="B115" t="s">
        <v>218</v>
      </c>
      <c r="C115">
        <v>0.69455999999999996</v>
      </c>
      <c r="D115">
        <f>INDEX($U$2:$U$194, MATCH(TII_VH!B115,$T$2:$T$194,0))</f>
        <v>14000</v>
      </c>
      <c r="E115">
        <f>INDEX($V$2:$V$194, MATCH(TII_VH!B115,$T$2:$T$194,0))</f>
        <v>110.9</v>
      </c>
      <c r="F115">
        <f>INDEX($O$2:$O$194, MATCH(TII_VH!B115,$N$2:$N$194,0))</f>
        <v>0.61502999999999997</v>
      </c>
      <c r="H115" t="s">
        <v>224</v>
      </c>
      <c r="I115">
        <v>0.3836</v>
      </c>
      <c r="K115" t="s">
        <v>285</v>
      </c>
      <c r="L115">
        <v>0.49584</v>
      </c>
      <c r="N115" t="s">
        <v>218</v>
      </c>
      <c r="O115">
        <v>0.61502999999999997</v>
      </c>
      <c r="Q115" t="s">
        <v>218</v>
      </c>
      <c r="R115">
        <v>0.69455999999999996</v>
      </c>
      <c r="T115" t="s">
        <v>258</v>
      </c>
      <c r="U115" s="5">
        <v>9650</v>
      </c>
      <c r="V115">
        <v>2.5</v>
      </c>
      <c r="W115">
        <v>115</v>
      </c>
      <c r="X115">
        <v>0.67964824120603018</v>
      </c>
      <c r="Y115">
        <v>115</v>
      </c>
      <c r="Z115">
        <v>0.67964824120603018</v>
      </c>
      <c r="AB115" t="str">
        <f t="shared" si="1"/>
        <v>Egypt</v>
      </c>
    </row>
    <row r="116" spans="1:28" x14ac:dyDescent="0.2">
      <c r="A116" t="str">
        <f>IF(E116&gt;1, TII_VH!B116, "")</f>
        <v/>
      </c>
      <c r="B116" t="s">
        <v>282</v>
      </c>
      <c r="C116">
        <v>0.69418000000000002</v>
      </c>
      <c r="E116">
        <f>INDEX($V$2:$V$194, MATCH(TII_VH!B116,$T$2:$T$194,0))</f>
        <v>0.8</v>
      </c>
      <c r="F116">
        <f>INDEX($O$2:$O$194, MATCH(TII_VH!B116,$N$2:$N$194,0))</f>
        <v>0.59326999999999996</v>
      </c>
      <c r="H116" t="s">
        <v>311</v>
      </c>
      <c r="I116">
        <v>0.36990000000000001</v>
      </c>
      <c r="K116" t="s">
        <v>193</v>
      </c>
      <c r="L116">
        <v>0.48376999999999998</v>
      </c>
      <c r="N116" t="s">
        <v>222</v>
      </c>
      <c r="O116">
        <v>0.61487000000000003</v>
      </c>
      <c r="Q116" t="s">
        <v>282</v>
      </c>
      <c r="R116">
        <v>0.69418000000000002</v>
      </c>
      <c r="T116" t="s">
        <v>259</v>
      </c>
      <c r="U116" s="5">
        <v>9000</v>
      </c>
      <c r="V116">
        <v>6.5</v>
      </c>
      <c r="W116">
        <v>116</v>
      </c>
      <c r="X116">
        <v>0.68341708542713564</v>
      </c>
      <c r="Y116">
        <v>116</v>
      </c>
      <c r="Z116">
        <v>0.68341708542713564</v>
      </c>
      <c r="AB116" t="str">
        <f t="shared" si="1"/>
        <v>India</v>
      </c>
    </row>
    <row r="117" spans="1:28" x14ac:dyDescent="0.2">
      <c r="A117" t="str">
        <f>IF(E117&gt;1, TII_VH!B117, "")</f>
        <v>Iraq</v>
      </c>
      <c r="B117" t="s">
        <v>316</v>
      </c>
      <c r="C117">
        <v>0.68735999999999997</v>
      </c>
      <c r="D117">
        <f>INDEX($U$2:$U$194, MATCH(TII_VH!B117,$T$2:$T$194,0))</f>
        <v>14160</v>
      </c>
      <c r="E117">
        <f>INDEX($V$2:$V$194, MATCH(TII_VH!B117,$T$2:$T$194,0))</f>
        <v>44.5</v>
      </c>
      <c r="F117">
        <f>INDEX($O$2:$O$194, MATCH(TII_VH!B117,$N$2:$N$194,0))</f>
        <v>0.49671999999999999</v>
      </c>
      <c r="H117" t="s">
        <v>313</v>
      </c>
      <c r="I117">
        <v>0.36990000000000001</v>
      </c>
      <c r="K117" t="s">
        <v>241</v>
      </c>
      <c r="L117">
        <v>0.48137000000000002</v>
      </c>
      <c r="N117" t="s">
        <v>203</v>
      </c>
      <c r="O117">
        <v>0.61297999999999997</v>
      </c>
      <c r="Q117" t="s">
        <v>316</v>
      </c>
      <c r="R117">
        <v>0.68735999999999997</v>
      </c>
      <c r="T117" t="s">
        <v>261</v>
      </c>
      <c r="U117" s="5">
        <v>11430</v>
      </c>
      <c r="V117">
        <v>46.2</v>
      </c>
      <c r="W117">
        <v>117</v>
      </c>
      <c r="X117">
        <v>0.68718592964824121</v>
      </c>
      <c r="Y117">
        <v>117</v>
      </c>
      <c r="Z117">
        <v>0.68718592964824121</v>
      </c>
      <c r="AB117" t="str">
        <f t="shared" si="1"/>
        <v>Maldives</v>
      </c>
    </row>
    <row r="118" spans="1:28" x14ac:dyDescent="0.2">
      <c r="A118" t="str">
        <f>IF(E118&gt;1, TII_VH!B118, "")</f>
        <v>Ecuador</v>
      </c>
      <c r="B118" t="s">
        <v>161</v>
      </c>
      <c r="C118">
        <v>0.68335000000000001</v>
      </c>
      <c r="D118">
        <f>INDEX($U$2:$U$194, MATCH(TII_VH!B118,$T$2:$T$194,0))</f>
        <v>11500</v>
      </c>
      <c r="E118">
        <f>INDEX($V$2:$V$194, MATCH(TII_VH!B118,$T$2:$T$194,0))</f>
        <v>18.100000000000001</v>
      </c>
      <c r="F118">
        <f>INDEX($O$2:$O$194, MATCH(TII_VH!B118,$N$2:$N$194,0))</f>
        <v>0.77149999999999996</v>
      </c>
      <c r="H118" t="s">
        <v>343</v>
      </c>
      <c r="I118">
        <v>0.36990000000000001</v>
      </c>
      <c r="K118" t="s">
        <v>338</v>
      </c>
      <c r="L118">
        <v>0.48081000000000002</v>
      </c>
      <c r="N118" t="s">
        <v>211</v>
      </c>
      <c r="O118">
        <v>0.60782999999999998</v>
      </c>
      <c r="Q118" t="s">
        <v>161</v>
      </c>
      <c r="R118">
        <v>0.68335000000000001</v>
      </c>
      <c r="T118" t="s">
        <v>263</v>
      </c>
      <c r="U118" s="5">
        <v>14990</v>
      </c>
      <c r="V118">
        <v>0.1</v>
      </c>
      <c r="W118">
        <v>118</v>
      </c>
      <c r="X118">
        <v>0.69095477386934667</v>
      </c>
      <c r="Y118">
        <v>118</v>
      </c>
      <c r="Z118">
        <v>0.69095477386934667</v>
      </c>
      <c r="AB118" t="str">
        <f t="shared" si="1"/>
        <v>Morocco</v>
      </c>
    </row>
    <row r="119" spans="1:28" x14ac:dyDescent="0.2">
      <c r="A119" t="str">
        <f>IF(E119&gt;1, TII_VH!B119, "")</f>
        <v/>
      </c>
      <c r="B119" t="s">
        <v>263</v>
      </c>
      <c r="C119">
        <v>0.67674999999999996</v>
      </c>
      <c r="D119">
        <f>INDEX($U$2:$U$194, MATCH(TII_VH!B119,$T$2:$T$194,0))</f>
        <v>14990</v>
      </c>
      <c r="E119">
        <f>INDEX($V$2:$V$194, MATCH(TII_VH!B119,$T$2:$T$194,0))</f>
        <v>0.1</v>
      </c>
      <c r="F119">
        <f>INDEX($O$2:$O$194, MATCH(TII_VH!B119,$N$2:$N$194,0))</f>
        <v>0.69557000000000002</v>
      </c>
      <c r="H119" t="s">
        <v>239</v>
      </c>
      <c r="I119">
        <v>0.34250000000000003</v>
      </c>
      <c r="K119" t="s">
        <v>325</v>
      </c>
      <c r="L119">
        <v>0.47910000000000003</v>
      </c>
      <c r="N119" t="s">
        <v>290</v>
      </c>
      <c r="O119">
        <v>0.60372000000000003</v>
      </c>
      <c r="Q119" t="s">
        <v>263</v>
      </c>
      <c r="R119">
        <v>0.67674999999999996</v>
      </c>
      <c r="T119" t="s">
        <v>264</v>
      </c>
      <c r="U119" s="5">
        <v>2370</v>
      </c>
      <c r="V119">
        <v>13.5</v>
      </c>
      <c r="W119">
        <v>119</v>
      </c>
      <c r="X119">
        <v>0.69472361809045224</v>
      </c>
      <c r="Y119">
        <v>119</v>
      </c>
      <c r="Z119">
        <v>0.69472361809045224</v>
      </c>
      <c r="AB119" t="str">
        <f t="shared" si="1"/>
        <v>St Lucia</v>
      </c>
    </row>
    <row r="120" spans="1:28" x14ac:dyDescent="0.2">
      <c r="A120" t="str">
        <f>IF(E120&gt;1, TII_VH!B120, "")</f>
        <v/>
      </c>
      <c r="B120" t="s">
        <v>238</v>
      </c>
      <c r="C120">
        <v>0.67674000000000001</v>
      </c>
      <c r="E120">
        <f>INDEX($V$2:$V$194, MATCH(TII_VH!B120,$T$2:$T$194,0))</f>
        <v>0.1</v>
      </c>
      <c r="F120">
        <f>INDEX($O$2:$O$194, MATCH(TII_VH!B120,$N$2:$N$194,0))</f>
        <v>0.75500999999999996</v>
      </c>
      <c r="H120" t="s">
        <v>263</v>
      </c>
      <c r="I120">
        <v>0.34250000000000003</v>
      </c>
      <c r="K120" t="s">
        <v>206</v>
      </c>
      <c r="L120">
        <v>0.47804000000000002</v>
      </c>
      <c r="N120" t="s">
        <v>80</v>
      </c>
      <c r="O120">
        <v>0.59514999999999996</v>
      </c>
      <c r="Q120" t="s">
        <v>238</v>
      </c>
      <c r="R120">
        <v>0.67674000000000001</v>
      </c>
      <c r="T120" t="s">
        <v>267</v>
      </c>
      <c r="U120" s="5">
        <v>4190</v>
      </c>
      <c r="V120">
        <v>30</v>
      </c>
      <c r="W120">
        <v>120</v>
      </c>
      <c r="X120">
        <v>0.69849246231155782</v>
      </c>
      <c r="Y120">
        <v>120</v>
      </c>
      <c r="Z120">
        <v>0.69849246231155782</v>
      </c>
      <c r="AB120" t="str">
        <f t="shared" si="1"/>
        <v>Libya</v>
      </c>
    </row>
    <row r="121" spans="1:28" x14ac:dyDescent="0.2">
      <c r="A121" t="str">
        <f>IF(E121&gt;1, TII_VH!B121, "")</f>
        <v/>
      </c>
      <c r="B121" t="s">
        <v>279</v>
      </c>
      <c r="C121">
        <v>0.67566000000000004</v>
      </c>
      <c r="D121">
        <f>INDEX($U$2:$U$194, MATCH(TII_VH!B121,$T$2:$T$194,0))</f>
        <v>12740</v>
      </c>
      <c r="E121">
        <f>INDEX($V$2:$V$194, MATCH(TII_VH!B121,$T$2:$T$194,0))</f>
        <v>7.0000000000000007E-2</v>
      </c>
      <c r="F121">
        <f>INDEX($O$2:$O$194, MATCH(TII_VH!B121,$N$2:$N$194,0))</f>
        <v>0.57806999999999997</v>
      </c>
      <c r="H121" t="s">
        <v>315</v>
      </c>
      <c r="I121">
        <v>0.32879999999999998</v>
      </c>
      <c r="K121" t="s">
        <v>295</v>
      </c>
      <c r="L121">
        <v>0.47788999999999998</v>
      </c>
      <c r="N121" t="s">
        <v>282</v>
      </c>
      <c r="O121">
        <v>0.59326999999999996</v>
      </c>
      <c r="Q121" t="s">
        <v>279</v>
      </c>
      <c r="R121">
        <v>0.67566000000000004</v>
      </c>
      <c r="T121" t="s">
        <v>268</v>
      </c>
      <c r="U121" s="5">
        <v>4580</v>
      </c>
      <c r="V121">
        <v>16.899999999999999</v>
      </c>
      <c r="W121">
        <v>121</v>
      </c>
      <c r="X121">
        <v>0.70226130653266328</v>
      </c>
      <c r="Y121">
        <v>121</v>
      </c>
      <c r="Z121">
        <v>0.70226130653266328</v>
      </c>
      <c r="AB121" t="str">
        <f t="shared" si="1"/>
        <v>Guyana</v>
      </c>
    </row>
    <row r="122" spans="1:28" x14ac:dyDescent="0.2">
      <c r="A122" t="str">
        <f>IF(E122&gt;1, TII_VH!B122, "")</f>
        <v>Côte d'Ivoire</v>
      </c>
      <c r="B122" t="s">
        <v>240</v>
      </c>
      <c r="C122">
        <v>0.66925999999999997</v>
      </c>
      <c r="D122">
        <f>INDEX($U$2:$U$194, MATCH(TII_VH!B122,$T$2:$T$194,0))</f>
        <v>6090</v>
      </c>
      <c r="E122">
        <f>INDEX($V$2:$V$194, MATCH(TII_VH!B122,$T$2:$T$194,0))</f>
        <v>29.4</v>
      </c>
      <c r="F122">
        <f>INDEX($O$2:$O$194, MATCH(TII_VH!B122,$N$2:$N$194,0))</f>
        <v>0.48483999999999999</v>
      </c>
      <c r="H122" t="s">
        <v>309</v>
      </c>
      <c r="I122">
        <v>0.32879999999999998</v>
      </c>
      <c r="K122" t="s">
        <v>284</v>
      </c>
      <c r="L122">
        <v>0.47692000000000001</v>
      </c>
      <c r="N122" t="s">
        <v>327</v>
      </c>
      <c r="O122">
        <v>0.59284999999999999</v>
      </c>
      <c r="Q122" t="s">
        <v>240</v>
      </c>
      <c r="R122">
        <v>0.66925999999999997</v>
      </c>
      <c r="T122" t="s">
        <v>270</v>
      </c>
      <c r="U122" s="5">
        <v>14970</v>
      </c>
      <c r="V122">
        <v>2.2999999999999998</v>
      </c>
      <c r="W122">
        <v>122</v>
      </c>
      <c r="X122">
        <v>0.70603015075376885</v>
      </c>
      <c r="Y122">
        <v>122</v>
      </c>
      <c r="Z122">
        <v>0.70603015075376885</v>
      </c>
      <c r="AB122" t="str">
        <f t="shared" si="1"/>
        <v>Sao Tome and Principe</v>
      </c>
    </row>
    <row r="123" spans="1:28" x14ac:dyDescent="0.2">
      <c r="A123" t="str">
        <f>IF(E123&gt;1, TII_VH!B123, "")</f>
        <v>Myanmar</v>
      </c>
      <c r="B123" t="s">
        <v>300</v>
      </c>
      <c r="C123">
        <v>0.66617999999999999</v>
      </c>
      <c r="D123">
        <f>INDEX($U$2:$U$194, MATCH(TII_VH!B123,$T$2:$T$194,0))</f>
        <v>5140</v>
      </c>
      <c r="E123">
        <f>INDEX($V$2:$V$194, MATCH(TII_VH!B123,$T$2:$T$194,0))</f>
        <v>54.2</v>
      </c>
      <c r="F123">
        <f>INDEX($O$2:$O$194, MATCH(TII_VH!B123,$N$2:$N$194,0))</f>
        <v>0.50812000000000002</v>
      </c>
      <c r="H123" t="s">
        <v>213</v>
      </c>
      <c r="I123">
        <v>0.32879999999999998</v>
      </c>
      <c r="K123" t="s">
        <v>214</v>
      </c>
      <c r="L123">
        <v>0.46379999999999999</v>
      </c>
      <c r="N123" t="s">
        <v>224</v>
      </c>
      <c r="O123">
        <v>0.58357000000000003</v>
      </c>
      <c r="Q123" t="s">
        <v>300</v>
      </c>
      <c r="R123">
        <v>0.66617999999999999</v>
      </c>
      <c r="T123" t="s">
        <v>272</v>
      </c>
      <c r="U123" s="5">
        <v>9110</v>
      </c>
      <c r="V123">
        <v>18.100000000000001</v>
      </c>
      <c r="W123">
        <v>123</v>
      </c>
      <c r="X123">
        <v>0.70979899497487442</v>
      </c>
      <c r="Y123">
        <v>123</v>
      </c>
      <c r="Z123">
        <v>0.70979899497487442</v>
      </c>
      <c r="AB123" t="str">
        <f t="shared" si="1"/>
        <v>Eswatini</v>
      </c>
    </row>
    <row r="124" spans="1:28" x14ac:dyDescent="0.2">
      <c r="A124" t="str">
        <f>IF(E124&gt;1, TII_VH!B124, "")</f>
        <v>Bangladesh</v>
      </c>
      <c r="B124" t="s">
        <v>230</v>
      </c>
      <c r="C124">
        <v>0.65010000000000001</v>
      </c>
      <c r="D124">
        <f>INDEX($U$2:$U$194, MATCH(TII_VH!B124,$T$2:$T$194,0))</f>
        <v>6530</v>
      </c>
      <c r="E124">
        <f>INDEX($V$2:$V$194, MATCH(TII_VH!B124,$T$2:$T$194,0))</f>
        <v>171.2</v>
      </c>
      <c r="F124">
        <f>INDEX($O$2:$O$194, MATCH(TII_VH!B124,$N$2:$N$194,0))</f>
        <v>0.58337000000000006</v>
      </c>
      <c r="H124" t="s">
        <v>354</v>
      </c>
      <c r="I124">
        <v>0.32879999999999998</v>
      </c>
      <c r="K124" t="s">
        <v>341</v>
      </c>
      <c r="L124">
        <v>0.46246999999999999</v>
      </c>
      <c r="N124" t="s">
        <v>230</v>
      </c>
      <c r="O124">
        <v>0.58337000000000006</v>
      </c>
      <c r="Q124" t="s">
        <v>230</v>
      </c>
      <c r="R124">
        <v>0.65010000000000001</v>
      </c>
      <c r="T124" t="s">
        <v>274</v>
      </c>
      <c r="U124" s="5">
        <v>4170</v>
      </c>
      <c r="V124">
        <v>10</v>
      </c>
      <c r="W124">
        <v>124</v>
      </c>
      <c r="X124">
        <v>0.71356783919597988</v>
      </c>
      <c r="Y124">
        <v>124</v>
      </c>
      <c r="Z124">
        <v>0.71356783919597988</v>
      </c>
      <c r="AB124" t="str">
        <f t="shared" si="1"/>
        <v>Bangladesh</v>
      </c>
    </row>
    <row r="125" spans="1:28" x14ac:dyDescent="0.2">
      <c r="A125" t="str">
        <f>IF(E125&gt;1, TII_VH!B125, "")</f>
        <v>Jordan</v>
      </c>
      <c r="B125" t="s">
        <v>209</v>
      </c>
      <c r="C125">
        <v>0.64992000000000005</v>
      </c>
      <c r="D125">
        <f>INDEX($U$2:$U$194, MATCH(TII_VH!B125,$T$2:$T$194,0))</f>
        <v>11980</v>
      </c>
      <c r="E125">
        <f>INDEX($V$2:$V$194, MATCH(TII_VH!B125,$T$2:$T$194,0))</f>
        <v>11.1</v>
      </c>
      <c r="F125">
        <f>INDEX($O$2:$O$194, MATCH(TII_VH!B125,$N$2:$N$194,0))</f>
        <v>0.64578999999999998</v>
      </c>
      <c r="H125" t="s">
        <v>276</v>
      </c>
      <c r="I125">
        <v>0.32879999999999998</v>
      </c>
      <c r="K125" t="s">
        <v>308</v>
      </c>
      <c r="L125">
        <v>0.45873999999999998</v>
      </c>
      <c r="N125" t="s">
        <v>279</v>
      </c>
      <c r="O125">
        <v>0.57806999999999997</v>
      </c>
      <c r="Q125" t="s">
        <v>209</v>
      </c>
      <c r="R125">
        <v>0.64992000000000005</v>
      </c>
      <c r="T125" t="s">
        <v>240</v>
      </c>
      <c r="U125" s="5">
        <v>6090</v>
      </c>
      <c r="V125">
        <v>29.4</v>
      </c>
      <c r="W125">
        <v>125</v>
      </c>
      <c r="X125">
        <v>0.71733668341708545</v>
      </c>
      <c r="Y125">
        <v>125</v>
      </c>
      <c r="Z125">
        <v>0.71733668341708545</v>
      </c>
      <c r="AB125" t="str">
        <f t="shared" si="1"/>
        <v>Dominica</v>
      </c>
    </row>
    <row r="126" spans="1:28" x14ac:dyDescent="0.2">
      <c r="A126" t="str">
        <f>IF(E126&gt;1, TII_VH!B126, "")</f>
        <v/>
      </c>
      <c r="B126" t="s">
        <v>290</v>
      </c>
      <c r="C126">
        <v>0.64980000000000004</v>
      </c>
      <c r="D126">
        <f>INDEX($U$2:$U$194, MATCH(TII_VH!B126,$T$2:$T$194,0))</f>
        <v>13740</v>
      </c>
      <c r="E126">
        <f>INDEX($V$2:$V$194, MATCH(TII_VH!B126,$T$2:$T$194,0))</f>
        <v>0.2</v>
      </c>
      <c r="F126">
        <f>INDEX($O$2:$O$194, MATCH(TII_VH!B126,$N$2:$N$194,0))</f>
        <v>0.60372000000000003</v>
      </c>
      <c r="H126" t="s">
        <v>293</v>
      </c>
      <c r="I126">
        <v>0.32879999999999998</v>
      </c>
      <c r="K126" t="s">
        <v>224</v>
      </c>
      <c r="L126">
        <v>0.45573999999999998</v>
      </c>
      <c r="N126" t="s">
        <v>270</v>
      </c>
      <c r="O126">
        <v>0.57723000000000002</v>
      </c>
      <c r="Q126" t="s">
        <v>290</v>
      </c>
      <c r="R126">
        <v>0.64980000000000004</v>
      </c>
      <c r="T126" t="s">
        <v>80</v>
      </c>
      <c r="U126" s="8">
        <v>13910</v>
      </c>
      <c r="V126">
        <v>6.9</v>
      </c>
      <c r="W126">
        <v>126</v>
      </c>
      <c r="X126">
        <v>0.72110552763819102</v>
      </c>
      <c r="Y126">
        <v>126</v>
      </c>
      <c r="Z126">
        <v>0.72110552763819102</v>
      </c>
      <c r="AB126" t="str">
        <f t="shared" si="1"/>
        <v>Gabon</v>
      </c>
    </row>
    <row r="127" spans="1:28" x14ac:dyDescent="0.2">
      <c r="A127" t="str">
        <f>IF(E127&gt;1, TII_VH!B127, "")</f>
        <v>Lebanon</v>
      </c>
      <c r="B127" t="s">
        <v>278</v>
      </c>
      <c r="C127">
        <v>0.64246000000000003</v>
      </c>
      <c r="D127">
        <f>INDEX($U$2:$U$194, MATCH(TII_VH!B127,$T$2:$T$194,0))</f>
        <v>11800</v>
      </c>
      <c r="E127">
        <f>INDEX($V$2:$V$194, MATCH(TII_VH!B127,$T$2:$T$194,0))</f>
        <v>5.3</v>
      </c>
      <c r="F127">
        <f>INDEX($O$2:$O$194, MATCH(TII_VH!B127,$N$2:$N$194,0))</f>
        <v>0.54329000000000005</v>
      </c>
      <c r="H127" t="s">
        <v>199</v>
      </c>
      <c r="I127">
        <v>0.32879999999999998</v>
      </c>
      <c r="K127" t="s">
        <v>268</v>
      </c>
      <c r="L127">
        <v>0.45034000000000002</v>
      </c>
      <c r="N127" t="s">
        <v>258</v>
      </c>
      <c r="O127">
        <v>0.57382</v>
      </c>
      <c r="Q127" t="s">
        <v>278</v>
      </c>
      <c r="R127">
        <v>0.64246000000000003</v>
      </c>
      <c r="T127" t="s">
        <v>278</v>
      </c>
      <c r="U127" s="8">
        <v>11800</v>
      </c>
      <c r="V127">
        <v>5.3</v>
      </c>
      <c r="W127">
        <v>127</v>
      </c>
      <c r="X127">
        <v>0.72487437185929648</v>
      </c>
      <c r="Y127">
        <v>127</v>
      </c>
      <c r="Z127">
        <v>0.72487437185929648</v>
      </c>
      <c r="AB127" t="str">
        <f t="shared" si="1"/>
        <v>Namibia</v>
      </c>
    </row>
    <row r="128" spans="1:28" x14ac:dyDescent="0.2">
      <c r="A128" t="str">
        <f>IF(E128&gt;1, TII_VH!B128, "")</f>
        <v/>
      </c>
      <c r="B128" t="s">
        <v>284</v>
      </c>
      <c r="C128">
        <v>0.61651999999999996</v>
      </c>
      <c r="D128">
        <f>INDEX($U$2:$U$194, MATCH(TII_VH!B128,$T$2:$T$194,0))</f>
        <v>3310</v>
      </c>
      <c r="E128">
        <f>INDEX($V$2:$V$194, MATCH(TII_VH!B128,$T$2:$T$194,0))</f>
        <v>0.3</v>
      </c>
      <c r="F128">
        <f>INDEX($O$2:$O$194, MATCH(TII_VH!B128,$N$2:$N$194,0))</f>
        <v>0.53473999999999999</v>
      </c>
      <c r="H128" t="s">
        <v>195</v>
      </c>
      <c r="I128">
        <v>0.31509999999999999</v>
      </c>
      <c r="K128" t="s">
        <v>289</v>
      </c>
      <c r="L128">
        <v>0.44927</v>
      </c>
      <c r="N128" t="s">
        <v>347</v>
      </c>
      <c r="O128">
        <v>0.57345999999999997</v>
      </c>
      <c r="Q128" t="s">
        <v>284</v>
      </c>
      <c r="R128">
        <v>0.61651999999999996</v>
      </c>
      <c r="T128" t="s">
        <v>279</v>
      </c>
      <c r="U128" s="5">
        <v>12740</v>
      </c>
      <c r="V128">
        <v>7.0000000000000007E-2</v>
      </c>
      <c r="W128">
        <v>128</v>
      </c>
      <c r="X128">
        <v>0.72864321608040195</v>
      </c>
      <c r="Y128">
        <v>128</v>
      </c>
      <c r="Z128">
        <v>0.72864321608040195</v>
      </c>
      <c r="AB128" t="str">
        <f t="shared" si="1"/>
        <v>Micronesia</v>
      </c>
    </row>
    <row r="129" spans="1:28" x14ac:dyDescent="0.2">
      <c r="A129" t="str">
        <f>IF(E129&gt;1, TII_VH!B129, "")</f>
        <v/>
      </c>
      <c r="B129" t="s">
        <v>252</v>
      </c>
      <c r="C129">
        <v>0.61277999999999999</v>
      </c>
      <c r="D129">
        <f>INDEX($U$2:$U$194, MATCH(TII_VH!B129,$T$2:$T$194,0))</f>
        <v>7000</v>
      </c>
      <c r="E129">
        <f>INDEX($V$2:$V$194, MATCH(TII_VH!B129,$T$2:$T$194,0))</f>
        <v>0.6</v>
      </c>
      <c r="F129">
        <f>INDEX($O$2:$O$194, MATCH(TII_VH!B129,$N$2:$N$194,0))</f>
        <v>0.56935000000000002</v>
      </c>
      <c r="H129" t="s">
        <v>375</v>
      </c>
      <c r="I129">
        <v>0.31509999999999999</v>
      </c>
      <c r="K129" t="s">
        <v>278</v>
      </c>
      <c r="L129">
        <v>0.44894000000000001</v>
      </c>
      <c r="N129" t="s">
        <v>256</v>
      </c>
      <c r="O129">
        <v>0.57194</v>
      </c>
      <c r="Q129" t="s">
        <v>252</v>
      </c>
      <c r="R129">
        <v>0.61277999999999999</v>
      </c>
      <c r="T129" t="s">
        <v>282</v>
      </c>
      <c r="U129" s="5">
        <v>20540</v>
      </c>
      <c r="V129">
        <v>0.8</v>
      </c>
      <c r="W129">
        <v>129</v>
      </c>
      <c r="X129">
        <v>0.73241206030150752</v>
      </c>
      <c r="Y129">
        <v>129</v>
      </c>
      <c r="Z129">
        <v>0.73241206030150752</v>
      </c>
      <c r="AB129" t="str">
        <f t="shared" si="1"/>
        <v>Botswana</v>
      </c>
    </row>
    <row r="130" spans="1:28" x14ac:dyDescent="0.2">
      <c r="A130" t="str">
        <f>IF(E130&gt;1, TII_VH!B130, "")</f>
        <v>Kenya</v>
      </c>
      <c r="B130" t="s">
        <v>249</v>
      </c>
      <c r="C130">
        <v>0.59014999999999995</v>
      </c>
      <c r="D130">
        <f>INDEX($U$2:$U$194, MATCH(TII_VH!B130,$T$2:$T$194,0))</f>
        <v>5150</v>
      </c>
      <c r="E130">
        <f>INDEX($V$2:$V$194, MATCH(TII_VH!B130,$T$2:$T$194,0))</f>
        <v>54</v>
      </c>
      <c r="F130">
        <f>INDEX($O$2:$O$194, MATCH(TII_VH!B130,$N$2:$N$194,0))</f>
        <v>0.52710999999999997</v>
      </c>
      <c r="H130" t="s">
        <v>268</v>
      </c>
      <c r="I130">
        <v>0.31509999999999999</v>
      </c>
      <c r="K130" t="s">
        <v>267</v>
      </c>
      <c r="L130">
        <v>0.44806000000000001</v>
      </c>
      <c r="N130" t="s">
        <v>252</v>
      </c>
      <c r="O130">
        <v>0.56935000000000002</v>
      </c>
      <c r="Q130" t="s">
        <v>249</v>
      </c>
      <c r="R130">
        <v>0.59014999999999995</v>
      </c>
      <c r="T130" t="s">
        <v>284</v>
      </c>
      <c r="U130" s="5">
        <v>3310</v>
      </c>
      <c r="V130">
        <v>0.3</v>
      </c>
      <c r="W130">
        <v>130</v>
      </c>
      <c r="X130">
        <v>0.73618090452261309</v>
      </c>
      <c r="Y130">
        <v>130</v>
      </c>
      <c r="Z130">
        <v>0.73618090452261309</v>
      </c>
      <c r="AB130" t="str">
        <f t="shared" si="1"/>
        <v>Cabo Verde</v>
      </c>
    </row>
    <row r="131" spans="1:28" x14ac:dyDescent="0.2">
      <c r="A131" t="str">
        <f>IF(E131&gt;1, TII_VH!B131, "")</f>
        <v/>
      </c>
      <c r="B131" t="s">
        <v>321</v>
      </c>
      <c r="C131">
        <v>0.58633999999999997</v>
      </c>
      <c r="E131">
        <f>INDEX($V$2:$V$194, MATCH(TII_VH!B131,$T$2:$T$194,0))</f>
        <v>0.01</v>
      </c>
      <c r="F131">
        <f>INDEX($O$2:$O$194, MATCH(TII_VH!B131,$N$2:$N$194,0))</f>
        <v>0.50612000000000001</v>
      </c>
      <c r="H131" t="s">
        <v>160</v>
      </c>
      <c r="I131">
        <v>0.3014</v>
      </c>
      <c r="K131" t="s">
        <v>274</v>
      </c>
      <c r="L131">
        <v>0.4476</v>
      </c>
      <c r="N131" t="s">
        <v>289</v>
      </c>
      <c r="O131">
        <v>0.56101999999999996</v>
      </c>
      <c r="Q131" t="s">
        <v>321</v>
      </c>
      <c r="R131">
        <v>0.58633999999999997</v>
      </c>
      <c r="T131" t="s">
        <v>285</v>
      </c>
      <c r="U131" s="5">
        <v>3630</v>
      </c>
      <c r="V131">
        <v>19.600000000000001</v>
      </c>
      <c r="W131">
        <v>131</v>
      </c>
      <c r="X131">
        <v>0.73994974874371866</v>
      </c>
      <c r="Y131">
        <v>131</v>
      </c>
      <c r="Z131">
        <v>0.73994974874371866</v>
      </c>
      <c r="AB131" t="str">
        <f t="shared" ref="AB131:AB194" si="2">TRIM(N131)</f>
        <v>Nicaragua</v>
      </c>
    </row>
    <row r="132" spans="1:28" x14ac:dyDescent="0.2">
      <c r="A132" t="str">
        <f>IF(E132&gt;1, TII_VH!B132, "")</f>
        <v>Nicaragua</v>
      </c>
      <c r="B132" t="s">
        <v>289</v>
      </c>
      <c r="C132">
        <v>0.58511999999999997</v>
      </c>
      <c r="D132">
        <f>INDEX($U$2:$U$194, MATCH(TII_VH!B132,$T$2:$T$194,0))</f>
        <v>5790</v>
      </c>
      <c r="E132">
        <f>INDEX($V$2:$V$194, MATCH(TII_VH!B132,$T$2:$T$194,0))</f>
        <v>7</v>
      </c>
      <c r="F132">
        <f>INDEX($O$2:$O$194, MATCH(TII_VH!B132,$N$2:$N$194,0))</f>
        <v>0.56101999999999996</v>
      </c>
      <c r="H132" t="s">
        <v>349</v>
      </c>
      <c r="I132">
        <v>0.3014</v>
      </c>
      <c r="K132" t="s">
        <v>339</v>
      </c>
      <c r="L132">
        <v>0.44721</v>
      </c>
      <c r="N132" t="s">
        <v>248</v>
      </c>
      <c r="O132">
        <v>0.55857000000000001</v>
      </c>
      <c r="Q132" t="s">
        <v>289</v>
      </c>
      <c r="R132">
        <v>0.58511999999999997</v>
      </c>
      <c r="T132" t="s">
        <v>287</v>
      </c>
      <c r="U132" s="8">
        <v>17440</v>
      </c>
      <c r="V132">
        <v>28.2</v>
      </c>
      <c r="W132">
        <v>132</v>
      </c>
      <c r="X132">
        <v>0.74371859296482412</v>
      </c>
      <c r="Y132">
        <v>132</v>
      </c>
      <c r="Z132">
        <v>0.74371859296482412</v>
      </c>
      <c r="AB132" t="str">
        <f t="shared" si="2"/>
        <v>Ghana</v>
      </c>
    </row>
    <row r="133" spans="1:28" x14ac:dyDescent="0.2">
      <c r="A133" t="str">
        <f>IF(E133&gt;1, TII_VH!B133, "")</f>
        <v>Guatemala</v>
      </c>
      <c r="B133" t="s">
        <v>272</v>
      </c>
      <c r="C133">
        <v>0.58426999999999996</v>
      </c>
      <c r="D133">
        <f>INDEX($U$2:$U$194, MATCH(TII_VH!B133,$T$2:$T$194,0))</f>
        <v>9110</v>
      </c>
      <c r="E133">
        <f>INDEX($V$2:$V$194, MATCH(TII_VH!B133,$T$2:$T$194,0))</f>
        <v>18.100000000000001</v>
      </c>
      <c r="F133">
        <f>INDEX($O$2:$O$194, MATCH(TII_VH!B133,$N$2:$N$194,0))</f>
        <v>0.4834</v>
      </c>
      <c r="H133" t="s">
        <v>279</v>
      </c>
      <c r="I133">
        <v>0.3014</v>
      </c>
      <c r="K133" t="s">
        <v>239</v>
      </c>
      <c r="L133">
        <v>0.41658000000000001</v>
      </c>
      <c r="N133" t="s">
        <v>241</v>
      </c>
      <c r="O133">
        <v>0.55684</v>
      </c>
      <c r="Q133" t="s">
        <v>272</v>
      </c>
      <c r="R133">
        <v>0.58426999999999996</v>
      </c>
      <c r="T133" t="s">
        <v>289</v>
      </c>
      <c r="U133" s="5">
        <v>5790</v>
      </c>
      <c r="V133">
        <v>7</v>
      </c>
      <c r="W133">
        <v>133</v>
      </c>
      <c r="X133">
        <v>0.74748743718592969</v>
      </c>
      <c r="Y133">
        <v>133</v>
      </c>
      <c r="Z133">
        <v>0.74748743718592969</v>
      </c>
      <c r="AB133" t="str">
        <f t="shared" si="2"/>
        <v>Suriname</v>
      </c>
    </row>
    <row r="134" spans="1:28" x14ac:dyDescent="0.2">
      <c r="A134" t="str">
        <f>IF(E134&gt;1, TII_VH!B134, "")</f>
        <v>Mauritania</v>
      </c>
      <c r="B134" t="s">
        <v>344</v>
      </c>
      <c r="C134">
        <v>0.58238999999999996</v>
      </c>
      <c r="D134">
        <f>INDEX($U$2:$U$194, MATCH(TII_VH!B134,$T$2:$T$194,0))</f>
        <v>5860</v>
      </c>
      <c r="E134">
        <f>INDEX($V$2:$V$194, MATCH(TII_VH!B134,$T$2:$T$194,0))</f>
        <v>5</v>
      </c>
      <c r="F134">
        <f>INDEX($O$2:$O$194, MATCH(TII_VH!B134,$N$2:$N$194,0))</f>
        <v>0.29615000000000002</v>
      </c>
      <c r="H134" t="s">
        <v>298</v>
      </c>
      <c r="I134">
        <v>0.3014</v>
      </c>
      <c r="K134" t="s">
        <v>317</v>
      </c>
      <c r="L134">
        <v>0.41003000000000001</v>
      </c>
      <c r="N134" t="s">
        <v>234</v>
      </c>
      <c r="O134">
        <v>0.54781000000000002</v>
      </c>
      <c r="Q134" t="s">
        <v>344</v>
      </c>
      <c r="R134">
        <v>0.58238999999999996</v>
      </c>
      <c r="T134" t="s">
        <v>290</v>
      </c>
      <c r="U134" s="5">
        <v>13740</v>
      </c>
      <c r="V134">
        <v>0.2</v>
      </c>
      <c r="W134">
        <v>134</v>
      </c>
      <c r="X134">
        <v>0.75125628140703515</v>
      </c>
      <c r="Y134">
        <v>134</v>
      </c>
      <c r="Z134">
        <v>0.75125628140703515</v>
      </c>
      <c r="AB134" t="str">
        <f t="shared" si="2"/>
        <v>Bhutan</v>
      </c>
    </row>
    <row r="135" spans="1:28" x14ac:dyDescent="0.2">
      <c r="A135" t="str">
        <f>IF(E135&gt;1, TII_VH!B135, "")</f>
        <v>Tajikistan</v>
      </c>
      <c r="B135" t="s">
        <v>274</v>
      </c>
      <c r="C135">
        <v>0.58098000000000005</v>
      </c>
      <c r="D135">
        <f>INDEX($U$2:$U$194, MATCH(TII_VH!B135,$T$2:$T$194,0))</f>
        <v>4170</v>
      </c>
      <c r="E135">
        <f>INDEX($V$2:$V$194, MATCH(TII_VH!B135,$T$2:$T$194,0))</f>
        <v>10</v>
      </c>
      <c r="F135">
        <f>INDEX($O$2:$O$194, MATCH(TII_VH!B135,$N$2:$N$194,0))</f>
        <v>0.65305000000000002</v>
      </c>
      <c r="H135" t="s">
        <v>308</v>
      </c>
      <c r="I135">
        <v>0.3014</v>
      </c>
      <c r="K135" t="s">
        <v>306</v>
      </c>
      <c r="L135">
        <v>0.40544999999999998</v>
      </c>
      <c r="N135" t="s">
        <v>264</v>
      </c>
      <c r="O135">
        <v>0.54668000000000005</v>
      </c>
      <c r="Q135" t="s">
        <v>274</v>
      </c>
      <c r="R135">
        <v>0.58098000000000005</v>
      </c>
      <c r="T135" t="s">
        <v>293</v>
      </c>
      <c r="U135" s="5">
        <v>6070</v>
      </c>
      <c r="V135">
        <v>0.1</v>
      </c>
      <c r="W135">
        <v>135</v>
      </c>
      <c r="X135">
        <v>0.75502512562814073</v>
      </c>
      <c r="Y135">
        <v>135</v>
      </c>
      <c r="Z135">
        <v>0.75502512562814073</v>
      </c>
      <c r="AB135" t="str">
        <f t="shared" si="2"/>
        <v>Rwanda</v>
      </c>
    </row>
    <row r="136" spans="1:28" x14ac:dyDescent="0.2">
      <c r="A136" t="str">
        <f>IF(E136&gt;1, TII_VH!B136, "")</f>
        <v>India</v>
      </c>
      <c r="B136" t="s">
        <v>222</v>
      </c>
      <c r="C136">
        <v>0.57003999999999999</v>
      </c>
      <c r="D136">
        <f>INDEX($U$2:$U$194, MATCH(TII_VH!B136,$T$2:$T$194,0))</f>
        <v>7130</v>
      </c>
      <c r="E136">
        <f>INDEX($V$2:$V$194, MATCH(TII_VH!B136,$T$2:$T$194,0))</f>
        <v>1417.2</v>
      </c>
      <c r="F136">
        <f>INDEX($O$2:$O$194, MATCH(TII_VH!B136,$N$2:$N$194,0))</f>
        <v>0.61487000000000003</v>
      </c>
      <c r="H136" t="s">
        <v>305</v>
      </c>
      <c r="I136">
        <v>0.3014</v>
      </c>
      <c r="K136" t="s">
        <v>349</v>
      </c>
      <c r="L136">
        <v>0.40447</v>
      </c>
      <c r="N136" t="s">
        <v>334</v>
      </c>
      <c r="O136">
        <v>0.54634000000000005</v>
      </c>
      <c r="Q136" t="s">
        <v>222</v>
      </c>
      <c r="R136">
        <v>0.57003999999999999</v>
      </c>
      <c r="T136" t="s">
        <v>295</v>
      </c>
      <c r="U136" s="5">
        <v>4090</v>
      </c>
      <c r="V136">
        <v>17.899999999999999</v>
      </c>
      <c r="W136">
        <v>136</v>
      </c>
      <c r="X136">
        <v>0.7587939698492463</v>
      </c>
      <c r="Y136">
        <v>136</v>
      </c>
      <c r="Z136">
        <v>0.7587939698492463</v>
      </c>
      <c r="AB136" t="str">
        <f t="shared" si="2"/>
        <v>Tuvalu</v>
      </c>
    </row>
    <row r="137" spans="1:28" x14ac:dyDescent="0.2">
      <c r="A137" t="str">
        <f>IF(E137&gt;1, TII_VH!B137, "")</f>
        <v>Venezuela</v>
      </c>
      <c r="B137" t="s">
        <v>287</v>
      </c>
      <c r="C137">
        <v>0.53905000000000003</v>
      </c>
      <c r="D137">
        <f>INDEX($U$2:$U$194, MATCH(TII_VH!B137,$T$2:$T$194,0))</f>
        <v>17440</v>
      </c>
      <c r="E137">
        <f>INDEX($V$2:$V$194, MATCH(TII_VH!B137,$T$2:$T$194,0))</f>
        <v>28.2</v>
      </c>
      <c r="F137">
        <f>INDEX($O$2:$O$194, MATCH(TII_VH!B137,$N$2:$N$194,0))</f>
        <v>0.71148999999999996</v>
      </c>
      <c r="H137" t="s">
        <v>214</v>
      </c>
      <c r="I137">
        <v>0.3014</v>
      </c>
      <c r="K137" t="s">
        <v>329</v>
      </c>
      <c r="L137">
        <v>0.39884999999999998</v>
      </c>
      <c r="N137" t="s">
        <v>278</v>
      </c>
      <c r="O137">
        <v>0.54329000000000005</v>
      </c>
      <c r="Q137" t="s">
        <v>287</v>
      </c>
      <c r="R137">
        <v>0.53905000000000003</v>
      </c>
      <c r="T137" t="s">
        <v>297</v>
      </c>
      <c r="U137" s="5">
        <v>5860</v>
      </c>
      <c r="V137">
        <v>235.8</v>
      </c>
      <c r="W137">
        <v>137</v>
      </c>
      <c r="X137">
        <v>0.76256281407035176</v>
      </c>
      <c r="Y137">
        <v>137</v>
      </c>
      <c r="Z137">
        <v>0.76256281407035176</v>
      </c>
      <c r="AB137" t="str">
        <f t="shared" si="2"/>
        <v>Lebanon</v>
      </c>
    </row>
    <row r="138" spans="1:28" x14ac:dyDescent="0.2">
      <c r="A138" t="str">
        <f>IF(E138&gt;1, TII_VH!B138, "")</f>
        <v>Laos</v>
      </c>
      <c r="B138" t="s">
        <v>299</v>
      </c>
      <c r="C138">
        <v>0.53381999999999996</v>
      </c>
      <c r="D138">
        <f>INDEX($U$2:$U$194, MATCH(TII_VH!B138,$T$2:$T$194,0))</f>
        <v>12122</v>
      </c>
      <c r="E138">
        <f>INDEX($V$2:$V$194, MATCH(TII_VH!B138,$T$2:$T$194,0))</f>
        <v>7.5</v>
      </c>
      <c r="F138">
        <f>INDEX($O$2:$O$194, MATCH(TII_VH!B138,$N$2:$N$194,0))</f>
        <v>0.46084000000000003</v>
      </c>
      <c r="H138" t="s">
        <v>299</v>
      </c>
      <c r="I138">
        <v>0.28770000000000001</v>
      </c>
      <c r="K138" t="s">
        <v>256</v>
      </c>
      <c r="L138">
        <v>0.39851999999999999</v>
      </c>
      <c r="N138" t="s">
        <v>317</v>
      </c>
      <c r="O138">
        <v>0.53949999999999998</v>
      </c>
      <c r="Q138" t="s">
        <v>299</v>
      </c>
      <c r="R138">
        <v>0.53381999999999996</v>
      </c>
      <c r="T138" t="s">
        <v>298</v>
      </c>
      <c r="U138" s="5">
        <v>14370</v>
      </c>
      <c r="V138">
        <v>0.02</v>
      </c>
      <c r="W138">
        <v>138</v>
      </c>
      <c r="X138">
        <v>0.76633165829145722</v>
      </c>
      <c r="Y138">
        <v>138</v>
      </c>
      <c r="Z138">
        <v>0.76633165829145722</v>
      </c>
      <c r="AB138" t="str">
        <f t="shared" si="2"/>
        <v>Zimbabwe</v>
      </c>
    </row>
    <row r="139" spans="1:28" x14ac:dyDescent="0.2">
      <c r="A139" t="str">
        <f>IF(E139&gt;1, TII_VH!B139, "")</f>
        <v>Cuba</v>
      </c>
      <c r="B139" t="s">
        <v>303</v>
      </c>
      <c r="C139">
        <v>0.53183000000000002</v>
      </c>
      <c r="D139">
        <f>INDEX($U$2:$U$194, MATCH(TII_VH!B139,$T$2:$T$194,0))</f>
        <v>8920</v>
      </c>
      <c r="E139">
        <f>INDEX($V$2:$V$194, MATCH(TII_VH!B139,$T$2:$T$194,0))</f>
        <v>11.1</v>
      </c>
      <c r="F139">
        <f>INDEX($O$2:$O$194, MATCH(TII_VH!B139,$N$2:$N$194,0))</f>
        <v>0.71480999999999995</v>
      </c>
      <c r="H139" t="s">
        <v>377</v>
      </c>
      <c r="I139">
        <v>0.28770000000000001</v>
      </c>
      <c r="K139" t="s">
        <v>332</v>
      </c>
      <c r="L139">
        <v>0.39623999999999998</v>
      </c>
      <c r="N139" t="s">
        <v>259</v>
      </c>
      <c r="O139">
        <v>0.53478999999999999</v>
      </c>
      <c r="Q139" t="s">
        <v>303</v>
      </c>
      <c r="R139">
        <v>0.53183000000000002</v>
      </c>
      <c r="T139" t="s">
        <v>300</v>
      </c>
      <c r="U139" s="5">
        <v>5140</v>
      </c>
      <c r="V139">
        <v>54.2</v>
      </c>
      <c r="W139">
        <v>139</v>
      </c>
      <c r="X139">
        <v>0.77010050251256279</v>
      </c>
      <c r="Y139">
        <v>139</v>
      </c>
      <c r="Z139">
        <v>0.77010050251256279</v>
      </c>
      <c r="AB139" t="str">
        <f t="shared" si="2"/>
        <v>El Salvador</v>
      </c>
    </row>
    <row r="140" spans="1:28" x14ac:dyDescent="0.2">
      <c r="A140" t="str">
        <f>IF(E140&gt;1, TII_VH!B140, "")</f>
        <v/>
      </c>
      <c r="B140" t="s">
        <v>306</v>
      </c>
      <c r="C140">
        <v>0.52917000000000003</v>
      </c>
      <c r="D140">
        <f>INDEX($U$2:$U$194, MATCH(TII_VH!B140,$T$2:$T$194,0))</f>
        <v>9420</v>
      </c>
      <c r="E140">
        <f>INDEX($V$2:$V$194, MATCH(TII_VH!B140,$T$2:$T$194,0))</f>
        <v>0.4</v>
      </c>
      <c r="F140">
        <f>INDEX($O$2:$O$194, MATCH(TII_VH!B140,$N$2:$N$194,0))</f>
        <v>0.52698</v>
      </c>
      <c r="H140" t="s">
        <v>241</v>
      </c>
      <c r="I140">
        <v>0.28770000000000001</v>
      </c>
      <c r="K140" t="s">
        <v>361</v>
      </c>
      <c r="L140">
        <v>0.39590999999999998</v>
      </c>
      <c r="N140" t="s">
        <v>284</v>
      </c>
      <c r="O140">
        <v>0.53473999999999999</v>
      </c>
      <c r="Q140" t="s">
        <v>306</v>
      </c>
      <c r="R140">
        <v>0.52917000000000003</v>
      </c>
      <c r="T140" t="s">
        <v>303</v>
      </c>
      <c r="U140" s="8">
        <v>8920</v>
      </c>
      <c r="V140">
        <v>11.1</v>
      </c>
      <c r="W140">
        <v>140</v>
      </c>
      <c r="X140">
        <v>0.77386934673366836</v>
      </c>
      <c r="Y140">
        <v>140</v>
      </c>
      <c r="Z140">
        <v>0.77386934673366836</v>
      </c>
      <c r="AB140" t="str">
        <f t="shared" si="2"/>
        <v>Vanuatu</v>
      </c>
    </row>
    <row r="141" spans="1:28" x14ac:dyDescent="0.2">
      <c r="A141" t="str">
        <f>IF(E141&gt;1, TII_VH!B141, "")</f>
        <v>Turkmenistan</v>
      </c>
      <c r="B141" t="s">
        <v>312</v>
      </c>
      <c r="C141">
        <v>0.51512000000000002</v>
      </c>
      <c r="D141">
        <f>INDEX($U$2:$U$194, MATCH(TII_VH!B141,$T$2:$T$194,0))</f>
        <v>16050</v>
      </c>
      <c r="E141">
        <f>INDEX($V$2:$V$194, MATCH(TII_VH!B141,$T$2:$T$194,0))</f>
        <v>6.3</v>
      </c>
      <c r="F141">
        <f>INDEX($O$2:$O$194, MATCH(TII_VH!B141,$N$2:$N$194,0))</f>
        <v>0.66137000000000001</v>
      </c>
      <c r="H141" t="s">
        <v>325</v>
      </c>
      <c r="I141">
        <v>0.28770000000000001</v>
      </c>
      <c r="K141" t="s">
        <v>263</v>
      </c>
      <c r="L141">
        <v>0.39062999999999998</v>
      </c>
      <c r="N141" t="s">
        <v>249</v>
      </c>
      <c r="O141">
        <v>0.52710999999999997</v>
      </c>
      <c r="Q141" t="s">
        <v>312</v>
      </c>
      <c r="R141">
        <v>0.51512000000000002</v>
      </c>
      <c r="T141" t="s">
        <v>305</v>
      </c>
      <c r="U141" s="5">
        <v>6310</v>
      </c>
      <c r="V141">
        <v>0.2</v>
      </c>
      <c r="W141">
        <v>141</v>
      </c>
      <c r="X141">
        <v>0.77763819095477393</v>
      </c>
      <c r="Y141">
        <v>141</v>
      </c>
      <c r="Z141">
        <v>0.77763819095477393</v>
      </c>
      <c r="AB141" t="str">
        <f t="shared" si="2"/>
        <v>Kenya</v>
      </c>
    </row>
    <row r="142" spans="1:28" x14ac:dyDescent="0.2">
      <c r="A142" t="str">
        <f>IF(E142&gt;1, TII_VH!B142, "")</f>
        <v>Zambia</v>
      </c>
      <c r="B142" t="s">
        <v>285</v>
      </c>
      <c r="C142">
        <v>0.50880000000000003</v>
      </c>
      <c r="D142">
        <f>INDEX($U$2:$U$194, MATCH(TII_VH!B142,$T$2:$T$194,0))</f>
        <v>3630</v>
      </c>
      <c r="E142">
        <f>INDEX($V$2:$V$194, MATCH(TII_VH!B142,$T$2:$T$194,0))</f>
        <v>19.600000000000001</v>
      </c>
      <c r="F142">
        <f>INDEX($O$2:$O$194, MATCH(TII_VH!B142,$N$2:$N$194,0))</f>
        <v>0.62251999999999996</v>
      </c>
      <c r="H142" t="s">
        <v>355</v>
      </c>
      <c r="I142">
        <v>0.27400000000000002</v>
      </c>
      <c r="K142" t="s">
        <v>315</v>
      </c>
      <c r="L142">
        <v>0.39034999999999997</v>
      </c>
      <c r="N142" t="s">
        <v>306</v>
      </c>
      <c r="O142">
        <v>0.52698</v>
      </c>
      <c r="Q142" t="s">
        <v>285</v>
      </c>
      <c r="R142">
        <v>0.50880000000000003</v>
      </c>
      <c r="T142" t="s">
        <v>306</v>
      </c>
      <c r="U142" s="5">
        <v>9420</v>
      </c>
      <c r="V142">
        <v>0.4</v>
      </c>
      <c r="W142">
        <v>142</v>
      </c>
      <c r="X142">
        <v>0.78140703517587939</v>
      </c>
      <c r="Y142">
        <v>142</v>
      </c>
      <c r="Z142">
        <v>0.78140703517587939</v>
      </c>
      <c r="AB142" t="str">
        <f t="shared" si="2"/>
        <v>Belize</v>
      </c>
    </row>
    <row r="143" spans="1:28" x14ac:dyDescent="0.2">
      <c r="A143" t="str">
        <f>IF(E143&gt;1, TII_VH!B143, "")</f>
        <v/>
      </c>
      <c r="B143" t="s">
        <v>298</v>
      </c>
      <c r="C143">
        <v>0.49096000000000001</v>
      </c>
      <c r="D143">
        <f>INDEX($U$2:$U$194, MATCH(TII_VH!B143,$T$2:$T$194,0))</f>
        <v>14370</v>
      </c>
      <c r="E143">
        <f>INDEX($V$2:$V$194, MATCH(TII_VH!B143,$T$2:$T$194,0))</f>
        <v>0.02</v>
      </c>
      <c r="F143">
        <f>INDEX($O$2:$O$194, MATCH(TII_VH!B143,$N$2:$N$194,0))</f>
        <v>0.75202999999999998</v>
      </c>
      <c r="H143" t="s">
        <v>258</v>
      </c>
      <c r="I143">
        <v>0.27400000000000002</v>
      </c>
      <c r="K143" t="s">
        <v>354</v>
      </c>
      <c r="L143">
        <v>0.38228000000000001</v>
      </c>
      <c r="N143" t="s">
        <v>267</v>
      </c>
      <c r="O143">
        <v>0.52100000000000002</v>
      </c>
      <c r="Q143" t="s">
        <v>298</v>
      </c>
      <c r="R143">
        <v>0.49096000000000001</v>
      </c>
      <c r="T143" t="s">
        <v>308</v>
      </c>
      <c r="U143" s="5">
        <v>6500</v>
      </c>
      <c r="V143">
        <v>10.3</v>
      </c>
      <c r="W143">
        <v>143</v>
      </c>
      <c r="X143">
        <v>0.78517587939698497</v>
      </c>
      <c r="Y143">
        <v>143</v>
      </c>
      <c r="Z143">
        <v>0.78517587939698497</v>
      </c>
      <c r="AB143" t="str">
        <f t="shared" si="2"/>
        <v>Nepal</v>
      </c>
    </row>
    <row r="144" spans="1:28" x14ac:dyDescent="0.2">
      <c r="A144" t="str">
        <f>IF(E144&gt;1, TII_VH!B144, "")</f>
        <v>Guinea-Bissau</v>
      </c>
      <c r="B144" t="s">
        <v>352</v>
      </c>
      <c r="C144">
        <v>0.49023</v>
      </c>
      <c r="D144">
        <f>INDEX($U$2:$U$194, MATCH(TII_VH!B144,$T$2:$T$194,0))</f>
        <v>2370</v>
      </c>
      <c r="E144">
        <f>INDEX($V$2:$V$194, MATCH(TII_VH!B144,$T$2:$T$194,0))</f>
        <v>2.1</v>
      </c>
      <c r="F144">
        <f>INDEX($O$2:$O$194, MATCH(TII_VH!B144,$N$2:$N$194,0))</f>
        <v>0.30774000000000001</v>
      </c>
      <c r="H144" t="s">
        <v>256</v>
      </c>
      <c r="I144">
        <v>0.27400000000000002</v>
      </c>
      <c r="K144" t="s">
        <v>279</v>
      </c>
      <c r="L144">
        <v>0.37983</v>
      </c>
      <c r="N144" t="s">
        <v>329</v>
      </c>
      <c r="O144">
        <v>0.51924999999999999</v>
      </c>
      <c r="Q144" t="s">
        <v>352</v>
      </c>
      <c r="R144">
        <v>0.49023</v>
      </c>
      <c r="T144" t="s">
        <v>309</v>
      </c>
      <c r="U144" s="5">
        <v>6310</v>
      </c>
      <c r="V144">
        <v>0.06</v>
      </c>
      <c r="W144">
        <v>144</v>
      </c>
      <c r="X144">
        <v>0.78894472361809043</v>
      </c>
      <c r="Y144">
        <v>144</v>
      </c>
      <c r="Z144">
        <v>0.78894472361809043</v>
      </c>
      <c r="AB144" t="str">
        <f t="shared" si="2"/>
        <v>Cameroon</v>
      </c>
    </row>
    <row r="145" spans="1:28" x14ac:dyDescent="0.2">
      <c r="A145" t="str">
        <f>IF(E145&gt;1, TII_VH!B145, "")</f>
        <v/>
      </c>
      <c r="B145" t="s">
        <v>327</v>
      </c>
      <c r="C145">
        <v>0.48393999999999998</v>
      </c>
      <c r="D145">
        <f>INDEX($U$2:$U$194, MATCH(TII_VH!B145,$T$2:$T$194,0))</f>
        <v>4170</v>
      </c>
      <c r="E145">
        <f>INDEX($V$2:$V$194, MATCH(TII_VH!B145,$T$2:$T$194,0))</f>
        <v>0.2</v>
      </c>
      <c r="F145">
        <f>INDEX($O$2:$O$194, MATCH(TII_VH!B145,$N$2:$N$194,0))</f>
        <v>0.59284999999999999</v>
      </c>
      <c r="H145" t="s">
        <v>274</v>
      </c>
      <c r="I145">
        <v>0.27400000000000002</v>
      </c>
      <c r="K145" t="s">
        <v>143</v>
      </c>
      <c r="L145">
        <v>0.37729000000000001</v>
      </c>
      <c r="N145" t="s">
        <v>308</v>
      </c>
      <c r="O145">
        <v>0.51817999999999997</v>
      </c>
      <c r="Q145" t="s">
        <v>327</v>
      </c>
      <c r="R145">
        <v>0.48393999999999998</v>
      </c>
      <c r="T145" t="s">
        <v>311</v>
      </c>
      <c r="U145" s="5">
        <v>5000</v>
      </c>
      <c r="V145">
        <v>218.5</v>
      </c>
      <c r="W145">
        <v>145</v>
      </c>
      <c r="X145">
        <v>0.792713567839196</v>
      </c>
      <c r="Y145">
        <v>145</v>
      </c>
      <c r="Z145">
        <v>0.792713567839196</v>
      </c>
      <c r="AB145" t="str">
        <f t="shared" si="2"/>
        <v>Honduras</v>
      </c>
    </row>
    <row r="146" spans="1:28" x14ac:dyDescent="0.2">
      <c r="A146" t="str">
        <f>IF(E146&gt;1, TII_VH!B146, "")</f>
        <v>Nigeria</v>
      </c>
      <c r="B146" t="s">
        <v>311</v>
      </c>
      <c r="C146">
        <v>0.48354999999999998</v>
      </c>
      <c r="D146">
        <f>INDEX($U$2:$U$194, MATCH(TII_VH!B146,$T$2:$T$194,0))</f>
        <v>5000</v>
      </c>
      <c r="E146">
        <f>INDEX($V$2:$V$194, MATCH(TII_VH!B146,$T$2:$T$194,0))</f>
        <v>218.5</v>
      </c>
      <c r="F146">
        <f>INDEX($O$2:$O$194, MATCH(TII_VH!B146,$N$2:$N$194,0))</f>
        <v>0.42357</v>
      </c>
      <c r="H146" t="s">
        <v>317</v>
      </c>
      <c r="I146">
        <v>0.27400000000000002</v>
      </c>
      <c r="K146" t="s">
        <v>305</v>
      </c>
      <c r="L146">
        <v>0.36377999999999999</v>
      </c>
      <c r="N146" t="s">
        <v>268</v>
      </c>
      <c r="O146">
        <v>0.51488999999999996</v>
      </c>
      <c r="Q146" t="s">
        <v>311</v>
      </c>
      <c r="R146">
        <v>0.48354999999999998</v>
      </c>
      <c r="T146" t="s">
        <v>312</v>
      </c>
      <c r="U146" s="5">
        <v>16050</v>
      </c>
      <c r="V146">
        <v>6.3</v>
      </c>
      <c r="W146">
        <v>146</v>
      </c>
      <c r="X146">
        <v>0.79648241206030157</v>
      </c>
      <c r="Y146">
        <v>146</v>
      </c>
      <c r="Z146">
        <v>0.79648241206030157</v>
      </c>
      <c r="AB146" t="str">
        <f t="shared" si="2"/>
        <v>Cambodia</v>
      </c>
    </row>
    <row r="147" spans="1:28" x14ac:dyDescent="0.2">
      <c r="A147" t="str">
        <f>IF(E147&gt;1, TII_VH!B147, "")</f>
        <v>Benin</v>
      </c>
      <c r="B147" t="s">
        <v>313</v>
      </c>
      <c r="C147">
        <v>0.48171000000000003</v>
      </c>
      <c r="D147">
        <f>INDEX($U$2:$U$194, MATCH(TII_VH!B147,$T$2:$T$194,0))</f>
        <v>3740</v>
      </c>
      <c r="E147">
        <f>INDEX($V$2:$V$194, MATCH(TII_VH!B147,$T$2:$T$194,0))</f>
        <v>13.7</v>
      </c>
      <c r="F147">
        <f>INDEX($O$2:$O$194, MATCH(TII_VH!B147,$N$2:$N$194,0))</f>
        <v>0.37146000000000001</v>
      </c>
      <c r="H147" t="s">
        <v>365</v>
      </c>
      <c r="I147">
        <v>0.24660000000000001</v>
      </c>
      <c r="K147" t="s">
        <v>309</v>
      </c>
      <c r="L147">
        <v>0.35858000000000001</v>
      </c>
      <c r="N147" t="s">
        <v>276</v>
      </c>
      <c r="O147">
        <v>0.51036000000000004</v>
      </c>
      <c r="Q147" t="s">
        <v>313</v>
      </c>
      <c r="R147">
        <v>0.48171000000000003</v>
      </c>
      <c r="T147" t="s">
        <v>313</v>
      </c>
      <c r="U147" s="5">
        <v>3740</v>
      </c>
      <c r="V147">
        <v>13.7</v>
      </c>
      <c r="W147">
        <v>147</v>
      </c>
      <c r="X147">
        <v>0.80025125628140703</v>
      </c>
      <c r="Y147">
        <v>147</v>
      </c>
      <c r="Z147">
        <v>0.80025125628140703</v>
      </c>
      <c r="AB147" t="str">
        <f t="shared" si="2"/>
        <v>Timor-Leste</v>
      </c>
    </row>
    <row r="148" spans="1:28" x14ac:dyDescent="0.2">
      <c r="A148" t="str">
        <f>IF(E148&gt;1, TII_VH!B148, "")</f>
        <v>Honduras</v>
      </c>
      <c r="B148" t="s">
        <v>308</v>
      </c>
      <c r="C148">
        <v>0.47992000000000001</v>
      </c>
      <c r="D148">
        <f>INDEX($U$2:$U$194, MATCH(TII_VH!B148,$T$2:$T$194,0))</f>
        <v>6500</v>
      </c>
      <c r="E148">
        <f>INDEX($V$2:$V$194, MATCH(TII_VH!B148,$T$2:$T$194,0))</f>
        <v>10.3</v>
      </c>
      <c r="F148">
        <f>INDEX($O$2:$O$194, MATCH(TII_VH!B148,$N$2:$N$194,0))</f>
        <v>0.51817999999999997</v>
      </c>
      <c r="H148" t="s">
        <v>238</v>
      </c>
      <c r="I148">
        <v>0.24660000000000001</v>
      </c>
      <c r="K148" t="s">
        <v>287</v>
      </c>
      <c r="L148">
        <v>0.35755999999999999</v>
      </c>
      <c r="N148" t="s">
        <v>300</v>
      </c>
      <c r="O148">
        <v>0.50812000000000002</v>
      </c>
      <c r="Q148" t="s">
        <v>308</v>
      </c>
      <c r="R148">
        <v>0.47992000000000001</v>
      </c>
      <c r="T148" t="s">
        <v>315</v>
      </c>
      <c r="U148" s="5">
        <v>2530</v>
      </c>
      <c r="V148">
        <v>0.1</v>
      </c>
      <c r="W148">
        <v>148</v>
      </c>
      <c r="X148">
        <v>0.80402010050251249</v>
      </c>
      <c r="Y148">
        <v>148</v>
      </c>
      <c r="Z148">
        <v>0.80402010050251249</v>
      </c>
      <c r="AB148" t="str">
        <f t="shared" si="2"/>
        <v>Myanmar</v>
      </c>
    </row>
    <row r="149" spans="1:28" x14ac:dyDescent="0.2">
      <c r="A149" t="str">
        <f>IF(E149&gt;1, TII_VH!B149, "")</f>
        <v/>
      </c>
      <c r="B149" t="s">
        <v>293</v>
      </c>
      <c r="C149">
        <v>0.47841</v>
      </c>
      <c r="E149">
        <f>INDEX($V$2:$V$194, MATCH(TII_VH!B149,$T$2:$T$194,0))</f>
        <v>0.1</v>
      </c>
      <c r="F149">
        <f>INDEX($O$2:$O$194, MATCH(TII_VH!B149,$N$2:$N$194,0))</f>
        <v>0.74877000000000005</v>
      </c>
      <c r="H149" t="s">
        <v>321</v>
      </c>
      <c r="I149">
        <v>0.2329</v>
      </c>
      <c r="K149" t="s">
        <v>233</v>
      </c>
      <c r="L149">
        <v>0.35754000000000002</v>
      </c>
      <c r="N149" t="s">
        <v>321</v>
      </c>
      <c r="O149">
        <v>0.50612000000000001</v>
      </c>
      <c r="Q149" t="s">
        <v>293</v>
      </c>
      <c r="R149">
        <v>0.47841</v>
      </c>
      <c r="T149" t="s">
        <v>316</v>
      </c>
      <c r="U149" s="5">
        <v>14160</v>
      </c>
      <c r="V149">
        <v>44.5</v>
      </c>
      <c r="W149">
        <v>149</v>
      </c>
      <c r="X149">
        <v>0.80778894472361806</v>
      </c>
      <c r="Y149">
        <v>149</v>
      </c>
      <c r="Z149">
        <v>0.80778894472361806</v>
      </c>
      <c r="AB149" t="str">
        <f t="shared" si="2"/>
        <v>Nauru</v>
      </c>
    </row>
    <row r="150" spans="1:28" x14ac:dyDescent="0.2">
      <c r="A150" t="str">
        <f>IF(E150&gt;1, TII_VH!B150, "")</f>
        <v>Pakistan</v>
      </c>
      <c r="B150" t="s">
        <v>297</v>
      </c>
      <c r="C150">
        <v>0.47453000000000001</v>
      </c>
      <c r="D150">
        <f>INDEX($U$2:$U$194, MATCH(TII_VH!B150,$T$2:$T$194,0))</f>
        <v>5860</v>
      </c>
      <c r="E150">
        <f>INDEX($V$2:$V$194, MATCH(TII_VH!B150,$T$2:$T$194,0))</f>
        <v>235.8</v>
      </c>
      <c r="F150">
        <f>INDEX($O$2:$O$194, MATCH(TII_VH!B150,$N$2:$N$194,0))</f>
        <v>0.34995999999999999</v>
      </c>
      <c r="H150" t="s">
        <v>359</v>
      </c>
      <c r="I150">
        <v>0.2329</v>
      </c>
      <c r="K150" t="s">
        <v>282</v>
      </c>
      <c r="L150">
        <v>0.34549000000000002</v>
      </c>
      <c r="N150" t="s">
        <v>319</v>
      </c>
      <c r="O150">
        <v>0.50229000000000001</v>
      </c>
      <c r="Q150" t="s">
        <v>297</v>
      </c>
      <c r="R150">
        <v>0.47453000000000001</v>
      </c>
      <c r="T150" t="s">
        <v>317</v>
      </c>
      <c r="U150" s="5">
        <v>2150</v>
      </c>
      <c r="V150">
        <v>16</v>
      </c>
      <c r="W150">
        <v>150</v>
      </c>
      <c r="X150">
        <v>0.81155778894472363</v>
      </c>
      <c r="Y150">
        <v>150</v>
      </c>
      <c r="Z150">
        <v>0.81155778894472363</v>
      </c>
      <c r="AB150" t="str">
        <f t="shared" si="2"/>
        <v>Uganda</v>
      </c>
    </row>
    <row r="151" spans="1:28" x14ac:dyDescent="0.2">
      <c r="A151" t="str">
        <f>IF(E151&gt;1, TII_VH!B151, "")</f>
        <v/>
      </c>
      <c r="B151" t="s">
        <v>334</v>
      </c>
      <c r="C151">
        <v>0.47197</v>
      </c>
      <c r="D151">
        <f>INDEX($U$2:$U$194, MATCH(TII_VH!B151,$T$2:$T$194,0))</f>
        <v>7790</v>
      </c>
      <c r="E151">
        <f>INDEX($V$2:$V$194, MATCH(TII_VH!B151,$T$2:$T$194,0))</f>
        <v>0.01</v>
      </c>
      <c r="F151">
        <f>INDEX($O$2:$O$194, MATCH(TII_VH!B151,$N$2:$N$194,0))</f>
        <v>0.54634000000000005</v>
      </c>
      <c r="H151" t="s">
        <v>289</v>
      </c>
      <c r="I151">
        <v>0.2329</v>
      </c>
      <c r="K151" t="s">
        <v>350</v>
      </c>
      <c r="L151">
        <v>0.34194999999999998</v>
      </c>
      <c r="N151" t="s">
        <v>316</v>
      </c>
      <c r="O151">
        <v>0.49671999999999999</v>
      </c>
      <c r="Q151" t="s">
        <v>334</v>
      </c>
      <c r="R151">
        <v>0.47197</v>
      </c>
      <c r="T151" t="s">
        <v>319</v>
      </c>
      <c r="U151" s="5">
        <v>2370</v>
      </c>
      <c r="V151">
        <v>45.9</v>
      </c>
      <c r="W151">
        <v>151</v>
      </c>
      <c r="X151">
        <v>0.81532663316582921</v>
      </c>
      <c r="Y151">
        <v>151</v>
      </c>
      <c r="Z151">
        <v>0.81532663316582921</v>
      </c>
      <c r="AB151" t="str">
        <f t="shared" si="2"/>
        <v>Iraq</v>
      </c>
    </row>
    <row r="152" spans="1:28" x14ac:dyDescent="0.2">
      <c r="A152" t="str">
        <f>IF(E152&gt;1, TII_VH!B152, "")</f>
        <v>Lesotho</v>
      </c>
      <c r="B152" t="s">
        <v>333</v>
      </c>
      <c r="C152">
        <v>0.46427000000000002</v>
      </c>
      <c r="D152">
        <f>INDEX($U$2:$U$194, MATCH(TII_VH!B152,$T$2:$T$194,0))</f>
        <v>2740</v>
      </c>
      <c r="E152">
        <f>INDEX($V$2:$V$194, MATCH(TII_VH!B152,$T$2:$T$194,0))</f>
        <v>2.2000000000000002</v>
      </c>
      <c r="F152">
        <f>INDEX($O$2:$O$194, MATCH(TII_VH!B152,$N$2:$N$194,0))</f>
        <v>0.48616999999999999</v>
      </c>
      <c r="H152" t="s">
        <v>306</v>
      </c>
      <c r="I152">
        <v>0.2329</v>
      </c>
      <c r="K152" t="s">
        <v>276</v>
      </c>
      <c r="L152">
        <v>0.34055999999999997</v>
      </c>
      <c r="N152" t="s">
        <v>368</v>
      </c>
      <c r="O152">
        <v>0.49243999999999999</v>
      </c>
      <c r="Q152" t="s">
        <v>333</v>
      </c>
      <c r="R152">
        <v>0.46427000000000002</v>
      </c>
      <c r="T152" t="s">
        <v>321</v>
      </c>
      <c r="U152" s="8" t="s">
        <v>118</v>
      </c>
      <c r="V152">
        <v>0.01</v>
      </c>
      <c r="W152">
        <v>152</v>
      </c>
      <c r="X152">
        <v>0.81909547738693467</v>
      </c>
      <c r="Y152">
        <v>152</v>
      </c>
      <c r="Z152">
        <v>0.81909547738693467</v>
      </c>
      <c r="AB152" t="str">
        <f t="shared" si="2"/>
        <v>North Korea</v>
      </c>
    </row>
    <row r="153" spans="1:28" x14ac:dyDescent="0.2">
      <c r="A153" t="str">
        <f>IF(E153&gt;1, TII_VH!B153, "")</f>
        <v/>
      </c>
      <c r="B153" t="s">
        <v>305</v>
      </c>
      <c r="C153">
        <v>0.46065</v>
      </c>
      <c r="D153">
        <f>INDEX($U$2:$U$194, MATCH(TII_VH!B153,$T$2:$T$194,0))</f>
        <v>6310</v>
      </c>
      <c r="E153">
        <f>INDEX($V$2:$V$194, MATCH(TII_VH!B153,$T$2:$T$194,0))</f>
        <v>0.2</v>
      </c>
      <c r="F153">
        <f>INDEX($O$2:$O$194, MATCH(TII_VH!B153,$N$2:$N$194,0))</f>
        <v>0.64531000000000005</v>
      </c>
      <c r="H153" t="s">
        <v>332</v>
      </c>
      <c r="I153">
        <v>0.21920000000000001</v>
      </c>
      <c r="K153" t="s">
        <v>353</v>
      </c>
      <c r="L153">
        <v>0.3392</v>
      </c>
      <c r="N153" t="s">
        <v>333</v>
      </c>
      <c r="O153">
        <v>0.48616999999999999</v>
      </c>
      <c r="Q153" t="s">
        <v>305</v>
      </c>
      <c r="R153">
        <v>0.46065</v>
      </c>
      <c r="T153" t="s">
        <v>299</v>
      </c>
      <c r="U153" s="5">
        <v>12122</v>
      </c>
      <c r="V153">
        <v>7.5</v>
      </c>
      <c r="W153">
        <v>153</v>
      </c>
      <c r="X153">
        <v>0.82286432160804024</v>
      </c>
      <c r="Y153">
        <v>153</v>
      </c>
      <c r="Z153">
        <v>0.82286432160804024</v>
      </c>
      <c r="AB153" t="str">
        <f t="shared" si="2"/>
        <v>Lesotho</v>
      </c>
    </row>
    <row r="154" spans="1:28" x14ac:dyDescent="0.2">
      <c r="A154" t="str">
        <f>IF(E154&gt;1, TII_VH!B154, "")</f>
        <v>Mali</v>
      </c>
      <c r="B154" t="s">
        <v>355</v>
      </c>
      <c r="C154">
        <v>0.44323000000000001</v>
      </c>
      <c r="D154">
        <f>INDEX($U$2:$U$194, MATCH(TII_VH!B154,$T$2:$T$194,0))</f>
        <v>2540</v>
      </c>
      <c r="E154">
        <f>INDEX($V$2:$V$194, MATCH(TII_VH!B154,$T$2:$T$194,0))</f>
        <v>23.3</v>
      </c>
      <c r="F154">
        <f>INDEX($O$2:$O$194, MATCH(TII_VH!B154,$N$2:$N$194,0))</f>
        <v>0.12497999999999999</v>
      </c>
      <c r="H154" t="s">
        <v>267</v>
      </c>
      <c r="I154">
        <v>0.21920000000000001</v>
      </c>
      <c r="K154" t="s">
        <v>357</v>
      </c>
      <c r="L154">
        <v>0.33764</v>
      </c>
      <c r="N154" t="s">
        <v>240</v>
      </c>
      <c r="O154">
        <v>0.48483999999999999</v>
      </c>
      <c r="Q154" t="s">
        <v>355</v>
      </c>
      <c r="R154">
        <v>0.44323000000000001</v>
      </c>
      <c r="T154" t="s">
        <v>325</v>
      </c>
      <c r="U154" s="5">
        <v>3000</v>
      </c>
      <c r="V154">
        <v>63.6</v>
      </c>
      <c r="W154">
        <v>154</v>
      </c>
      <c r="X154">
        <v>0.8266331658291457</v>
      </c>
      <c r="Y154">
        <v>154</v>
      </c>
      <c r="Z154">
        <v>0.8266331658291457</v>
      </c>
      <c r="AB154" t="str">
        <f t="shared" si="2"/>
        <v>Côte d'Ivoire</v>
      </c>
    </row>
    <row r="155" spans="1:28" x14ac:dyDescent="0.2">
      <c r="A155" t="str">
        <f>IF(E155&gt;1, TII_VH!B155, "")</f>
        <v>Syria</v>
      </c>
      <c r="B155" t="s">
        <v>328</v>
      </c>
      <c r="C155">
        <v>0.44256000000000001</v>
      </c>
      <c r="D155">
        <f>INDEX($U$2:$U$194, MATCH(TII_VH!B155,$T$2:$T$194,0))</f>
        <v>4610</v>
      </c>
      <c r="E155">
        <f>INDEX($V$2:$V$194, MATCH(TII_VH!B155,$T$2:$T$194,0))</f>
        <v>22.1</v>
      </c>
      <c r="F155">
        <f>INDEX($O$2:$O$194, MATCH(TII_VH!B155,$N$2:$N$194,0))</f>
        <v>0.41688999999999998</v>
      </c>
      <c r="H155" t="s">
        <v>357</v>
      </c>
      <c r="I155">
        <v>0.21920000000000001</v>
      </c>
      <c r="K155" t="s">
        <v>355</v>
      </c>
      <c r="L155">
        <v>0.33339999999999997</v>
      </c>
      <c r="N155" t="s">
        <v>272</v>
      </c>
      <c r="O155">
        <v>0.4834</v>
      </c>
      <c r="Q155" t="s">
        <v>328</v>
      </c>
      <c r="R155">
        <v>0.44256000000000001</v>
      </c>
      <c r="T155" t="s">
        <v>327</v>
      </c>
      <c r="U155" s="5">
        <v>4170</v>
      </c>
      <c r="V155">
        <v>0.2</v>
      </c>
      <c r="W155">
        <v>155</v>
      </c>
      <c r="X155">
        <v>0.83040201005025127</v>
      </c>
      <c r="Y155">
        <v>155</v>
      </c>
      <c r="Z155">
        <v>0.83040201005025127</v>
      </c>
      <c r="AB155" t="str">
        <f t="shared" si="2"/>
        <v>Guatemala</v>
      </c>
    </row>
    <row r="156" spans="1:28" x14ac:dyDescent="0.2">
      <c r="A156" t="str">
        <f>IF(E156&gt;1, TII_VH!B156, "")</f>
        <v>Sudan</v>
      </c>
      <c r="B156" t="s">
        <v>363</v>
      </c>
      <c r="C156">
        <v>0.43922</v>
      </c>
      <c r="D156">
        <f>INDEX($U$2:$U$194, MATCH(TII_VH!B156,$T$2:$T$194,0))</f>
        <v>3870</v>
      </c>
      <c r="E156">
        <f>INDEX($V$2:$V$194, MATCH(TII_VH!B156,$T$2:$T$194,0))</f>
        <v>48.1</v>
      </c>
      <c r="F156">
        <f>INDEX($O$2:$O$194, MATCH(TII_VH!B156,$N$2:$N$194,0))</f>
        <v>0.25931999999999999</v>
      </c>
      <c r="H156" t="s">
        <v>371</v>
      </c>
      <c r="I156">
        <v>0.21920000000000001</v>
      </c>
      <c r="K156" t="s">
        <v>261</v>
      </c>
      <c r="L156">
        <v>0.33200000000000002</v>
      </c>
      <c r="N156" t="s">
        <v>339</v>
      </c>
      <c r="O156">
        <v>0.48133999999999999</v>
      </c>
      <c r="Q156" t="s">
        <v>363</v>
      </c>
      <c r="R156">
        <v>0.43922</v>
      </c>
      <c r="T156" t="s">
        <v>329</v>
      </c>
      <c r="U156" s="5">
        <v>4090</v>
      </c>
      <c r="V156">
        <v>27.2</v>
      </c>
      <c r="W156">
        <v>156</v>
      </c>
      <c r="X156">
        <v>0.83417085427135684</v>
      </c>
      <c r="Y156">
        <v>156</v>
      </c>
      <c r="Z156">
        <v>0.83417085427135684</v>
      </c>
      <c r="AB156" t="str">
        <f t="shared" si="2"/>
        <v>Togo</v>
      </c>
    </row>
    <row r="157" spans="1:28" x14ac:dyDescent="0.2">
      <c r="A157" t="str">
        <f>IF(E157&gt;1, TII_VH!B157, "")</f>
        <v>Guinea</v>
      </c>
      <c r="B157" t="s">
        <v>338</v>
      </c>
      <c r="C157">
        <v>0.43230000000000002</v>
      </c>
      <c r="D157">
        <f>INDEX($U$2:$U$194, MATCH(TII_VH!B157,$T$2:$T$194,0))</f>
        <v>3000</v>
      </c>
      <c r="E157">
        <f>INDEX($V$2:$V$194, MATCH(TII_VH!B157,$T$2:$T$194,0))</f>
        <v>13.5</v>
      </c>
      <c r="F157">
        <f>INDEX($O$2:$O$194, MATCH(TII_VH!B157,$N$2:$N$194,0))</f>
        <v>0.28867999999999999</v>
      </c>
      <c r="H157" t="s">
        <v>352</v>
      </c>
      <c r="I157">
        <v>0.21920000000000001</v>
      </c>
      <c r="K157" t="s">
        <v>299</v>
      </c>
      <c r="L157">
        <v>0.32647999999999999</v>
      </c>
      <c r="N157" t="s">
        <v>332</v>
      </c>
      <c r="O157">
        <v>0.47602</v>
      </c>
      <c r="Q157" t="s">
        <v>338</v>
      </c>
      <c r="R157">
        <v>0.43230000000000002</v>
      </c>
      <c r="T157" t="s">
        <v>332</v>
      </c>
      <c r="U157" s="5">
        <v>6090</v>
      </c>
      <c r="V157">
        <v>35.6</v>
      </c>
      <c r="W157">
        <v>157</v>
      </c>
      <c r="X157">
        <v>0.8379396984924623</v>
      </c>
      <c r="Y157">
        <v>157</v>
      </c>
      <c r="Z157">
        <v>0.8379396984924623</v>
      </c>
      <c r="AB157" t="str">
        <f t="shared" si="2"/>
        <v>Angola</v>
      </c>
    </row>
    <row r="158" spans="1:28" x14ac:dyDescent="0.2">
      <c r="A158" t="str">
        <f>IF(E158&gt;1, TII_VH!B158, "")</f>
        <v>Zimbabwe</v>
      </c>
      <c r="B158" t="s">
        <v>317</v>
      </c>
      <c r="C158">
        <v>0.39471000000000001</v>
      </c>
      <c r="D158">
        <f>INDEX($U$2:$U$194, MATCH(TII_VH!B158,$T$2:$T$194,0))</f>
        <v>2150</v>
      </c>
      <c r="E158">
        <f>INDEX($V$2:$V$194, MATCH(TII_VH!B158,$T$2:$T$194,0))</f>
        <v>16</v>
      </c>
      <c r="F158">
        <f>INDEX($O$2:$O$194, MATCH(TII_VH!B158,$N$2:$N$194,0))</f>
        <v>0.53949999999999998</v>
      </c>
      <c r="H158" t="s">
        <v>282</v>
      </c>
      <c r="I158">
        <v>0.21920000000000001</v>
      </c>
      <c r="K158" t="s">
        <v>300</v>
      </c>
      <c r="L158">
        <v>0.32594000000000001</v>
      </c>
      <c r="N158" t="s">
        <v>341</v>
      </c>
      <c r="O158">
        <v>0.47493000000000002</v>
      </c>
      <c r="Q158" t="s">
        <v>317</v>
      </c>
      <c r="R158">
        <v>0.39471000000000001</v>
      </c>
      <c r="T158" t="s">
        <v>333</v>
      </c>
      <c r="U158" s="5">
        <v>2740</v>
      </c>
      <c r="V158">
        <v>2.2000000000000002</v>
      </c>
      <c r="W158">
        <v>158</v>
      </c>
      <c r="X158">
        <v>0.84170854271356776</v>
      </c>
      <c r="Y158">
        <v>158</v>
      </c>
      <c r="Z158">
        <v>0.84170854271356776</v>
      </c>
      <c r="AB158" t="str">
        <f t="shared" si="2"/>
        <v>Malawi</v>
      </c>
    </row>
    <row r="159" spans="1:28" x14ac:dyDescent="0.2">
      <c r="A159" t="str">
        <f>IF(E159&gt;1, TII_VH!B159, "")</f>
        <v>Gambia</v>
      </c>
      <c r="B159" t="s">
        <v>367</v>
      </c>
      <c r="C159">
        <v>0.38766</v>
      </c>
      <c r="D159">
        <f>INDEX($U$2:$U$194, MATCH(TII_VH!B159,$T$2:$T$194,0))</f>
        <v>2280</v>
      </c>
      <c r="E159">
        <f>INDEX($V$2:$V$194, MATCH(TII_VH!B159,$T$2:$T$194,0))</f>
        <v>2.8</v>
      </c>
      <c r="F159">
        <f>INDEX($O$2:$O$194, MATCH(TII_VH!B159,$N$2:$N$194,0))</f>
        <v>0.28231000000000001</v>
      </c>
      <c r="H159" t="s">
        <v>287</v>
      </c>
      <c r="I159">
        <v>0.21920000000000001</v>
      </c>
      <c r="K159" t="s">
        <v>290</v>
      </c>
      <c r="L159">
        <v>0.32291999999999998</v>
      </c>
      <c r="N159" t="s">
        <v>345</v>
      </c>
      <c r="O159">
        <v>0.46375</v>
      </c>
      <c r="Q159" t="s">
        <v>367</v>
      </c>
      <c r="R159">
        <v>0.38766</v>
      </c>
      <c r="T159" t="s">
        <v>334</v>
      </c>
      <c r="U159" s="8">
        <v>7790</v>
      </c>
      <c r="V159">
        <v>0.01</v>
      </c>
      <c r="W159">
        <v>159</v>
      </c>
      <c r="X159">
        <v>0.84547738693467334</v>
      </c>
      <c r="Y159">
        <v>159</v>
      </c>
      <c r="Z159">
        <v>0.84547738693467334</v>
      </c>
      <c r="AB159" t="str">
        <f t="shared" si="2"/>
        <v>Congo</v>
      </c>
    </row>
    <row r="160" spans="1:28" x14ac:dyDescent="0.2">
      <c r="A160" t="str">
        <f>IF(E160&gt;1, TII_VH!B160, "")</f>
        <v>Djibouti</v>
      </c>
      <c r="B160" t="s">
        <v>356</v>
      </c>
      <c r="C160">
        <v>0.38401999999999997</v>
      </c>
      <c r="D160">
        <f>INDEX($U$2:$U$194, MATCH(TII_VH!B160,$T$2:$T$194,0))</f>
        <v>4900</v>
      </c>
      <c r="E160">
        <f>INDEX($V$2:$V$194, MATCH(TII_VH!B160,$T$2:$T$194,0))</f>
        <v>1.1000000000000001</v>
      </c>
      <c r="F160">
        <f>INDEX($O$2:$O$194, MATCH(TII_VH!B160,$N$2:$N$194,0))</f>
        <v>0.27995999999999999</v>
      </c>
      <c r="H160" t="s">
        <v>333</v>
      </c>
      <c r="I160">
        <v>0.20549999999999999</v>
      </c>
      <c r="K160" t="s">
        <v>293</v>
      </c>
      <c r="L160">
        <v>0.32203999999999999</v>
      </c>
      <c r="N160" t="s">
        <v>299</v>
      </c>
      <c r="O160">
        <v>0.46084000000000003</v>
      </c>
      <c r="Q160" t="s">
        <v>356</v>
      </c>
      <c r="R160">
        <v>0.38401999999999997</v>
      </c>
      <c r="T160" t="s">
        <v>276</v>
      </c>
      <c r="U160" s="5">
        <v>4170</v>
      </c>
      <c r="V160">
        <v>1.3</v>
      </c>
      <c r="W160">
        <v>160</v>
      </c>
      <c r="X160">
        <v>0.84924623115577891</v>
      </c>
      <c r="Y160">
        <v>160</v>
      </c>
      <c r="Z160">
        <v>0.84924623115577891</v>
      </c>
      <c r="AB160" t="str">
        <f t="shared" si="2"/>
        <v>Laos</v>
      </c>
    </row>
    <row r="161" spans="1:28" x14ac:dyDescent="0.2">
      <c r="A161" t="str">
        <f>IF(E161&gt;1, TII_VH!B161, "")</f>
        <v>Tanzania</v>
      </c>
      <c r="B161" t="s">
        <v>325</v>
      </c>
      <c r="C161">
        <v>0.37920999999999999</v>
      </c>
      <c r="D161">
        <f>INDEX($U$2:$U$194, MATCH(TII_VH!B161,$T$2:$T$194,0))</f>
        <v>3000</v>
      </c>
      <c r="E161">
        <f>INDEX($V$2:$V$194, MATCH(TII_VH!B161,$T$2:$T$194,0))</f>
        <v>63.6</v>
      </c>
      <c r="F161">
        <f>INDEX($O$2:$O$194, MATCH(TII_VH!B161,$N$2:$N$194,0))</f>
        <v>0.43986999999999998</v>
      </c>
      <c r="H161" t="s">
        <v>361</v>
      </c>
      <c r="I161">
        <v>0.20549999999999999</v>
      </c>
      <c r="K161" t="s">
        <v>270</v>
      </c>
      <c r="L161">
        <v>0.31874999999999998</v>
      </c>
      <c r="N161" t="s">
        <v>365</v>
      </c>
      <c r="O161">
        <v>0.44867000000000001</v>
      </c>
      <c r="Q161" t="s">
        <v>325</v>
      </c>
      <c r="R161">
        <v>0.37920999999999999</v>
      </c>
      <c r="T161" t="s">
        <v>338</v>
      </c>
      <c r="U161" s="5">
        <v>3000</v>
      </c>
      <c r="V161">
        <v>13.5</v>
      </c>
      <c r="W161">
        <v>161</v>
      </c>
      <c r="X161">
        <v>0.85301507537688448</v>
      </c>
      <c r="Y161">
        <v>161</v>
      </c>
      <c r="Z161">
        <v>0.85301507537688448</v>
      </c>
      <c r="AB161" t="str">
        <f t="shared" si="2"/>
        <v>Democratic Republic of the Congo</v>
      </c>
    </row>
    <row r="162" spans="1:28" x14ac:dyDescent="0.2">
      <c r="A162" t="str">
        <f>IF(E162&gt;1, TII_VH!B162, "")</f>
        <v>Angola</v>
      </c>
      <c r="B162" t="s">
        <v>332</v>
      </c>
      <c r="C162">
        <v>0.37237999999999999</v>
      </c>
      <c r="D162">
        <f>INDEX($U$2:$U$194, MATCH(TII_VH!B162,$T$2:$T$194,0))</f>
        <v>6090</v>
      </c>
      <c r="E162">
        <f>INDEX($V$2:$V$194, MATCH(TII_VH!B162,$T$2:$T$194,0))</f>
        <v>35.6</v>
      </c>
      <c r="F162">
        <f>INDEX($O$2:$O$194, MATCH(TII_VH!B162,$N$2:$N$194,0))</f>
        <v>0.47602</v>
      </c>
      <c r="H162" t="s">
        <v>374</v>
      </c>
      <c r="I162">
        <v>0.20549999999999999</v>
      </c>
      <c r="K162" t="s">
        <v>371</v>
      </c>
      <c r="L162">
        <v>0.31459999999999999</v>
      </c>
      <c r="N162" t="s">
        <v>325</v>
      </c>
      <c r="O162">
        <v>0.43986999999999998</v>
      </c>
      <c r="Q162" t="s">
        <v>332</v>
      </c>
      <c r="R162">
        <v>0.37237999999999999</v>
      </c>
      <c r="T162" t="s">
        <v>339</v>
      </c>
      <c r="U162" s="5">
        <v>2800</v>
      </c>
      <c r="V162">
        <v>8.5</v>
      </c>
      <c r="W162">
        <v>162</v>
      </c>
      <c r="X162">
        <v>0.85678391959798994</v>
      </c>
      <c r="Y162">
        <v>162</v>
      </c>
      <c r="Z162">
        <v>0.85678391959798994</v>
      </c>
      <c r="AB162" t="str">
        <f t="shared" si="2"/>
        <v>Tanzania</v>
      </c>
    </row>
    <row r="163" spans="1:28" x14ac:dyDescent="0.2">
      <c r="A163" t="str">
        <f>IF(E163&gt;1, TII_VH!B163, "")</f>
        <v>Rwanda</v>
      </c>
      <c r="B163" t="s">
        <v>264</v>
      </c>
      <c r="C163">
        <v>0.37235000000000001</v>
      </c>
      <c r="D163">
        <f>INDEX($U$2:$U$194, MATCH(TII_VH!B163,$T$2:$T$194,0))</f>
        <v>2370</v>
      </c>
      <c r="E163">
        <f>INDEX($V$2:$V$194, MATCH(TII_VH!B163,$T$2:$T$194,0))</f>
        <v>13.5</v>
      </c>
      <c r="F163">
        <f>INDEX($O$2:$O$194, MATCH(TII_VH!B163,$N$2:$N$194,0))</f>
        <v>0.54668000000000005</v>
      </c>
      <c r="H163" t="s">
        <v>251</v>
      </c>
      <c r="I163">
        <v>0.20549999999999999</v>
      </c>
      <c r="K163" t="s">
        <v>374</v>
      </c>
      <c r="L163">
        <v>0.30839</v>
      </c>
      <c r="N163" t="s">
        <v>343</v>
      </c>
      <c r="O163">
        <v>0.42624000000000001</v>
      </c>
      <c r="Q163" t="s">
        <v>264</v>
      </c>
      <c r="R163">
        <v>0.37235000000000001</v>
      </c>
      <c r="T163" t="s">
        <v>328</v>
      </c>
      <c r="U163" s="8">
        <v>4610</v>
      </c>
      <c r="V163">
        <v>22.1</v>
      </c>
      <c r="W163">
        <v>163</v>
      </c>
      <c r="X163">
        <v>0.86055276381909551</v>
      </c>
      <c r="Y163">
        <v>163</v>
      </c>
      <c r="Z163">
        <v>0.86055276381909551</v>
      </c>
      <c r="AB163" t="str">
        <f t="shared" si="2"/>
        <v>Solomon Islands</v>
      </c>
    </row>
    <row r="164" spans="1:28" x14ac:dyDescent="0.2">
      <c r="A164" t="str">
        <f>IF(E164&gt;1, TII_VH!B164, "")</f>
        <v>Cameroon</v>
      </c>
      <c r="B164" t="s">
        <v>329</v>
      </c>
      <c r="C164">
        <v>0.37003999999999998</v>
      </c>
      <c r="D164">
        <f>INDEX($U$2:$U$194, MATCH(TII_VH!B164,$T$2:$T$194,0))</f>
        <v>4090</v>
      </c>
      <c r="E164">
        <f>INDEX($V$2:$V$194, MATCH(TII_VH!B164,$T$2:$T$194,0))</f>
        <v>27.2</v>
      </c>
      <c r="F164">
        <f>INDEX($O$2:$O$194, MATCH(TII_VH!B164,$N$2:$N$194,0))</f>
        <v>0.51924999999999999</v>
      </c>
      <c r="H164" t="s">
        <v>353</v>
      </c>
      <c r="I164">
        <v>0.1918</v>
      </c>
      <c r="K164" t="s">
        <v>328</v>
      </c>
      <c r="L164">
        <v>0.30678</v>
      </c>
      <c r="N164" t="s">
        <v>311</v>
      </c>
      <c r="O164">
        <v>0.42357</v>
      </c>
      <c r="Q164" t="s">
        <v>329</v>
      </c>
      <c r="R164">
        <v>0.37003999999999998</v>
      </c>
      <c r="T164" t="s">
        <v>341</v>
      </c>
      <c r="U164" s="5">
        <v>1500</v>
      </c>
      <c r="V164">
        <v>20</v>
      </c>
      <c r="W164">
        <v>164</v>
      </c>
      <c r="X164">
        <v>0.86432160804020097</v>
      </c>
      <c r="Y164">
        <v>164</v>
      </c>
      <c r="Z164">
        <v>0.86432160804020097</v>
      </c>
      <c r="AB164" t="str">
        <f t="shared" si="2"/>
        <v>Nigeria</v>
      </c>
    </row>
    <row r="165" spans="1:28" x14ac:dyDescent="0.2">
      <c r="A165" t="str">
        <f>IF(E165&gt;1, TII_VH!B165, "")</f>
        <v>Burkina Faso</v>
      </c>
      <c r="B165" t="s">
        <v>357</v>
      </c>
      <c r="C165">
        <v>0.36402000000000001</v>
      </c>
      <c r="D165">
        <f>INDEX($U$2:$U$194, MATCH(TII_VH!B165,$T$2:$T$194,0))</f>
        <v>2420</v>
      </c>
      <c r="E165">
        <f>INDEX($V$2:$V$194, MATCH(TII_VH!B165,$T$2:$T$194,0))</f>
        <v>23.3</v>
      </c>
      <c r="F165">
        <f>INDEX($O$2:$O$194, MATCH(TII_VH!B165,$N$2:$N$194,0))</f>
        <v>0.16677</v>
      </c>
      <c r="H165" t="s">
        <v>367</v>
      </c>
      <c r="I165">
        <v>0.17810000000000001</v>
      </c>
      <c r="K165" t="s">
        <v>251</v>
      </c>
      <c r="L165">
        <v>0.30385000000000001</v>
      </c>
      <c r="N165" t="s">
        <v>328</v>
      </c>
      <c r="O165">
        <v>0.41688999999999998</v>
      </c>
      <c r="Q165" t="s">
        <v>357</v>
      </c>
      <c r="R165">
        <v>0.36402000000000001</v>
      </c>
      <c r="T165" t="s">
        <v>343</v>
      </c>
      <c r="U165" s="5">
        <v>2700</v>
      </c>
      <c r="V165">
        <v>0.7</v>
      </c>
      <c r="W165">
        <v>165</v>
      </c>
      <c r="X165">
        <v>0.86809045226130654</v>
      </c>
      <c r="Y165">
        <v>165</v>
      </c>
      <c r="Z165">
        <v>0.86809045226130654</v>
      </c>
      <c r="AB165" t="str">
        <f t="shared" si="2"/>
        <v>Syria</v>
      </c>
    </row>
    <row r="166" spans="1:28" x14ac:dyDescent="0.2">
      <c r="A166" t="str">
        <f>IF(E166&gt;1, TII_VH!B166, "")</f>
        <v>Timor-Leste</v>
      </c>
      <c r="B166" t="s">
        <v>276</v>
      </c>
      <c r="C166">
        <v>0.35505999999999999</v>
      </c>
      <c r="D166">
        <f>INDEX($U$2:$U$194, MATCH(TII_VH!B166,$T$2:$T$194,0))</f>
        <v>4170</v>
      </c>
      <c r="E166">
        <f>INDEX($V$2:$V$194, MATCH(TII_VH!B166,$T$2:$T$194,0))</f>
        <v>1.3</v>
      </c>
      <c r="F166">
        <f>INDEX($O$2:$O$194, MATCH(TII_VH!B166,$N$2:$N$194,0))</f>
        <v>0.51036000000000004</v>
      </c>
      <c r="H166" t="s">
        <v>143</v>
      </c>
      <c r="I166">
        <v>0.17810000000000001</v>
      </c>
      <c r="K166" t="s">
        <v>377</v>
      </c>
      <c r="L166">
        <v>0.29709999999999998</v>
      </c>
      <c r="N166" t="s">
        <v>349</v>
      </c>
      <c r="O166">
        <v>0.41409000000000001</v>
      </c>
      <c r="Q166" t="s">
        <v>276</v>
      </c>
      <c r="R166">
        <v>0.35505999999999999</v>
      </c>
      <c r="T166" t="s">
        <v>344</v>
      </c>
      <c r="U166" s="5">
        <v>5860</v>
      </c>
      <c r="V166">
        <v>5</v>
      </c>
      <c r="W166">
        <v>166</v>
      </c>
      <c r="X166">
        <v>0.87185929648241212</v>
      </c>
      <c r="Y166">
        <v>166</v>
      </c>
      <c r="Z166">
        <v>0.87185929648241212</v>
      </c>
      <c r="AB166" t="str">
        <f t="shared" si="2"/>
        <v>Madagascar</v>
      </c>
    </row>
    <row r="167" spans="1:28" x14ac:dyDescent="0.2">
      <c r="A167" t="str">
        <f>IF(E167&gt;1, TII_VH!B167, "")</f>
        <v/>
      </c>
      <c r="B167" t="s">
        <v>315</v>
      </c>
      <c r="C167">
        <v>0.35437999999999997</v>
      </c>
      <c r="D167">
        <f>INDEX($U$2:$U$194, MATCH(TII_VH!B167,$T$2:$T$194,0))</f>
        <v>2530</v>
      </c>
      <c r="E167">
        <f>INDEX($V$2:$V$194, MATCH(TII_VH!B167,$T$2:$T$194,0))</f>
        <v>0.1</v>
      </c>
      <c r="F167">
        <f>INDEX($O$2:$O$194, MATCH(TII_VH!B167,$N$2:$N$194,0))</f>
        <v>0.62690000000000001</v>
      </c>
      <c r="H167" t="s">
        <v>369</v>
      </c>
      <c r="I167">
        <v>0.16439999999999999</v>
      </c>
      <c r="K167" t="s">
        <v>333</v>
      </c>
      <c r="L167">
        <v>0.28637000000000001</v>
      </c>
      <c r="N167" t="s">
        <v>359</v>
      </c>
      <c r="O167">
        <v>0.41021000000000002</v>
      </c>
      <c r="Q167" t="s">
        <v>315</v>
      </c>
      <c r="R167">
        <v>0.35437999999999997</v>
      </c>
      <c r="T167" t="s">
        <v>345</v>
      </c>
      <c r="U167" s="5">
        <v>4170</v>
      </c>
      <c r="V167">
        <v>5.8</v>
      </c>
      <c r="W167">
        <v>167</v>
      </c>
      <c r="X167">
        <v>0.87562814070351758</v>
      </c>
      <c r="Y167">
        <v>167</v>
      </c>
      <c r="Z167">
        <v>0.87562814070351758</v>
      </c>
      <c r="AB167" t="str">
        <f t="shared" si="2"/>
        <v>Equatorial Guinea</v>
      </c>
    </row>
    <row r="168" spans="1:28" x14ac:dyDescent="0.2">
      <c r="A168" t="str">
        <f>IF(E168&gt;1, TII_VH!B168, "")</f>
        <v/>
      </c>
      <c r="B168" t="s">
        <v>366</v>
      </c>
      <c r="C168">
        <v>0.35367999999999999</v>
      </c>
      <c r="D168">
        <f>INDEX($U$2:$U$194, MATCH(TII_VH!B168,$T$2:$T$194,0))</f>
        <v>3620</v>
      </c>
      <c r="E168">
        <f>INDEX($V$2:$V$194, MATCH(TII_VH!B168,$T$2:$T$194,0))</f>
        <v>0.9</v>
      </c>
      <c r="F168">
        <f>INDEX($O$2:$O$194, MATCH(TII_VH!B168,$N$2:$N$194,0))</f>
        <v>0.39916000000000001</v>
      </c>
      <c r="H168" t="s">
        <v>300</v>
      </c>
      <c r="I168">
        <v>0.16439999999999999</v>
      </c>
      <c r="K168" t="s">
        <v>298</v>
      </c>
      <c r="L168">
        <v>0.27866999999999997</v>
      </c>
      <c r="N168" t="s">
        <v>366</v>
      </c>
      <c r="O168">
        <v>0.39916000000000001</v>
      </c>
      <c r="Q168" t="s">
        <v>366</v>
      </c>
      <c r="R168">
        <v>0.35367999999999999</v>
      </c>
      <c r="T168" t="s">
        <v>347</v>
      </c>
      <c r="U168" s="5">
        <v>3740</v>
      </c>
      <c r="V168">
        <v>0.1</v>
      </c>
      <c r="W168">
        <v>168</v>
      </c>
      <c r="X168">
        <v>0.87939698492462304</v>
      </c>
      <c r="Y168">
        <v>168</v>
      </c>
      <c r="Z168">
        <v>0.87939698492462304</v>
      </c>
      <c r="AB168" t="str">
        <f t="shared" si="2"/>
        <v>Comoros</v>
      </c>
    </row>
    <row r="169" spans="1:28" x14ac:dyDescent="0.2">
      <c r="A169" t="str">
        <f>IF(E169&gt;1, TII_VH!B169, "")</f>
        <v/>
      </c>
      <c r="B169" t="s">
        <v>309</v>
      </c>
      <c r="C169">
        <v>0.30473</v>
      </c>
      <c r="D169">
        <f>INDEX($U$2:$U$194, MATCH(TII_VH!B169,$T$2:$T$194,0))</f>
        <v>6310</v>
      </c>
      <c r="E169">
        <f>INDEX($V$2:$V$194, MATCH(TII_VH!B169,$T$2:$T$194,0))</f>
        <v>0.06</v>
      </c>
      <c r="F169">
        <f>INDEX($O$2:$O$194, MATCH(TII_VH!B169,$N$2:$N$194,0))</f>
        <v>0.78356000000000003</v>
      </c>
      <c r="H169" t="s">
        <v>350</v>
      </c>
      <c r="I169">
        <v>0.16439999999999999</v>
      </c>
      <c r="K169" t="s">
        <v>345</v>
      </c>
      <c r="L169">
        <v>0.27604000000000001</v>
      </c>
      <c r="N169" t="s">
        <v>353</v>
      </c>
      <c r="O169">
        <v>0.39838000000000001</v>
      </c>
      <c r="Q169" t="s">
        <v>309</v>
      </c>
      <c r="R169">
        <v>0.30473</v>
      </c>
      <c r="T169" t="s">
        <v>349</v>
      </c>
      <c r="U169" s="5">
        <v>1600</v>
      </c>
      <c r="V169">
        <v>29.1</v>
      </c>
      <c r="W169">
        <v>169</v>
      </c>
      <c r="X169">
        <v>0.88316582914572861</v>
      </c>
      <c r="Y169">
        <v>169</v>
      </c>
      <c r="Z169">
        <v>0.88316582914572861</v>
      </c>
      <c r="AB169" t="str">
        <f t="shared" si="2"/>
        <v>P.N.G.</v>
      </c>
    </row>
    <row r="170" spans="1:28" x14ac:dyDescent="0.2">
      <c r="A170" t="str">
        <f>IF(E170&gt;1, TII_VH!B170, "")</f>
        <v>Yemen</v>
      </c>
      <c r="B170" t="s">
        <v>372</v>
      </c>
      <c r="C170">
        <v>0.29044999999999999</v>
      </c>
      <c r="D170">
        <f>INDEX($U$2:$U$194, MATCH(TII_VH!B170,$T$2:$T$194,0))</f>
        <v>1840</v>
      </c>
      <c r="E170">
        <f>INDEX($V$2:$V$194, MATCH(TII_VH!B170,$T$2:$T$194,0))</f>
        <v>34.4</v>
      </c>
      <c r="F170">
        <f>INDEX($O$2:$O$194, MATCH(TII_VH!B170,$N$2:$N$194,0))</f>
        <v>0.26704</v>
      </c>
      <c r="H170" t="s">
        <v>327</v>
      </c>
      <c r="I170">
        <v>0.16439999999999999</v>
      </c>
      <c r="K170" t="s">
        <v>375</v>
      </c>
      <c r="L170">
        <v>0.26738000000000001</v>
      </c>
      <c r="N170" t="s">
        <v>371</v>
      </c>
      <c r="O170">
        <v>0.39655000000000001</v>
      </c>
      <c r="Q170" t="s">
        <v>372</v>
      </c>
      <c r="R170">
        <v>0.29044999999999999</v>
      </c>
      <c r="T170" t="s">
        <v>350</v>
      </c>
      <c r="U170" s="5">
        <v>2370</v>
      </c>
      <c r="V170">
        <v>123.4</v>
      </c>
      <c r="W170">
        <v>170</v>
      </c>
      <c r="X170">
        <v>0.88693467336683418</v>
      </c>
      <c r="Y170">
        <v>170</v>
      </c>
      <c r="Z170">
        <v>0.88693467336683418</v>
      </c>
      <c r="AB170" t="str">
        <f t="shared" si="2"/>
        <v>Burundi</v>
      </c>
    </row>
    <row r="171" spans="1:28" x14ac:dyDescent="0.2">
      <c r="A171" t="str">
        <f>IF(E171&gt;1, TII_VH!B171, "")</f>
        <v>Congo</v>
      </c>
      <c r="B171" t="s">
        <v>345</v>
      </c>
      <c r="C171">
        <v>0.27757999999999999</v>
      </c>
      <c r="D171">
        <f>INDEX($U$2:$U$194, MATCH(TII_VH!B171,$T$2:$T$194,0))</f>
        <v>4170</v>
      </c>
      <c r="E171">
        <f>INDEX($V$2:$V$194, MATCH(TII_VH!B171,$T$2:$T$194,0))</f>
        <v>5.8</v>
      </c>
      <c r="F171">
        <f>INDEX($O$2:$O$194, MATCH(TII_VH!B171,$N$2:$N$194,0))</f>
        <v>0.46375</v>
      </c>
      <c r="H171" t="s">
        <v>193</v>
      </c>
      <c r="I171">
        <v>0.1507</v>
      </c>
      <c r="K171" t="s">
        <v>369</v>
      </c>
      <c r="L171">
        <v>0.26334999999999997</v>
      </c>
      <c r="N171" t="s">
        <v>361</v>
      </c>
      <c r="O171">
        <v>0.39518999999999999</v>
      </c>
      <c r="Q171" t="s">
        <v>345</v>
      </c>
      <c r="R171">
        <v>0.27757999999999999</v>
      </c>
      <c r="T171" t="s">
        <v>352</v>
      </c>
      <c r="U171" s="5">
        <v>2370</v>
      </c>
      <c r="V171">
        <v>2.1</v>
      </c>
      <c r="W171">
        <v>171</v>
      </c>
      <c r="X171">
        <v>0.89070351758793975</v>
      </c>
      <c r="Y171">
        <v>171</v>
      </c>
      <c r="Z171">
        <v>0.89070351758793975</v>
      </c>
      <c r="AB171" t="str">
        <f t="shared" si="2"/>
        <v>Mozambique</v>
      </c>
    </row>
    <row r="172" spans="1:28" x14ac:dyDescent="0.2">
      <c r="A172" t="str">
        <f>IF(E172&gt;1, TII_VH!B172, "")</f>
        <v>Ethiopia</v>
      </c>
      <c r="B172" t="s">
        <v>350</v>
      </c>
      <c r="C172">
        <v>0.26591999999999999</v>
      </c>
      <c r="D172">
        <f>INDEX($U$2:$U$194, MATCH(TII_VH!B172,$T$2:$T$194,0))</f>
        <v>2370</v>
      </c>
      <c r="E172">
        <f>INDEX($V$2:$V$194, MATCH(TII_VH!B172,$T$2:$T$194,0))</f>
        <v>123.4</v>
      </c>
      <c r="F172">
        <f>INDEX($O$2:$O$194, MATCH(TII_VH!B172,$N$2:$N$194,0))</f>
        <v>0.32536999999999999</v>
      </c>
      <c r="H172" t="s">
        <v>372</v>
      </c>
      <c r="I172">
        <v>0.1507</v>
      </c>
      <c r="K172" t="s">
        <v>347</v>
      </c>
      <c r="L172">
        <v>0.26211000000000001</v>
      </c>
      <c r="N172" t="s">
        <v>313</v>
      </c>
      <c r="O172">
        <v>0.37146000000000001</v>
      </c>
      <c r="Q172" t="s">
        <v>350</v>
      </c>
      <c r="R172">
        <v>0.26591999999999999</v>
      </c>
      <c r="T172" t="s">
        <v>353</v>
      </c>
      <c r="U172" s="5">
        <v>4230</v>
      </c>
      <c r="V172">
        <v>10.9</v>
      </c>
      <c r="W172">
        <v>172</v>
      </c>
      <c r="X172">
        <v>0.89447236180904521</v>
      </c>
      <c r="Y172">
        <v>172</v>
      </c>
      <c r="Z172">
        <v>0.89447236180904521</v>
      </c>
      <c r="AB172" t="str">
        <f t="shared" si="2"/>
        <v>Benin</v>
      </c>
    </row>
    <row r="173" spans="1:28" x14ac:dyDescent="0.2">
      <c r="A173" t="str">
        <f>IF(E173&gt;1, TII_VH!B173, "")</f>
        <v>Sierra Leone</v>
      </c>
      <c r="B173" t="s">
        <v>354</v>
      </c>
      <c r="C173">
        <v>0.25851000000000002</v>
      </c>
      <c r="D173">
        <f>INDEX($U$2:$U$194, MATCH(TII_VH!B173,$T$2:$T$194,0))</f>
        <v>1660</v>
      </c>
      <c r="E173">
        <f>INDEX($V$2:$V$194, MATCH(TII_VH!B173,$T$2:$T$194,0))</f>
        <v>8.6999999999999993</v>
      </c>
      <c r="F173">
        <f>INDEX($O$2:$O$194, MATCH(TII_VH!B173,$N$2:$N$194,0))</f>
        <v>0.27184999999999998</v>
      </c>
      <c r="H173" t="s">
        <v>347</v>
      </c>
      <c r="I173">
        <v>0.13700000000000001</v>
      </c>
      <c r="K173" t="s">
        <v>312</v>
      </c>
      <c r="L173">
        <v>0.25063999999999997</v>
      </c>
      <c r="N173" t="s">
        <v>369</v>
      </c>
      <c r="O173">
        <v>0.3669</v>
      </c>
      <c r="Q173" t="s">
        <v>354</v>
      </c>
      <c r="R173">
        <v>0.25851000000000002</v>
      </c>
      <c r="T173" t="s">
        <v>354</v>
      </c>
      <c r="U173" s="5">
        <v>1660</v>
      </c>
      <c r="V173">
        <v>8.6999999999999993</v>
      </c>
      <c r="W173">
        <v>173</v>
      </c>
      <c r="X173">
        <v>0.89824120603015079</v>
      </c>
      <c r="Y173">
        <v>173</v>
      </c>
      <c r="Z173">
        <v>0.89824120603015079</v>
      </c>
      <c r="AB173" t="str">
        <f t="shared" si="2"/>
        <v>Liberia</v>
      </c>
    </row>
    <row r="174" spans="1:28" x14ac:dyDescent="0.2">
      <c r="A174" t="str">
        <f>IF(E174&gt;1, TII_VH!B174, "")</f>
        <v>Equatorial Guinea</v>
      </c>
      <c r="B174" t="s">
        <v>359</v>
      </c>
      <c r="C174">
        <v>0.25319999999999998</v>
      </c>
      <c r="E174">
        <f>INDEX($V$2:$V$194, MATCH(TII_VH!B174,$T$2:$T$194,0))</f>
        <v>1.7</v>
      </c>
      <c r="F174">
        <f>INDEX($O$2:$O$194, MATCH(TII_VH!B174,$N$2:$N$194,0))</f>
        <v>0.41021000000000002</v>
      </c>
      <c r="H174" t="s">
        <v>290</v>
      </c>
      <c r="I174">
        <v>0.13700000000000001</v>
      </c>
      <c r="K174" t="s">
        <v>321</v>
      </c>
      <c r="L174">
        <v>0.24387</v>
      </c>
      <c r="N174" t="s">
        <v>297</v>
      </c>
      <c r="O174">
        <v>0.34995999999999999</v>
      </c>
      <c r="Q174" t="s">
        <v>359</v>
      </c>
      <c r="R174">
        <v>0.25319999999999998</v>
      </c>
      <c r="T174" t="s">
        <v>355</v>
      </c>
      <c r="U174" s="5">
        <v>2540</v>
      </c>
      <c r="V174">
        <v>23.3</v>
      </c>
      <c r="W174">
        <v>174</v>
      </c>
      <c r="X174">
        <v>0.90201005025125625</v>
      </c>
      <c r="Y174">
        <v>174</v>
      </c>
      <c r="Z174">
        <v>0.90201005025125625</v>
      </c>
      <c r="AB174" t="str">
        <f t="shared" si="2"/>
        <v>Pakistan</v>
      </c>
    </row>
    <row r="175" spans="1:28" x14ac:dyDescent="0.2">
      <c r="A175" t="str">
        <f>IF(E175&gt;1, TII_VH!B175, "")</f>
        <v>Togo</v>
      </c>
      <c r="B175" t="s">
        <v>339</v>
      </c>
      <c r="C175">
        <v>0.24736</v>
      </c>
      <c r="D175">
        <f>INDEX($U$2:$U$194, MATCH(TII_VH!B175,$T$2:$T$194,0))</f>
        <v>2800</v>
      </c>
      <c r="E175">
        <f>INDEX($V$2:$V$194, MATCH(TII_VH!B175,$T$2:$T$194,0))</f>
        <v>8.5</v>
      </c>
      <c r="F175">
        <f>INDEX($O$2:$O$194, MATCH(TII_VH!B175,$N$2:$N$194,0))</f>
        <v>0.48133999999999999</v>
      </c>
      <c r="H175" t="s">
        <v>344</v>
      </c>
      <c r="I175">
        <v>0.12330000000000001</v>
      </c>
      <c r="K175" t="s">
        <v>303</v>
      </c>
      <c r="L175">
        <v>0.22982</v>
      </c>
      <c r="N175" t="s">
        <v>295</v>
      </c>
      <c r="O175">
        <v>0.33804000000000001</v>
      </c>
      <c r="Q175" t="s">
        <v>339</v>
      </c>
      <c r="R175">
        <v>0.24736</v>
      </c>
      <c r="T175" t="s">
        <v>356</v>
      </c>
      <c r="U175" s="5">
        <v>4900</v>
      </c>
      <c r="V175">
        <v>1.1000000000000001</v>
      </c>
      <c r="W175">
        <v>175</v>
      </c>
      <c r="X175">
        <v>0.90577889447236182</v>
      </c>
      <c r="Y175">
        <v>175</v>
      </c>
      <c r="Z175">
        <v>0.90577889447236182</v>
      </c>
      <c r="AB175" t="str">
        <f t="shared" si="2"/>
        <v>Senegal</v>
      </c>
    </row>
    <row r="176" spans="1:28" x14ac:dyDescent="0.2">
      <c r="A176" t="str">
        <f>IF(E176&gt;1, TII_VH!B176, "")</f>
        <v>Uganda</v>
      </c>
      <c r="B176" t="s">
        <v>319</v>
      </c>
      <c r="C176">
        <v>0.22989999999999999</v>
      </c>
      <c r="D176">
        <f>INDEX($U$2:$U$194, MATCH(TII_VH!B176,$T$2:$T$194,0))</f>
        <v>2370</v>
      </c>
      <c r="E176">
        <f>INDEX($V$2:$V$194, MATCH(TII_VH!B176,$T$2:$T$194,0))</f>
        <v>45.9</v>
      </c>
      <c r="F176">
        <f>INDEX($O$2:$O$194, MATCH(TII_VH!B176,$N$2:$N$194,0))</f>
        <v>0.50229000000000001</v>
      </c>
      <c r="H176" t="s">
        <v>270</v>
      </c>
      <c r="I176">
        <v>0.12330000000000001</v>
      </c>
      <c r="K176" t="s">
        <v>327</v>
      </c>
      <c r="L176">
        <v>0.21557000000000001</v>
      </c>
      <c r="N176" t="s">
        <v>376</v>
      </c>
      <c r="O176">
        <v>0.33237</v>
      </c>
      <c r="Q176" t="s">
        <v>319</v>
      </c>
      <c r="R176">
        <v>0.22989999999999999</v>
      </c>
      <c r="T176" t="s">
        <v>357</v>
      </c>
      <c r="U176" s="5">
        <v>2420</v>
      </c>
      <c r="V176">
        <v>23.3</v>
      </c>
      <c r="W176">
        <v>176</v>
      </c>
      <c r="X176">
        <v>0.90954773869346739</v>
      </c>
      <c r="Y176">
        <v>176</v>
      </c>
      <c r="Z176">
        <v>0.90954773869346739</v>
      </c>
      <c r="AB176" t="str">
        <f t="shared" si="2"/>
        <v>Eritrea</v>
      </c>
    </row>
    <row r="177" spans="1:28" x14ac:dyDescent="0.2">
      <c r="A177" t="str">
        <f>IF(E177&gt;1, TII_VH!B177, "")</f>
        <v>Afghanistan</v>
      </c>
      <c r="B177" t="s">
        <v>360</v>
      </c>
      <c r="C177">
        <v>0.21672</v>
      </c>
      <c r="D177">
        <f>INDEX($U$2:$U$194, MATCH(TII_VH!B177,$T$2:$T$194,0))</f>
        <v>1500</v>
      </c>
      <c r="E177">
        <f>INDEX($V$2:$V$194, MATCH(TII_VH!B177,$T$2:$T$194,0))</f>
        <v>41.1</v>
      </c>
      <c r="F177">
        <f>INDEX($O$2:$O$194, MATCH(TII_VH!B177,$N$2:$N$194,0))</f>
        <v>0.26429999999999998</v>
      </c>
      <c r="H177" t="s">
        <v>233</v>
      </c>
      <c r="I177">
        <v>0.12330000000000001</v>
      </c>
      <c r="K177" t="s">
        <v>356</v>
      </c>
      <c r="L177">
        <v>0.20915</v>
      </c>
      <c r="N177" t="s">
        <v>350</v>
      </c>
      <c r="O177">
        <v>0.32536999999999999</v>
      </c>
      <c r="Q177" t="s">
        <v>360</v>
      </c>
      <c r="R177">
        <v>0.21672</v>
      </c>
      <c r="T177" t="s">
        <v>359</v>
      </c>
      <c r="U177" s="5">
        <v>17330</v>
      </c>
      <c r="V177">
        <v>1.7</v>
      </c>
      <c r="W177">
        <v>177</v>
      </c>
      <c r="X177">
        <v>0.91331658291457285</v>
      </c>
      <c r="Y177">
        <v>177</v>
      </c>
      <c r="Z177">
        <v>0.91331658291457285</v>
      </c>
      <c r="AB177" t="str">
        <f t="shared" si="2"/>
        <v>Ethiopia</v>
      </c>
    </row>
    <row r="178" spans="1:28" x14ac:dyDescent="0.2">
      <c r="A178" t="str">
        <f>IF(E178&gt;1, TII_VH!B178, "")</f>
        <v>Haiti</v>
      </c>
      <c r="B178" t="s">
        <v>373</v>
      </c>
      <c r="C178">
        <v>0.20874000000000001</v>
      </c>
      <c r="D178">
        <f>INDEX($U$2:$U$194, MATCH(TII_VH!B178,$T$2:$T$194,0))</f>
        <v>2110</v>
      </c>
      <c r="E178">
        <f>INDEX($V$2:$V$194, MATCH(TII_VH!B178,$T$2:$T$194,0))</f>
        <v>11.7</v>
      </c>
      <c r="F178">
        <f>INDEX($O$2:$O$194, MATCH(TII_VH!B178,$N$2:$N$194,0))</f>
        <v>0.28833999999999999</v>
      </c>
      <c r="H178" t="s">
        <v>360</v>
      </c>
      <c r="I178">
        <v>0.1096</v>
      </c>
      <c r="K178" t="s">
        <v>365</v>
      </c>
      <c r="L178">
        <v>0.20671</v>
      </c>
      <c r="N178" t="s">
        <v>352</v>
      </c>
      <c r="O178">
        <v>0.30774000000000001</v>
      </c>
      <c r="Q178" t="s">
        <v>373</v>
      </c>
      <c r="R178">
        <v>0.20874000000000001</v>
      </c>
      <c r="T178" t="s">
        <v>361</v>
      </c>
      <c r="U178" s="5">
        <v>1520</v>
      </c>
      <c r="V178">
        <v>33.9</v>
      </c>
      <c r="W178">
        <v>178</v>
      </c>
      <c r="X178">
        <v>0.91708542713567831</v>
      </c>
      <c r="Y178">
        <v>178</v>
      </c>
      <c r="Z178">
        <v>0.91708542713567831</v>
      </c>
      <c r="AB178" t="str">
        <f t="shared" si="2"/>
        <v>Guinea-Bissau</v>
      </c>
    </row>
    <row r="179" spans="1:28" x14ac:dyDescent="0.2">
      <c r="A179" t="str">
        <f>IF(E179&gt;1, TII_VH!B179, "")</f>
        <v>Malawi</v>
      </c>
      <c r="B179" t="s">
        <v>341</v>
      </c>
      <c r="C179">
        <v>0.18862000000000001</v>
      </c>
      <c r="D179">
        <f>INDEX($U$2:$U$194, MATCH(TII_VH!B179,$T$2:$T$194,0))</f>
        <v>1500</v>
      </c>
      <c r="E179">
        <f>INDEX($V$2:$V$194, MATCH(TII_VH!B179,$T$2:$T$194,0))</f>
        <v>20</v>
      </c>
      <c r="F179">
        <f>INDEX($O$2:$O$194, MATCH(TII_VH!B179,$N$2:$N$194,0))</f>
        <v>0.47493000000000002</v>
      </c>
      <c r="H179" t="s">
        <v>364</v>
      </c>
      <c r="I179">
        <v>0.1096</v>
      </c>
      <c r="K179" t="s">
        <v>334</v>
      </c>
      <c r="L179">
        <v>0.19438</v>
      </c>
      <c r="N179" t="s">
        <v>344</v>
      </c>
      <c r="O179">
        <v>0.29615000000000002</v>
      </c>
      <c r="Q179" t="s">
        <v>341</v>
      </c>
      <c r="R179">
        <v>0.18862000000000001</v>
      </c>
      <c r="T179" t="s">
        <v>363</v>
      </c>
      <c r="U179" s="5">
        <v>3870</v>
      </c>
      <c r="V179">
        <v>48.1</v>
      </c>
      <c r="W179">
        <v>179</v>
      </c>
      <c r="X179">
        <v>0.92085427135678388</v>
      </c>
      <c r="Y179">
        <v>179</v>
      </c>
      <c r="Z179">
        <v>0.92085427135678388</v>
      </c>
      <c r="AB179" t="str">
        <f t="shared" si="2"/>
        <v>Mauritania</v>
      </c>
    </row>
    <row r="180" spans="1:28" x14ac:dyDescent="0.2">
      <c r="A180" t="str">
        <f>IF(E180&gt;1, TII_VH!B180, "")</f>
        <v>P.N.G.</v>
      </c>
      <c r="B180" t="s">
        <v>353</v>
      </c>
      <c r="C180">
        <v>0.18512999999999999</v>
      </c>
      <c r="D180">
        <f>INDEX($U$2:$U$194, MATCH(TII_VH!B180,$T$2:$T$194,0))</f>
        <v>4230</v>
      </c>
      <c r="E180">
        <f>INDEX($V$2:$V$194, MATCH(TII_VH!B180,$T$2:$T$194,0))</f>
        <v>10.9</v>
      </c>
      <c r="F180">
        <f>INDEX($O$2:$O$194, MATCH(TII_VH!B180,$N$2:$N$194,0))</f>
        <v>0.39838000000000001</v>
      </c>
      <c r="H180" t="s">
        <v>316</v>
      </c>
      <c r="I180">
        <v>9.5899999999999999E-2</v>
      </c>
      <c r="K180" t="s">
        <v>359</v>
      </c>
      <c r="L180">
        <v>0.19319</v>
      </c>
      <c r="N180" t="s">
        <v>338</v>
      </c>
      <c r="O180">
        <v>0.28867999999999999</v>
      </c>
      <c r="Q180" t="s">
        <v>353</v>
      </c>
      <c r="R180">
        <v>0.18512999999999999</v>
      </c>
      <c r="T180" t="s">
        <v>365</v>
      </c>
      <c r="U180" s="5">
        <v>1270</v>
      </c>
      <c r="V180">
        <v>102.3</v>
      </c>
      <c r="W180">
        <v>180</v>
      </c>
      <c r="X180">
        <v>0.92462311557788945</v>
      </c>
      <c r="Y180">
        <v>180</v>
      </c>
      <c r="Z180">
        <v>0.92462311557788945</v>
      </c>
      <c r="AB180" t="str">
        <f t="shared" si="2"/>
        <v>Guinea</v>
      </c>
    </row>
    <row r="181" spans="1:28" x14ac:dyDescent="0.2">
      <c r="A181" t="str">
        <f>IF(E181&gt;1, TII_VH!B181, "")</f>
        <v/>
      </c>
      <c r="B181" t="s">
        <v>343</v>
      </c>
      <c r="C181">
        <v>0.18109</v>
      </c>
      <c r="D181">
        <f>INDEX($U$2:$U$194, MATCH(TII_VH!B181,$T$2:$T$194,0))</f>
        <v>2700</v>
      </c>
      <c r="E181">
        <f>INDEX($V$2:$V$194, MATCH(TII_VH!B181,$T$2:$T$194,0))</f>
        <v>0.7</v>
      </c>
      <c r="F181">
        <f>INDEX($O$2:$O$194, MATCH(TII_VH!B181,$N$2:$N$194,0))</f>
        <v>0.42624000000000001</v>
      </c>
      <c r="H181" t="s">
        <v>356</v>
      </c>
      <c r="I181">
        <v>9.5899999999999999E-2</v>
      </c>
      <c r="K181" t="s">
        <v>316</v>
      </c>
      <c r="L181">
        <v>0.18754999999999999</v>
      </c>
      <c r="N181" t="s">
        <v>373</v>
      </c>
      <c r="O181">
        <v>0.28833999999999999</v>
      </c>
      <c r="Q181" t="s">
        <v>343</v>
      </c>
      <c r="R181">
        <v>0.18109</v>
      </c>
      <c r="T181" t="s">
        <v>366</v>
      </c>
      <c r="U181" s="5">
        <v>3620</v>
      </c>
      <c r="V181">
        <v>0.9</v>
      </c>
      <c r="W181">
        <v>181</v>
      </c>
      <c r="X181">
        <v>0.92839195979899503</v>
      </c>
      <c r="Y181">
        <v>181</v>
      </c>
      <c r="Z181">
        <v>0.92839195979899503</v>
      </c>
      <c r="AB181" t="str">
        <f t="shared" si="2"/>
        <v>Haiti</v>
      </c>
    </row>
    <row r="182" spans="1:28" x14ac:dyDescent="0.2">
      <c r="A182" t="str">
        <f>IF(E182&gt;1, TII_VH!B182, "")</f>
        <v>North Korea</v>
      </c>
      <c r="B182" t="s">
        <v>368</v>
      </c>
      <c r="C182">
        <v>0.17452000000000001</v>
      </c>
      <c r="D182">
        <f>INDEX($U$2:$U$194, MATCH(TII_VH!B182,$T$2:$T$194,0))</f>
        <v>840</v>
      </c>
      <c r="E182">
        <f>INDEX($V$2:$V$194, MATCH(TII_VH!B182,$T$2:$T$194,0))</f>
        <v>26.1</v>
      </c>
      <c r="F182">
        <f>INDEX($O$2:$O$194, MATCH(TII_VH!B182,$N$2:$N$194,0))</f>
        <v>0.49243999999999999</v>
      </c>
      <c r="H182" t="s">
        <v>373</v>
      </c>
      <c r="I182">
        <v>9.5899999999999999E-2</v>
      </c>
      <c r="K182" t="s">
        <v>344</v>
      </c>
      <c r="L182">
        <v>0.16879</v>
      </c>
      <c r="N182" t="s">
        <v>367</v>
      </c>
      <c r="O182">
        <v>0.28231000000000001</v>
      </c>
      <c r="Q182" t="s">
        <v>368</v>
      </c>
      <c r="R182">
        <v>0.17452000000000001</v>
      </c>
      <c r="T182" t="s">
        <v>367</v>
      </c>
      <c r="U182" s="5">
        <v>2280</v>
      </c>
      <c r="V182">
        <v>2.8</v>
      </c>
      <c r="W182">
        <v>182</v>
      </c>
      <c r="X182">
        <v>0.9321608040201006</v>
      </c>
      <c r="Y182">
        <v>182</v>
      </c>
      <c r="Z182">
        <v>0.9321608040201006</v>
      </c>
      <c r="AB182" t="str">
        <f t="shared" si="2"/>
        <v>Gambia</v>
      </c>
    </row>
    <row r="183" spans="1:28" x14ac:dyDescent="0.2">
      <c r="A183" t="str">
        <f>IF(E183&gt;1, TII_VH!B183, "")</f>
        <v>Democratic Republic of the Congo</v>
      </c>
      <c r="B183" t="s">
        <v>365</v>
      </c>
      <c r="C183">
        <v>0.15906000000000001</v>
      </c>
      <c r="D183">
        <f>INDEX($U$2:$U$194, MATCH(TII_VH!B183,$T$2:$T$194,0))</f>
        <v>1270</v>
      </c>
      <c r="E183">
        <f>INDEX($V$2:$V$194, MATCH(TII_VH!B183,$T$2:$T$194,0))</f>
        <v>102.3</v>
      </c>
      <c r="F183">
        <f>INDEX($O$2:$O$194, MATCH(TII_VH!B183,$N$2:$N$194,0))</f>
        <v>0.44867000000000001</v>
      </c>
      <c r="H183" t="s">
        <v>378</v>
      </c>
      <c r="I183">
        <v>8.2199999999999995E-2</v>
      </c>
      <c r="K183" t="s">
        <v>364</v>
      </c>
      <c r="L183">
        <v>0.15040999999999999</v>
      </c>
      <c r="N183" t="s">
        <v>356</v>
      </c>
      <c r="O183">
        <v>0.27995999999999999</v>
      </c>
      <c r="Q183" t="s">
        <v>365</v>
      </c>
      <c r="R183">
        <v>0.15906000000000001</v>
      </c>
      <c r="T183" t="s">
        <v>369</v>
      </c>
      <c r="U183" s="5">
        <v>1620</v>
      </c>
      <c r="V183">
        <v>5.4</v>
      </c>
      <c r="W183">
        <v>183</v>
      </c>
      <c r="X183">
        <v>0.93592964824120606</v>
      </c>
      <c r="Y183">
        <v>183</v>
      </c>
      <c r="Z183">
        <v>0.93592964824120606</v>
      </c>
      <c r="AB183" t="str">
        <f t="shared" si="2"/>
        <v>Djibouti</v>
      </c>
    </row>
    <row r="184" spans="1:28" x14ac:dyDescent="0.2">
      <c r="A184" t="str">
        <f>IF(E184&gt;1, TII_VH!B184, "")</f>
        <v>Niger</v>
      </c>
      <c r="B184" t="s">
        <v>374</v>
      </c>
      <c r="C184">
        <v>0.15783</v>
      </c>
      <c r="D184">
        <f>INDEX($U$2:$U$194, MATCH(TII_VH!B184,$T$2:$T$194,0))</f>
        <v>1830</v>
      </c>
      <c r="E184">
        <f>INDEX($V$2:$V$194, MATCH(TII_VH!B184,$T$2:$T$194,0))</f>
        <v>27.2</v>
      </c>
      <c r="F184">
        <f>INDEX($O$2:$O$194, MATCH(TII_VH!B184,$N$2:$N$194,0))</f>
        <v>0.16850999999999999</v>
      </c>
      <c r="H184" t="s">
        <v>345</v>
      </c>
      <c r="I184">
        <v>8.2199999999999995E-2</v>
      </c>
      <c r="K184" t="s">
        <v>360</v>
      </c>
      <c r="L184">
        <v>0.14379</v>
      </c>
      <c r="N184" t="s">
        <v>354</v>
      </c>
      <c r="O184">
        <v>0.27184999999999998</v>
      </c>
      <c r="Q184" t="s">
        <v>374</v>
      </c>
      <c r="R184">
        <v>0.15783</v>
      </c>
      <c r="T184" t="s">
        <v>371</v>
      </c>
      <c r="U184" s="5">
        <v>840</v>
      </c>
      <c r="V184">
        <v>12.9</v>
      </c>
      <c r="W184">
        <v>184</v>
      </c>
      <c r="X184">
        <v>0.93969849246231152</v>
      </c>
      <c r="Y184">
        <v>184</v>
      </c>
      <c r="Z184">
        <v>0.93969849246231152</v>
      </c>
      <c r="AB184" t="str">
        <f t="shared" si="2"/>
        <v>Sierra Leone</v>
      </c>
    </row>
    <row r="185" spans="1:28" x14ac:dyDescent="0.2">
      <c r="A185" t="str">
        <f>IF(E185&gt;1, TII_VH!B185, "")</f>
        <v>Madagascar</v>
      </c>
      <c r="B185" t="s">
        <v>349</v>
      </c>
      <c r="C185">
        <v>0.15178</v>
      </c>
      <c r="D185">
        <f>INDEX($U$2:$U$194, MATCH(TII_VH!B185,$T$2:$T$194,0))</f>
        <v>1600</v>
      </c>
      <c r="E185">
        <f>INDEX($V$2:$V$194, MATCH(TII_VH!B185,$T$2:$T$194,0))</f>
        <v>29.1</v>
      </c>
      <c r="F185">
        <f>INDEX($O$2:$O$194, MATCH(TII_VH!B185,$N$2:$N$194,0))</f>
        <v>0.41409000000000001</v>
      </c>
      <c r="H185" t="s">
        <v>363</v>
      </c>
      <c r="I185">
        <v>6.8500000000000005E-2</v>
      </c>
      <c r="K185" t="s">
        <v>373</v>
      </c>
      <c r="L185">
        <v>0.13785</v>
      </c>
      <c r="N185" t="s">
        <v>372</v>
      </c>
      <c r="O185">
        <v>0.26704</v>
      </c>
      <c r="Q185" t="s">
        <v>349</v>
      </c>
      <c r="R185">
        <v>0.15178</v>
      </c>
      <c r="T185" t="s">
        <v>368</v>
      </c>
      <c r="U185" s="5">
        <v>840</v>
      </c>
      <c r="V185">
        <v>26.1</v>
      </c>
      <c r="W185">
        <v>185</v>
      </c>
      <c r="X185">
        <v>0.94346733668341709</v>
      </c>
      <c r="Y185">
        <v>185</v>
      </c>
      <c r="Z185">
        <v>0.94346733668341709</v>
      </c>
      <c r="AB185" t="str">
        <f t="shared" si="2"/>
        <v>Yemen</v>
      </c>
    </row>
    <row r="186" spans="1:28" x14ac:dyDescent="0.2">
      <c r="A186" t="str">
        <f>IF(E186&gt;1, TII_VH!B186, "")</f>
        <v>Somalia</v>
      </c>
      <c r="B186" t="s">
        <v>377</v>
      </c>
      <c r="C186">
        <v>0.14324000000000001</v>
      </c>
      <c r="D186">
        <f>INDEX($U$2:$U$194, MATCH(TII_VH!B186,$T$2:$T$194,0))</f>
        <v>0</v>
      </c>
      <c r="E186">
        <f>INDEX($V$2:$V$194, MATCH(TII_VH!B186,$T$2:$T$194,0))</f>
        <v>17.600000000000001</v>
      </c>
      <c r="F186">
        <f>INDEX($O$2:$O$194, MATCH(TII_VH!B186,$N$2:$N$194,0))</f>
        <v>0</v>
      </c>
      <c r="H186" t="s">
        <v>328</v>
      </c>
      <c r="I186">
        <v>6.8500000000000005E-2</v>
      </c>
      <c r="K186" t="s">
        <v>372</v>
      </c>
      <c r="L186">
        <v>0.13774</v>
      </c>
      <c r="N186" t="s">
        <v>360</v>
      </c>
      <c r="O186">
        <v>0.26429999999999998</v>
      </c>
      <c r="Q186" t="s">
        <v>377</v>
      </c>
      <c r="R186">
        <v>0.14324000000000001</v>
      </c>
      <c r="T186" t="s">
        <v>372</v>
      </c>
      <c r="U186" s="8">
        <v>1840</v>
      </c>
      <c r="V186">
        <v>34.4</v>
      </c>
      <c r="W186">
        <v>186</v>
      </c>
      <c r="X186">
        <v>0.94723618090452266</v>
      </c>
      <c r="Y186">
        <v>186</v>
      </c>
      <c r="Z186">
        <v>0.94723618090452266</v>
      </c>
      <c r="AB186" t="str">
        <f t="shared" si="2"/>
        <v>Afghanistan</v>
      </c>
    </row>
    <row r="187" spans="1:28" x14ac:dyDescent="0.2">
      <c r="A187" t="str">
        <f>IF(E187&gt;1, TII_VH!B187, "")</f>
        <v>Eritrea</v>
      </c>
      <c r="B187" t="s">
        <v>376</v>
      </c>
      <c r="C187">
        <v>0.14054</v>
      </c>
      <c r="D187">
        <f>INDEX($U$2:$U$194, MATCH(TII_VH!B187,$T$2:$T$194,0))</f>
        <v>980</v>
      </c>
      <c r="E187">
        <f>INDEX($V$2:$V$194, MATCH(TII_VH!B187,$T$2:$T$194,0))</f>
        <v>3.7</v>
      </c>
      <c r="F187">
        <f>INDEX($O$2:$O$194, MATCH(TII_VH!B187,$N$2:$N$194,0))</f>
        <v>0.33237</v>
      </c>
      <c r="H187" t="s">
        <v>334</v>
      </c>
      <c r="I187">
        <v>6.8500000000000005E-2</v>
      </c>
      <c r="K187" t="s">
        <v>363</v>
      </c>
      <c r="L187">
        <v>0.1293</v>
      </c>
      <c r="N187" t="s">
        <v>363</v>
      </c>
      <c r="O187">
        <v>0.25931999999999999</v>
      </c>
      <c r="Q187" t="s">
        <v>376</v>
      </c>
      <c r="R187">
        <v>0.14054</v>
      </c>
      <c r="T187" t="s">
        <v>373</v>
      </c>
      <c r="U187" s="5">
        <v>2110</v>
      </c>
      <c r="V187">
        <v>11.7</v>
      </c>
      <c r="W187">
        <v>187</v>
      </c>
      <c r="X187">
        <v>0.95100502512562812</v>
      </c>
      <c r="Y187">
        <v>187</v>
      </c>
      <c r="Z187">
        <v>0.95100502512562812</v>
      </c>
      <c r="AB187" t="str">
        <f t="shared" si="2"/>
        <v>Sudan</v>
      </c>
    </row>
    <row r="188" spans="1:28" x14ac:dyDescent="0.2">
      <c r="A188" t="str">
        <f>IF(E188&gt;1, TII_VH!B188, "")</f>
        <v/>
      </c>
      <c r="B188" t="s">
        <v>347</v>
      </c>
      <c r="C188">
        <v>0.13502</v>
      </c>
      <c r="D188">
        <f>INDEX($U$2:$U$194, MATCH(TII_VH!B188,$T$2:$T$194,0))</f>
        <v>3740</v>
      </c>
      <c r="E188">
        <f>INDEX($V$2:$V$194, MATCH(TII_VH!B188,$T$2:$T$194,0))</f>
        <v>0.1</v>
      </c>
      <c r="F188">
        <f>INDEX($O$2:$O$194, MATCH(TII_VH!B188,$N$2:$N$194,0))</f>
        <v>0.57345999999999997</v>
      </c>
      <c r="H188" t="s">
        <v>261</v>
      </c>
      <c r="I188">
        <v>5.4800000000000001E-2</v>
      </c>
      <c r="K188" t="s">
        <v>352</v>
      </c>
      <c r="L188">
        <v>0.12703</v>
      </c>
      <c r="N188" t="s">
        <v>378</v>
      </c>
      <c r="O188">
        <v>0.17130000000000001</v>
      </c>
      <c r="Q188" t="s">
        <v>347</v>
      </c>
      <c r="R188">
        <v>0.13502</v>
      </c>
      <c r="T188" t="s">
        <v>374</v>
      </c>
      <c r="U188" s="5">
        <v>1830</v>
      </c>
      <c r="V188">
        <v>27.2</v>
      </c>
      <c r="W188">
        <v>188</v>
      </c>
      <c r="X188">
        <v>0.95477386934673358</v>
      </c>
      <c r="Y188">
        <v>188</v>
      </c>
      <c r="Z188">
        <v>0.95477386934673358</v>
      </c>
      <c r="AB188" t="str">
        <f t="shared" si="2"/>
        <v>C.A.R.</v>
      </c>
    </row>
    <row r="189" spans="1:28" x14ac:dyDescent="0.2">
      <c r="A189" t="str">
        <f>IF(E189&gt;1, TII_VH!B189, "")</f>
        <v>Liberia</v>
      </c>
      <c r="B189" t="s">
        <v>369</v>
      </c>
      <c r="C189">
        <v>0.12379</v>
      </c>
      <c r="D189">
        <f>INDEX($U$2:$U$194, MATCH(TII_VH!B189,$T$2:$T$194,0))</f>
        <v>1620</v>
      </c>
      <c r="E189">
        <f>INDEX($V$2:$V$194, MATCH(TII_VH!B189,$T$2:$T$194,0))</f>
        <v>5.4</v>
      </c>
      <c r="F189">
        <f>INDEX($O$2:$O$194, MATCH(TII_VH!B189,$N$2:$N$194,0))</f>
        <v>0.3669</v>
      </c>
      <c r="H189" t="s">
        <v>303</v>
      </c>
      <c r="I189">
        <v>5.4800000000000001E-2</v>
      </c>
      <c r="K189" t="s">
        <v>378</v>
      </c>
      <c r="L189">
        <v>0.1128</v>
      </c>
      <c r="N189" t="s">
        <v>374</v>
      </c>
      <c r="O189">
        <v>0.16850999999999999</v>
      </c>
      <c r="Q189" t="s">
        <v>369</v>
      </c>
      <c r="R189">
        <v>0.12379</v>
      </c>
      <c r="T189" t="s">
        <v>360</v>
      </c>
      <c r="U189" s="8">
        <v>1500</v>
      </c>
      <c r="V189">
        <v>41.1</v>
      </c>
      <c r="W189">
        <v>189</v>
      </c>
      <c r="X189">
        <v>0.95854271356783916</v>
      </c>
      <c r="Y189">
        <v>189</v>
      </c>
      <c r="Z189">
        <v>0.95854271356783916</v>
      </c>
      <c r="AB189" t="str">
        <f t="shared" si="2"/>
        <v>Niger</v>
      </c>
    </row>
    <row r="190" spans="1:28" x14ac:dyDescent="0.2">
      <c r="A190" t="str">
        <f>IF(E190&gt;1, TII_VH!B190, "")</f>
        <v>Chad</v>
      </c>
      <c r="B190" t="s">
        <v>375</v>
      </c>
      <c r="C190">
        <v>0.11945</v>
      </c>
      <c r="D190">
        <f>INDEX($U$2:$U$194, MATCH(TII_VH!B190,$T$2:$T$194,0))</f>
        <v>920</v>
      </c>
      <c r="E190">
        <f>INDEX($V$2:$V$194, MATCH(TII_VH!B190,$T$2:$T$194,0))</f>
        <v>17.8</v>
      </c>
      <c r="F190">
        <f>INDEX($O$2:$O$194, MATCH(TII_VH!B190,$N$2:$N$194,0))</f>
        <v>0.14879000000000001</v>
      </c>
      <c r="H190" t="s">
        <v>312</v>
      </c>
      <c r="I190">
        <v>4.1099999999999998E-2</v>
      </c>
      <c r="K190" t="s">
        <v>367</v>
      </c>
      <c r="L190">
        <v>9.5509999999999998E-2</v>
      </c>
      <c r="N190" t="s">
        <v>357</v>
      </c>
      <c r="O190">
        <v>0.16677</v>
      </c>
      <c r="Q190" t="s">
        <v>375</v>
      </c>
      <c r="R190">
        <v>0.11945</v>
      </c>
      <c r="T190" t="s">
        <v>375</v>
      </c>
      <c r="U190" s="5">
        <v>920</v>
      </c>
      <c r="V190">
        <v>17.8</v>
      </c>
      <c r="W190">
        <v>190</v>
      </c>
      <c r="X190">
        <v>0.96231155778894473</v>
      </c>
      <c r="Y190">
        <v>190</v>
      </c>
      <c r="Z190">
        <v>0.96231155778894473</v>
      </c>
      <c r="AB190" t="str">
        <f t="shared" si="2"/>
        <v>Burkina Faso</v>
      </c>
    </row>
    <row r="191" spans="1:28" x14ac:dyDescent="0.2">
      <c r="A191" t="str">
        <f>IF(E191&gt;1, TII_VH!B191, "")</f>
        <v>Mozambique</v>
      </c>
      <c r="B191" t="s">
        <v>361</v>
      </c>
      <c r="C191">
        <v>6.3210000000000002E-2</v>
      </c>
      <c r="D191">
        <f>INDEX($U$2:$U$194, MATCH(TII_VH!B191,$T$2:$T$194,0))</f>
        <v>1520</v>
      </c>
      <c r="E191">
        <f>INDEX($V$2:$V$194, MATCH(TII_VH!B191,$T$2:$T$194,0))</f>
        <v>33.9</v>
      </c>
      <c r="F191">
        <f>INDEX($O$2:$O$194, MATCH(TII_VH!B191,$N$2:$N$194,0))</f>
        <v>0.39518999999999999</v>
      </c>
      <c r="H191" t="s">
        <v>80</v>
      </c>
      <c r="I191">
        <v>1.37E-2</v>
      </c>
      <c r="K191" t="s">
        <v>80</v>
      </c>
      <c r="L191">
        <v>8.0759999999999998E-2</v>
      </c>
      <c r="N191" t="s">
        <v>364</v>
      </c>
      <c r="O191">
        <v>0.15212000000000001</v>
      </c>
      <c r="Q191" t="s">
        <v>361</v>
      </c>
      <c r="R191">
        <v>6.3210000000000002E-2</v>
      </c>
      <c r="T191" t="s">
        <v>376</v>
      </c>
      <c r="U191" s="5">
        <v>980</v>
      </c>
      <c r="V191">
        <v>3.7</v>
      </c>
      <c r="W191">
        <v>191</v>
      </c>
      <c r="X191">
        <v>0.9660804020100503</v>
      </c>
      <c r="Y191">
        <v>191</v>
      </c>
      <c r="Z191">
        <v>0.9660804020100503</v>
      </c>
      <c r="AB191" t="str">
        <f t="shared" si="2"/>
        <v>South Sudan</v>
      </c>
    </row>
    <row r="192" spans="1:28" x14ac:dyDescent="0.2">
      <c r="A192" t="str">
        <f>IF(E192&gt;1, TII_VH!B192, "")</f>
        <v>South Sudan</v>
      </c>
      <c r="B192" t="s">
        <v>364</v>
      </c>
      <c r="C192">
        <v>5.4730000000000001E-2</v>
      </c>
      <c r="D192">
        <f>INDEX($U$2:$U$194, MATCH(TII_VH!B192,$T$2:$T$194,0))</f>
        <v>1200</v>
      </c>
      <c r="E192">
        <f>INDEX($V$2:$V$194, MATCH(TII_VH!B192,$T$2:$T$194,0))</f>
        <v>10.9</v>
      </c>
      <c r="F192">
        <f>INDEX($O$2:$O$194, MATCH(TII_VH!B192,$N$2:$N$194,0))</f>
        <v>0.15212000000000001</v>
      </c>
      <c r="H192" t="s">
        <v>376</v>
      </c>
      <c r="I192">
        <v>1.37E-2</v>
      </c>
      <c r="K192" t="s">
        <v>368</v>
      </c>
      <c r="L192">
        <v>2.9080000000000002E-2</v>
      </c>
      <c r="N192" t="s">
        <v>375</v>
      </c>
      <c r="O192">
        <v>0.14879000000000001</v>
      </c>
      <c r="Q192" t="s">
        <v>364</v>
      </c>
      <c r="R192">
        <v>5.4730000000000001E-2</v>
      </c>
      <c r="T192" t="s">
        <v>377</v>
      </c>
      <c r="V192">
        <v>17.600000000000001</v>
      </c>
      <c r="W192">
        <v>192</v>
      </c>
      <c r="X192">
        <v>0.96984924623115587</v>
      </c>
      <c r="Y192">
        <v>192</v>
      </c>
      <c r="Z192">
        <v>0.96984924623115587</v>
      </c>
      <c r="AB192" t="str">
        <f t="shared" si="2"/>
        <v>Chad</v>
      </c>
    </row>
    <row r="193" spans="1:28" x14ac:dyDescent="0.2">
      <c r="A193" t="str">
        <f>IF(E193&gt;1, TII_VH!B193, "")</f>
        <v>Burundi</v>
      </c>
      <c r="B193" t="s">
        <v>371</v>
      </c>
      <c r="C193">
        <v>3.3050000000000003E-2</v>
      </c>
      <c r="D193">
        <f>INDEX($U$2:$U$194, MATCH(TII_VH!B193,$T$2:$T$194,0))</f>
        <v>840</v>
      </c>
      <c r="E193">
        <f>INDEX($V$2:$V$194, MATCH(TII_VH!B193,$T$2:$T$194,0))</f>
        <v>12.9</v>
      </c>
      <c r="F193">
        <f>INDEX($O$2:$O$194, MATCH(TII_VH!B193,$N$2:$N$194,0))</f>
        <v>0.39655000000000001</v>
      </c>
      <c r="H193" t="s">
        <v>366</v>
      </c>
      <c r="I193">
        <v>0</v>
      </c>
      <c r="K193" t="s">
        <v>366</v>
      </c>
      <c r="L193">
        <v>2.299E-2</v>
      </c>
      <c r="N193" t="s">
        <v>355</v>
      </c>
      <c r="O193">
        <v>0.12497999999999999</v>
      </c>
      <c r="Q193" t="s">
        <v>371</v>
      </c>
      <c r="R193">
        <v>3.3050000000000003E-2</v>
      </c>
      <c r="T193" t="s">
        <v>364</v>
      </c>
      <c r="U193" s="8">
        <v>1200</v>
      </c>
      <c r="V193">
        <v>10.9</v>
      </c>
      <c r="W193">
        <v>193</v>
      </c>
      <c r="X193">
        <v>0.97361809045226133</v>
      </c>
      <c r="Y193">
        <v>193</v>
      </c>
      <c r="Z193">
        <v>0.97361809045226133</v>
      </c>
      <c r="AB193" t="str">
        <f t="shared" si="2"/>
        <v>Mali</v>
      </c>
    </row>
    <row r="194" spans="1:28" x14ac:dyDescent="0.2">
      <c r="A194" t="str">
        <f>IF(E194&gt;1, TII_VH!B194, "")</f>
        <v>C.A.R.</v>
      </c>
      <c r="B194" t="s">
        <v>378</v>
      </c>
      <c r="C194">
        <v>0</v>
      </c>
      <c r="E194">
        <f>INDEX($V$2:$V$194, MATCH(TII_VH!B194,$T$2:$T$194,0))</f>
        <v>5.5</v>
      </c>
      <c r="F194">
        <f>INDEX($O$2:$O$194, MATCH(TII_VH!B194,$N$2:$N$194,0))</f>
        <v>0.17130000000000001</v>
      </c>
      <c r="H194" t="s">
        <v>368</v>
      </c>
      <c r="I194">
        <v>0</v>
      </c>
      <c r="K194" t="s">
        <v>376</v>
      </c>
      <c r="L194">
        <v>0</v>
      </c>
      <c r="N194" t="s">
        <v>377</v>
      </c>
      <c r="O194">
        <v>0</v>
      </c>
      <c r="Q194" t="s">
        <v>378</v>
      </c>
      <c r="R194">
        <v>0</v>
      </c>
      <c r="T194" t="s">
        <v>378</v>
      </c>
      <c r="U194" s="8">
        <v>980</v>
      </c>
      <c r="V194">
        <v>5.5</v>
      </c>
      <c r="W194">
        <v>194</v>
      </c>
      <c r="X194">
        <v>0.97738693467336679</v>
      </c>
      <c r="Y194">
        <v>194</v>
      </c>
      <c r="Z194">
        <v>0.97738693467336679</v>
      </c>
      <c r="AB194" t="str">
        <f t="shared" si="2"/>
        <v>Somalia</v>
      </c>
    </row>
    <row r="195" spans="1:28" x14ac:dyDescent="0.2">
      <c r="N195" t="s">
        <v>381</v>
      </c>
      <c r="W195">
        <v>195</v>
      </c>
      <c r="X195">
        <v>0.98115577889447236</v>
      </c>
      <c r="Y195">
        <v>195</v>
      </c>
      <c r="Z195">
        <v>0.98115577889447236</v>
      </c>
      <c r="AB195" t="str">
        <f t="shared" ref="AB195" si="3">TRIM(N195)</f>
        <v/>
      </c>
    </row>
    <row r="196" spans="1:28" x14ac:dyDescent="0.2">
      <c r="W196">
        <v>196</v>
      </c>
      <c r="X196">
        <v>0.98492462311557794</v>
      </c>
      <c r="Y196">
        <v>196</v>
      </c>
      <c r="Z196">
        <v>0.98492462311557794</v>
      </c>
    </row>
    <row r="197" spans="1:28" x14ac:dyDescent="0.2">
      <c r="W197">
        <v>197</v>
      </c>
      <c r="X197">
        <v>0.9886934673366834</v>
      </c>
      <c r="Y197">
        <v>197</v>
      </c>
      <c r="Z197">
        <v>0.9886934673366834</v>
      </c>
    </row>
    <row r="198" spans="1:28" x14ac:dyDescent="0.2">
      <c r="W198">
        <v>198</v>
      </c>
      <c r="X198">
        <v>0.99246231155778886</v>
      </c>
      <c r="Y198">
        <v>198</v>
      </c>
      <c r="Z198">
        <v>0.99246231155778886</v>
      </c>
    </row>
    <row r="199" spans="1:28" x14ac:dyDescent="0.2">
      <c r="W199">
        <v>199</v>
      </c>
      <c r="X199">
        <v>0.99623115577889443</v>
      </c>
      <c r="Y199">
        <v>199</v>
      </c>
      <c r="Z199">
        <v>0.99623115577889443</v>
      </c>
    </row>
    <row r="200" spans="1:28" x14ac:dyDescent="0.2">
      <c r="W200">
        <v>200</v>
      </c>
      <c r="X200">
        <v>1</v>
      </c>
      <c r="Y200">
        <v>200</v>
      </c>
      <c r="Z200">
        <v>1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2CC56-3419-B548-8469-78A68D262F99}">
  <sheetPr codeName="Sheet6">
    <tabColor rgb="FF002060"/>
  </sheetPr>
  <dimension ref="A1:AD200"/>
  <sheetViews>
    <sheetView tabSelected="1" topLeftCell="E1" zoomScale="70" zoomScaleNormal="70" workbookViewId="0">
      <selection activeCell="K38" sqref="K38"/>
    </sheetView>
  </sheetViews>
  <sheetFormatPr baseColWidth="10" defaultRowHeight="16" x14ac:dyDescent="0.2"/>
  <cols>
    <col min="1" max="1" width="30.6640625" customWidth="1"/>
    <col min="2" max="2" width="19.83203125" customWidth="1"/>
    <col min="3" max="3" width="23.6640625" customWidth="1"/>
    <col min="4" max="7" width="20.6640625" customWidth="1"/>
    <col min="8" max="8" width="23" customWidth="1"/>
    <col min="11" max="11" width="23.33203125" customWidth="1"/>
    <col min="13" max="13" width="38.1640625" customWidth="1"/>
    <col min="14" max="14" width="24" customWidth="1"/>
    <col min="17" max="17" width="19.83203125" customWidth="1"/>
    <col min="18" max="18" width="17" customWidth="1"/>
    <col min="20" max="20" width="18.83203125" customWidth="1"/>
    <col min="21" max="21" width="25.6640625" style="5" customWidth="1"/>
    <col min="29" max="29" width="20.6640625" customWidth="1"/>
  </cols>
  <sheetData>
    <row r="1" spans="1:30" x14ac:dyDescent="0.2">
      <c r="A1" s="1" t="s">
        <v>0</v>
      </c>
      <c r="B1" s="11" t="s">
        <v>0</v>
      </c>
      <c r="C1" s="11" t="s">
        <v>8</v>
      </c>
      <c r="D1" s="1" t="s">
        <v>2</v>
      </c>
      <c r="E1" s="1" t="s">
        <v>3</v>
      </c>
      <c r="F1" s="1" t="s">
        <v>4</v>
      </c>
      <c r="G1" s="2"/>
      <c r="H1" s="2" t="s">
        <v>0</v>
      </c>
      <c r="I1" s="2" t="s">
        <v>5</v>
      </c>
      <c r="J1" s="2"/>
      <c r="K1" s="2" t="s">
        <v>0</v>
      </c>
      <c r="L1" s="2" t="s">
        <v>6</v>
      </c>
      <c r="M1" s="2"/>
      <c r="N1" s="2" t="s">
        <v>0</v>
      </c>
      <c r="O1" s="2" t="s">
        <v>7</v>
      </c>
      <c r="P1" s="2"/>
      <c r="Q1" s="2" t="s">
        <v>0</v>
      </c>
      <c r="R1" s="2" t="s">
        <v>8</v>
      </c>
      <c r="T1" s="3" t="s">
        <v>9</v>
      </c>
      <c r="U1" s="4" t="s">
        <v>10</v>
      </c>
      <c r="V1" s="3" t="s">
        <v>11</v>
      </c>
      <c r="W1">
        <v>1</v>
      </c>
      <c r="X1">
        <v>0.25</v>
      </c>
      <c r="Y1">
        <v>1</v>
      </c>
      <c r="Z1">
        <v>0.25</v>
      </c>
      <c r="AC1" s="11" t="s">
        <v>8</v>
      </c>
      <c r="AD1" s="10" t="s">
        <v>380</v>
      </c>
    </row>
    <row r="2" spans="1:30" x14ac:dyDescent="0.2">
      <c r="A2" t="str">
        <f>B2</f>
        <v>U.A.E.</v>
      </c>
      <c r="B2" t="s">
        <v>16</v>
      </c>
      <c r="C2">
        <f>IF(ISNUMBER(MATCH(B2,$AD$2:$AD$27,0)),AC2,NA())</f>
        <v>1</v>
      </c>
      <c r="D2">
        <f>IF(ISNUMBER(C2),INDEX($U$2:$U$194, MATCH(B2,$T$2:$T$194,0)),NA())</f>
        <v>74410</v>
      </c>
      <c r="E2">
        <f>INDEX($V$2:$V$194, MATCH(B2,$T$2:$T$194,0))</f>
        <v>9.3000000000000007</v>
      </c>
      <c r="F2">
        <f>IF(ISNUMBER(C2),INDEX($O$2:$O$194, MATCH(B2,$N$2:$N$194,0)),NA())</f>
        <v>0.94355</v>
      </c>
      <c r="H2" t="s">
        <v>13</v>
      </c>
      <c r="I2">
        <v>1</v>
      </c>
      <c r="K2" t="s">
        <v>25</v>
      </c>
      <c r="L2">
        <v>1</v>
      </c>
      <c r="N2" t="s">
        <v>36</v>
      </c>
      <c r="O2">
        <v>1</v>
      </c>
      <c r="Q2" t="s">
        <v>16</v>
      </c>
      <c r="R2">
        <v>1</v>
      </c>
      <c r="T2" t="s">
        <v>12</v>
      </c>
      <c r="U2" s="5">
        <v>68300</v>
      </c>
      <c r="V2">
        <v>5.9</v>
      </c>
      <c r="W2">
        <v>2</v>
      </c>
      <c r="X2">
        <v>0.25376884422110552</v>
      </c>
      <c r="Y2">
        <v>2</v>
      </c>
      <c r="Z2">
        <v>0.25376884422110552</v>
      </c>
      <c r="AC2">
        <v>1</v>
      </c>
      <c r="AD2" t="s">
        <v>12</v>
      </c>
    </row>
    <row r="3" spans="1:30" x14ac:dyDescent="0.2">
      <c r="A3" t="str">
        <f t="shared" ref="A3:A66" si="0">B3</f>
        <v>Kuwait</v>
      </c>
      <c r="B3" t="s">
        <v>160</v>
      </c>
      <c r="C3" t="e">
        <f t="shared" ref="C3:C67" si="1">IF(ISNUMBER(MATCH(B3,$AD$2:$AD$27,0)),AC3,NA())</f>
        <v>#N/A</v>
      </c>
      <c r="D3" t="e">
        <f t="shared" ref="D3:D66" si="2">IF(ISNUMBER(C3),INDEX($U$2:$U$194, MATCH(B3,$T$2:$T$194,0)),NA())</f>
        <v>#N/A</v>
      </c>
      <c r="E3">
        <f t="shared" ref="E3:E42" si="3">INDEX($V$2:$V$194, MATCH(B3,$T$2:$T$194,0))</f>
        <v>4.3</v>
      </c>
      <c r="F3" t="e">
        <f t="shared" ref="F3:F42" si="4">IF(ISNUMBER(C3),INDEX($O$2:$O$194, MATCH(B3,$N$2:$N$194,0)),NA())</f>
        <v>#N/A</v>
      </c>
      <c r="H3" t="s">
        <v>49</v>
      </c>
      <c r="I3">
        <v>0.98629999999999995</v>
      </c>
      <c r="K3" t="s">
        <v>12</v>
      </c>
      <c r="L3">
        <v>0.99924000000000002</v>
      </c>
      <c r="N3" t="s">
        <v>28</v>
      </c>
      <c r="O3">
        <v>0.99531000000000003</v>
      </c>
      <c r="Q3" t="s">
        <v>160</v>
      </c>
      <c r="R3">
        <v>0.99883</v>
      </c>
      <c r="T3" t="s">
        <v>17</v>
      </c>
      <c r="U3" s="5">
        <v>38110</v>
      </c>
      <c r="V3">
        <v>1.3</v>
      </c>
      <c r="W3">
        <v>3</v>
      </c>
      <c r="X3">
        <v>0.25753768844221103</v>
      </c>
      <c r="Y3">
        <v>3</v>
      </c>
      <c r="Z3">
        <v>0.25753768844221103</v>
      </c>
      <c r="AC3">
        <v>0.99883</v>
      </c>
      <c r="AD3" t="s">
        <v>17</v>
      </c>
    </row>
    <row r="4" spans="1:30" x14ac:dyDescent="0.2">
      <c r="A4" t="str">
        <f t="shared" si="0"/>
        <v>Iceland</v>
      </c>
      <c r="B4" t="s">
        <v>28</v>
      </c>
      <c r="C4">
        <f t="shared" si="1"/>
        <v>0.99829000000000001</v>
      </c>
      <c r="D4">
        <f t="shared" si="2"/>
        <v>55220</v>
      </c>
      <c r="E4">
        <f t="shared" si="3"/>
        <v>0.4</v>
      </c>
      <c r="F4">
        <f t="shared" si="4"/>
        <v>0.99531000000000003</v>
      </c>
      <c r="H4" t="s">
        <v>12</v>
      </c>
      <c r="I4">
        <v>0.98629999999999995</v>
      </c>
      <c r="K4" t="s">
        <v>17</v>
      </c>
      <c r="L4">
        <v>0.99534999999999996</v>
      </c>
      <c r="N4" t="s">
        <v>38</v>
      </c>
      <c r="O4">
        <v>0.98358999999999996</v>
      </c>
      <c r="Q4" t="s">
        <v>28</v>
      </c>
      <c r="R4">
        <v>0.99829000000000001</v>
      </c>
      <c r="T4" t="s">
        <v>22</v>
      </c>
      <c r="U4" s="5">
        <v>116500</v>
      </c>
      <c r="V4">
        <v>5.6</v>
      </c>
      <c r="W4">
        <v>4</v>
      </c>
      <c r="X4">
        <v>0.2613065326633166</v>
      </c>
      <c r="Y4">
        <v>4</v>
      </c>
      <c r="Z4">
        <v>0.2613065326633166</v>
      </c>
      <c r="AC4">
        <v>0.99829000000000001</v>
      </c>
      <c r="AD4" t="s">
        <v>22</v>
      </c>
    </row>
    <row r="5" spans="1:30" x14ac:dyDescent="0.2">
      <c r="A5" t="str">
        <f t="shared" si="0"/>
        <v>Denmark</v>
      </c>
      <c r="B5" t="s">
        <v>12</v>
      </c>
      <c r="C5">
        <f t="shared" si="1"/>
        <v>0.99661999999999995</v>
      </c>
      <c r="D5">
        <f t="shared" si="2"/>
        <v>68300</v>
      </c>
      <c r="E5">
        <f t="shared" si="3"/>
        <v>5.9</v>
      </c>
      <c r="F5">
        <f t="shared" si="4"/>
        <v>0.95840999999999998</v>
      </c>
      <c r="H5" t="s">
        <v>25</v>
      </c>
      <c r="I5">
        <v>0.97260000000000002</v>
      </c>
      <c r="K5" t="s">
        <v>31</v>
      </c>
      <c r="L5">
        <v>0.98995</v>
      </c>
      <c r="N5" t="s">
        <v>39</v>
      </c>
      <c r="O5">
        <v>0.96880999999999995</v>
      </c>
      <c r="Q5" t="s">
        <v>12</v>
      </c>
      <c r="R5">
        <v>0.99661999999999995</v>
      </c>
      <c r="T5" t="s">
        <v>25</v>
      </c>
      <c r="U5" s="5">
        <v>44740</v>
      </c>
      <c r="V5">
        <v>51.8</v>
      </c>
      <c r="W5">
        <v>5</v>
      </c>
      <c r="X5">
        <v>0.26507537688442212</v>
      </c>
      <c r="Y5">
        <v>5</v>
      </c>
      <c r="Z5">
        <v>0.26507537688442212</v>
      </c>
      <c r="AC5">
        <v>0.99661999999999995</v>
      </c>
      <c r="AD5" t="s">
        <v>25</v>
      </c>
    </row>
    <row r="6" spans="1:30" x14ac:dyDescent="0.2">
      <c r="A6" t="str">
        <f t="shared" si="0"/>
        <v>Qatar</v>
      </c>
      <c r="B6" t="s">
        <v>137</v>
      </c>
      <c r="C6" t="e">
        <f t="shared" si="1"/>
        <v>#N/A</v>
      </c>
      <c r="D6" t="e">
        <f t="shared" si="2"/>
        <v>#N/A</v>
      </c>
      <c r="E6">
        <f t="shared" si="3"/>
        <v>2.9</v>
      </c>
      <c r="F6" t="e">
        <f t="shared" si="4"/>
        <v>#N/A</v>
      </c>
      <c r="H6" t="s">
        <v>46</v>
      </c>
      <c r="I6">
        <v>0.97260000000000002</v>
      </c>
      <c r="K6" t="s">
        <v>13</v>
      </c>
      <c r="L6">
        <v>0.98536000000000001</v>
      </c>
      <c r="N6" t="s">
        <v>46</v>
      </c>
      <c r="O6">
        <v>0.96723999999999999</v>
      </c>
      <c r="Q6" t="s">
        <v>137</v>
      </c>
      <c r="R6">
        <v>0.99634</v>
      </c>
      <c r="T6" t="s">
        <v>28</v>
      </c>
      <c r="U6" s="5">
        <v>55220</v>
      </c>
      <c r="V6">
        <v>0.4</v>
      </c>
      <c r="W6">
        <v>6</v>
      </c>
      <c r="X6">
        <v>0.26884422110552764</v>
      </c>
      <c r="Y6">
        <v>6</v>
      </c>
      <c r="Z6">
        <v>0.26884422110552764</v>
      </c>
      <c r="AC6">
        <v>0.99634</v>
      </c>
      <c r="AD6" t="s">
        <v>28</v>
      </c>
    </row>
    <row r="7" spans="1:30" x14ac:dyDescent="0.2">
      <c r="A7" t="str">
        <f t="shared" si="0"/>
        <v>South Korea</v>
      </c>
      <c r="B7" t="s">
        <v>25</v>
      </c>
      <c r="C7">
        <f t="shared" si="1"/>
        <v>0.99170000000000003</v>
      </c>
      <c r="D7">
        <f t="shared" si="2"/>
        <v>44740</v>
      </c>
      <c r="E7">
        <f t="shared" si="3"/>
        <v>51.8</v>
      </c>
      <c r="F7">
        <f t="shared" si="4"/>
        <v>0.91198000000000001</v>
      </c>
      <c r="H7" t="s">
        <v>32</v>
      </c>
      <c r="I7">
        <v>0.97260000000000002</v>
      </c>
      <c r="K7" t="s">
        <v>22</v>
      </c>
      <c r="L7">
        <v>0.98306000000000004</v>
      </c>
      <c r="N7" t="s">
        <v>57</v>
      </c>
      <c r="O7">
        <v>0.96152000000000004</v>
      </c>
      <c r="Q7" t="s">
        <v>25</v>
      </c>
      <c r="R7">
        <v>0.99170000000000003</v>
      </c>
      <c r="T7" t="s">
        <v>31</v>
      </c>
      <c r="U7" s="5">
        <v>46120</v>
      </c>
      <c r="V7">
        <v>35.799999999999997</v>
      </c>
      <c r="W7">
        <v>7</v>
      </c>
      <c r="X7">
        <v>0.27261306532663315</v>
      </c>
      <c r="Y7">
        <v>7</v>
      </c>
      <c r="Z7">
        <v>0.27261306532663315</v>
      </c>
      <c r="AC7">
        <v>0.99170000000000003</v>
      </c>
      <c r="AD7" t="s">
        <v>31</v>
      </c>
    </row>
    <row r="8" spans="1:30" x14ac:dyDescent="0.2">
      <c r="A8" t="str">
        <f t="shared" si="0"/>
        <v>Liechtenstein</v>
      </c>
      <c r="B8" t="s">
        <v>35</v>
      </c>
      <c r="C8" t="e">
        <f t="shared" si="1"/>
        <v>#N/A</v>
      </c>
      <c r="D8" t="e">
        <f t="shared" si="2"/>
        <v>#N/A</v>
      </c>
      <c r="E8">
        <f t="shared" si="3"/>
        <v>0.04</v>
      </c>
      <c r="F8" t="e">
        <f t="shared" si="4"/>
        <v>#N/A</v>
      </c>
      <c r="H8" t="s">
        <v>17</v>
      </c>
      <c r="I8">
        <v>0.95889999999999997</v>
      </c>
      <c r="K8" t="s">
        <v>32</v>
      </c>
      <c r="L8">
        <v>0.95348999999999995</v>
      </c>
      <c r="N8" t="s">
        <v>12</v>
      </c>
      <c r="O8">
        <v>0.95840999999999998</v>
      </c>
      <c r="Q8" t="s">
        <v>35</v>
      </c>
      <c r="R8">
        <v>0.99063999999999997</v>
      </c>
      <c r="T8" t="s">
        <v>32</v>
      </c>
      <c r="U8" s="5">
        <v>53070</v>
      </c>
      <c r="V8">
        <v>67.3</v>
      </c>
      <c r="W8">
        <v>8</v>
      </c>
      <c r="X8">
        <v>0.27638190954773867</v>
      </c>
      <c r="Y8">
        <v>8</v>
      </c>
      <c r="Z8">
        <v>0.27638190954773867</v>
      </c>
      <c r="AC8">
        <v>0.99063999999999997</v>
      </c>
      <c r="AD8" t="s">
        <v>32</v>
      </c>
    </row>
    <row r="9" spans="1:30" x14ac:dyDescent="0.2">
      <c r="A9" t="str">
        <f t="shared" si="0"/>
        <v>Luxembourg</v>
      </c>
      <c r="B9" t="s">
        <v>37</v>
      </c>
      <c r="C9" t="e">
        <f t="shared" si="1"/>
        <v>#N/A</v>
      </c>
      <c r="D9" t="e">
        <f t="shared" si="2"/>
        <v>#N/A</v>
      </c>
      <c r="E9">
        <f t="shared" si="3"/>
        <v>0.6</v>
      </c>
      <c r="F9" t="e">
        <f t="shared" si="4"/>
        <v>#N/A</v>
      </c>
      <c r="H9" t="s">
        <v>28</v>
      </c>
      <c r="I9">
        <v>0.95889999999999997</v>
      </c>
      <c r="K9" t="s">
        <v>57</v>
      </c>
      <c r="L9">
        <v>0.94530000000000003</v>
      </c>
      <c r="N9" t="s">
        <v>17</v>
      </c>
      <c r="O9">
        <v>0.94972000000000001</v>
      </c>
      <c r="Q9" t="s">
        <v>37</v>
      </c>
      <c r="R9">
        <v>0.98875999999999997</v>
      </c>
      <c r="T9" t="s">
        <v>36</v>
      </c>
      <c r="U9" s="5">
        <v>55100</v>
      </c>
      <c r="V9">
        <v>25.7</v>
      </c>
      <c r="W9">
        <v>9</v>
      </c>
      <c r="X9">
        <v>0.28015075376884424</v>
      </c>
      <c r="Y9">
        <v>9</v>
      </c>
      <c r="Z9">
        <v>0.28015075376884424</v>
      </c>
      <c r="AC9">
        <v>0.98875999999999997</v>
      </c>
      <c r="AD9" t="s">
        <v>36</v>
      </c>
    </row>
    <row r="10" spans="1:30" x14ac:dyDescent="0.2">
      <c r="A10" t="str">
        <f t="shared" si="0"/>
        <v>Singapore</v>
      </c>
      <c r="B10" t="s">
        <v>22</v>
      </c>
      <c r="C10">
        <f t="shared" si="1"/>
        <v>0.98806000000000005</v>
      </c>
      <c r="D10">
        <f t="shared" si="2"/>
        <v>116500</v>
      </c>
      <c r="E10">
        <f t="shared" si="3"/>
        <v>5.6</v>
      </c>
      <c r="F10">
        <f t="shared" si="4"/>
        <v>0.93615000000000004</v>
      </c>
      <c r="H10" t="s">
        <v>31</v>
      </c>
      <c r="I10">
        <v>0.95889999999999997</v>
      </c>
      <c r="K10" t="s">
        <v>49</v>
      </c>
      <c r="L10">
        <v>0.94274000000000002</v>
      </c>
      <c r="N10" t="s">
        <v>32</v>
      </c>
      <c r="O10">
        <v>0.94498000000000004</v>
      </c>
      <c r="Q10" t="s">
        <v>22</v>
      </c>
      <c r="R10">
        <v>0.98806000000000005</v>
      </c>
      <c r="T10" t="s">
        <v>38</v>
      </c>
      <c r="U10" s="5">
        <v>53040</v>
      </c>
      <c r="V10">
        <v>5.5</v>
      </c>
      <c r="W10">
        <v>10</v>
      </c>
      <c r="X10">
        <v>0.28391959798994976</v>
      </c>
      <c r="Y10">
        <v>10</v>
      </c>
      <c r="Z10">
        <v>0.28391959798994976</v>
      </c>
      <c r="AC10">
        <v>0.98806000000000005</v>
      </c>
      <c r="AD10" t="s">
        <v>38</v>
      </c>
    </row>
    <row r="11" spans="1:30" x14ac:dyDescent="0.2">
      <c r="A11" t="str">
        <f t="shared" si="0"/>
        <v>Bahrain</v>
      </c>
      <c r="B11" t="s">
        <v>63</v>
      </c>
      <c r="C11">
        <f t="shared" si="1"/>
        <v>0.98773</v>
      </c>
      <c r="D11">
        <f t="shared" si="2"/>
        <v>47850</v>
      </c>
      <c r="E11">
        <f t="shared" si="3"/>
        <v>1.5</v>
      </c>
      <c r="F11">
        <f t="shared" si="4"/>
        <v>0.86804000000000003</v>
      </c>
      <c r="H11" t="s">
        <v>22</v>
      </c>
      <c r="I11">
        <v>0.95889999999999997</v>
      </c>
      <c r="K11" t="s">
        <v>76</v>
      </c>
      <c r="L11">
        <v>0.93903000000000003</v>
      </c>
      <c r="N11" t="s">
        <v>16</v>
      </c>
      <c r="O11">
        <v>0.94355</v>
      </c>
      <c r="Q11" t="s">
        <v>63</v>
      </c>
      <c r="R11">
        <v>0.98773</v>
      </c>
      <c r="T11" t="s">
        <v>39</v>
      </c>
      <c r="U11" s="5">
        <v>61000</v>
      </c>
      <c r="V11">
        <v>17.5</v>
      </c>
      <c r="W11">
        <v>11</v>
      </c>
      <c r="X11">
        <v>0.28768844221105527</v>
      </c>
      <c r="Y11">
        <v>11</v>
      </c>
      <c r="Z11">
        <v>0.28768844221105527</v>
      </c>
      <c r="AC11">
        <v>0.98773</v>
      </c>
      <c r="AD11" t="s">
        <v>39</v>
      </c>
    </row>
    <row r="12" spans="1:30" x14ac:dyDescent="0.2">
      <c r="A12" t="str">
        <f t="shared" si="0"/>
        <v>Brunei Darussalam</v>
      </c>
      <c r="B12" t="s">
        <v>179</v>
      </c>
      <c r="C12" t="e">
        <f t="shared" si="1"/>
        <v>#N/A</v>
      </c>
      <c r="D12" t="e">
        <f t="shared" si="2"/>
        <v>#N/A</v>
      </c>
      <c r="E12">
        <f t="shared" si="3"/>
        <v>0.4</v>
      </c>
      <c r="F12" t="e">
        <f t="shared" si="4"/>
        <v>#N/A</v>
      </c>
      <c r="H12" t="s">
        <v>64</v>
      </c>
      <c r="I12">
        <v>0.94520000000000004</v>
      </c>
      <c r="K12" t="s">
        <v>97</v>
      </c>
      <c r="L12">
        <v>0.92576000000000003</v>
      </c>
      <c r="N12" t="s">
        <v>22</v>
      </c>
      <c r="O12">
        <v>0.93615000000000004</v>
      </c>
      <c r="Q12" t="s">
        <v>179</v>
      </c>
      <c r="R12">
        <v>0.98680000000000001</v>
      </c>
      <c r="T12" t="s">
        <v>16</v>
      </c>
      <c r="U12" s="5">
        <v>74410</v>
      </c>
      <c r="V12">
        <v>9.3000000000000007</v>
      </c>
      <c r="W12">
        <v>12</v>
      </c>
      <c r="X12">
        <v>0.29145728643216079</v>
      </c>
      <c r="Y12">
        <v>12</v>
      </c>
      <c r="Z12">
        <v>0.29145728643216079</v>
      </c>
      <c r="AC12">
        <v>0.98680000000000001</v>
      </c>
      <c r="AD12" t="s">
        <v>16</v>
      </c>
    </row>
    <row r="13" spans="1:30" x14ac:dyDescent="0.2">
      <c r="A13" t="str">
        <f t="shared" si="0"/>
        <v>Sweden</v>
      </c>
      <c r="B13" t="s">
        <v>52</v>
      </c>
      <c r="C13">
        <f t="shared" si="1"/>
        <v>0.98678999999999994</v>
      </c>
      <c r="D13">
        <f t="shared" si="2"/>
        <v>58780</v>
      </c>
      <c r="E13">
        <f t="shared" si="3"/>
        <v>10.4</v>
      </c>
      <c r="F13">
        <f t="shared" si="4"/>
        <v>0.92745</v>
      </c>
      <c r="H13" t="s">
        <v>39</v>
      </c>
      <c r="I13">
        <v>0.93149999999999999</v>
      </c>
      <c r="K13" t="s">
        <v>46</v>
      </c>
      <c r="L13">
        <v>0.92383999999999999</v>
      </c>
      <c r="N13" t="s">
        <v>111</v>
      </c>
      <c r="O13">
        <v>0.93298000000000003</v>
      </c>
      <c r="Q13" t="s">
        <v>52</v>
      </c>
      <c r="R13">
        <v>0.98678999999999994</v>
      </c>
      <c r="T13" t="s">
        <v>46</v>
      </c>
      <c r="U13" s="5">
        <v>58370</v>
      </c>
      <c r="V13">
        <v>83.2</v>
      </c>
      <c r="W13">
        <v>13</v>
      </c>
      <c r="X13">
        <v>0.29522613065326631</v>
      </c>
      <c r="Y13">
        <v>13</v>
      </c>
      <c r="Z13">
        <v>0.29522613065326631</v>
      </c>
      <c r="AC13">
        <v>0.98678999999999994</v>
      </c>
      <c r="AD13" t="s">
        <v>46</v>
      </c>
    </row>
    <row r="14" spans="1:30" x14ac:dyDescent="0.2">
      <c r="A14" t="str">
        <f t="shared" si="0"/>
        <v>Malaysia</v>
      </c>
      <c r="B14" t="s">
        <v>51</v>
      </c>
      <c r="C14" t="e">
        <f t="shared" si="1"/>
        <v>#N/A</v>
      </c>
      <c r="D14" t="e">
        <f t="shared" si="2"/>
        <v>#N/A</v>
      </c>
      <c r="E14">
        <f t="shared" si="3"/>
        <v>33.6</v>
      </c>
      <c r="F14" t="e">
        <f t="shared" si="4"/>
        <v>#N/A</v>
      </c>
      <c r="H14" t="s">
        <v>57</v>
      </c>
      <c r="I14">
        <v>0.93149999999999999</v>
      </c>
      <c r="K14" t="s">
        <v>50</v>
      </c>
      <c r="L14">
        <v>0.92252999999999996</v>
      </c>
      <c r="N14" t="s">
        <v>52</v>
      </c>
      <c r="O14">
        <v>0.92745</v>
      </c>
      <c r="Q14" t="s">
        <v>51</v>
      </c>
      <c r="R14">
        <v>0.98617999999999995</v>
      </c>
      <c r="T14" t="s">
        <v>49</v>
      </c>
      <c r="U14" s="5">
        <v>44600</v>
      </c>
      <c r="V14">
        <v>125.1</v>
      </c>
      <c r="W14">
        <v>14</v>
      </c>
      <c r="X14">
        <v>0.29899497487437188</v>
      </c>
      <c r="Y14">
        <v>14</v>
      </c>
      <c r="Z14">
        <v>0.29899497487437188</v>
      </c>
      <c r="AC14">
        <v>0.98617999999999995</v>
      </c>
      <c r="AD14" t="s">
        <v>49</v>
      </c>
    </row>
    <row r="15" spans="1:30" x14ac:dyDescent="0.2">
      <c r="A15" t="str">
        <f t="shared" si="0"/>
        <v>Saudi Arabia</v>
      </c>
      <c r="B15" t="s">
        <v>31</v>
      </c>
      <c r="C15">
        <f t="shared" si="1"/>
        <v>0.98411000000000004</v>
      </c>
      <c r="D15">
        <f t="shared" si="2"/>
        <v>46120</v>
      </c>
      <c r="E15">
        <f t="shared" si="3"/>
        <v>35.799999999999997</v>
      </c>
      <c r="F15">
        <f t="shared" si="4"/>
        <v>0.90666000000000002</v>
      </c>
      <c r="H15" t="s">
        <v>97</v>
      </c>
      <c r="I15">
        <v>0.93149999999999999</v>
      </c>
      <c r="K15" t="s">
        <v>36</v>
      </c>
      <c r="L15">
        <v>0.92218999999999995</v>
      </c>
      <c r="N15" t="s">
        <v>100</v>
      </c>
      <c r="O15">
        <v>0.92190000000000005</v>
      </c>
      <c r="Q15" t="s">
        <v>31</v>
      </c>
      <c r="R15">
        <v>0.98411000000000004</v>
      </c>
      <c r="T15" t="s">
        <v>52</v>
      </c>
      <c r="U15" s="5">
        <v>58780</v>
      </c>
      <c r="V15">
        <v>10.4</v>
      </c>
      <c r="W15">
        <v>15</v>
      </c>
      <c r="X15">
        <v>0.30276381909547739</v>
      </c>
      <c r="Y15">
        <v>15</v>
      </c>
      <c r="Z15">
        <v>0.30276381909547739</v>
      </c>
      <c r="AC15">
        <v>0.98411000000000004</v>
      </c>
      <c r="AD15" t="s">
        <v>52</v>
      </c>
    </row>
    <row r="16" spans="1:30" x14ac:dyDescent="0.2">
      <c r="A16" t="str">
        <f t="shared" si="0"/>
        <v>Austria</v>
      </c>
      <c r="B16" t="s">
        <v>56</v>
      </c>
      <c r="C16">
        <f t="shared" si="1"/>
        <v>0.98096000000000005</v>
      </c>
      <c r="D16">
        <f t="shared" si="2"/>
        <v>60840</v>
      </c>
      <c r="E16">
        <f t="shared" si="3"/>
        <v>9</v>
      </c>
      <c r="F16">
        <f t="shared" si="4"/>
        <v>0.90027999999999997</v>
      </c>
      <c r="H16" t="s">
        <v>66</v>
      </c>
      <c r="I16">
        <v>0.91779999999999995</v>
      </c>
      <c r="K16" t="s">
        <v>39</v>
      </c>
      <c r="L16">
        <v>0.92118</v>
      </c>
      <c r="N16" t="s">
        <v>50</v>
      </c>
      <c r="O16">
        <v>0.91922999999999999</v>
      </c>
      <c r="Q16" t="s">
        <v>56</v>
      </c>
      <c r="R16">
        <v>0.98096000000000005</v>
      </c>
      <c r="T16" t="s">
        <v>54</v>
      </c>
      <c r="U16" s="5">
        <v>74940</v>
      </c>
      <c r="V16">
        <v>5.4</v>
      </c>
      <c r="W16">
        <v>16</v>
      </c>
      <c r="X16">
        <v>0.30653266331658291</v>
      </c>
      <c r="Y16">
        <v>16</v>
      </c>
      <c r="Z16">
        <v>0.30653266331658291</v>
      </c>
      <c r="AC16">
        <v>0.98096000000000005</v>
      </c>
      <c r="AD16" t="s">
        <v>54</v>
      </c>
    </row>
    <row r="17" spans="1:30" x14ac:dyDescent="0.2">
      <c r="A17" t="str">
        <f t="shared" si="0"/>
        <v>Finland</v>
      </c>
      <c r="B17" t="s">
        <v>38</v>
      </c>
      <c r="C17">
        <f t="shared" si="1"/>
        <v>0.97909000000000002</v>
      </c>
      <c r="D17">
        <f t="shared" si="2"/>
        <v>53040</v>
      </c>
      <c r="E17">
        <f t="shared" si="3"/>
        <v>5.5</v>
      </c>
      <c r="F17">
        <f t="shared" si="4"/>
        <v>0.98358999999999996</v>
      </c>
      <c r="H17" t="s">
        <v>122</v>
      </c>
      <c r="I17">
        <v>0.91779999999999995</v>
      </c>
      <c r="K17" t="s">
        <v>16</v>
      </c>
      <c r="L17">
        <v>0.91627000000000003</v>
      </c>
      <c r="N17" t="s">
        <v>54</v>
      </c>
      <c r="O17">
        <v>0.91747999999999996</v>
      </c>
      <c r="Q17" t="s">
        <v>38</v>
      </c>
      <c r="R17">
        <v>0.97909000000000002</v>
      </c>
      <c r="T17" t="s">
        <v>57</v>
      </c>
      <c r="U17" s="5">
        <v>48830</v>
      </c>
      <c r="V17">
        <v>5.0999999999999996</v>
      </c>
      <c r="W17">
        <v>17</v>
      </c>
      <c r="X17">
        <v>0.31030150753768843</v>
      </c>
      <c r="Y17">
        <v>17</v>
      </c>
      <c r="Z17">
        <v>0.31030150753768843</v>
      </c>
      <c r="AC17">
        <v>0.97909000000000002</v>
      </c>
      <c r="AD17" t="s">
        <v>57</v>
      </c>
    </row>
    <row r="18" spans="1:30" x14ac:dyDescent="0.2">
      <c r="A18" t="str">
        <f t="shared" si="0"/>
        <v>Israel</v>
      </c>
      <c r="B18" t="s">
        <v>74</v>
      </c>
      <c r="C18">
        <f t="shared" si="1"/>
        <v>0.97633000000000003</v>
      </c>
      <c r="D18">
        <f t="shared" si="2"/>
        <v>44740</v>
      </c>
      <c r="E18">
        <f t="shared" si="3"/>
        <v>9.3000000000000007</v>
      </c>
      <c r="F18">
        <f t="shared" si="4"/>
        <v>0.87390000000000001</v>
      </c>
      <c r="H18" t="s">
        <v>91</v>
      </c>
      <c r="I18">
        <v>0.91779999999999995</v>
      </c>
      <c r="K18" t="s">
        <v>64</v>
      </c>
      <c r="L18">
        <v>0.91357999999999995</v>
      </c>
      <c r="N18" t="s">
        <v>25</v>
      </c>
      <c r="O18">
        <v>0.91198000000000001</v>
      </c>
      <c r="Q18" t="s">
        <v>74</v>
      </c>
      <c r="R18">
        <v>0.97633000000000003</v>
      </c>
      <c r="T18" t="s">
        <v>60</v>
      </c>
      <c r="U18" s="5">
        <v>42520</v>
      </c>
      <c r="V18">
        <v>47.4</v>
      </c>
      <c r="W18">
        <v>18</v>
      </c>
      <c r="X18">
        <v>0.31407035175879394</v>
      </c>
      <c r="Y18">
        <v>18</v>
      </c>
      <c r="Z18">
        <v>0.31407035175879394</v>
      </c>
      <c r="AC18">
        <v>0.97633000000000003</v>
      </c>
      <c r="AD18" t="s">
        <v>60</v>
      </c>
    </row>
    <row r="19" spans="1:30" x14ac:dyDescent="0.2">
      <c r="A19" t="str">
        <f t="shared" si="0"/>
        <v>U.K.</v>
      </c>
      <c r="B19" t="s">
        <v>32</v>
      </c>
      <c r="C19">
        <f t="shared" si="1"/>
        <v>0.97467000000000004</v>
      </c>
      <c r="D19">
        <f t="shared" si="2"/>
        <v>53070</v>
      </c>
      <c r="E19">
        <f t="shared" si="3"/>
        <v>67.3</v>
      </c>
      <c r="F19">
        <f t="shared" si="4"/>
        <v>0.94498000000000004</v>
      </c>
      <c r="H19" t="s">
        <v>63</v>
      </c>
      <c r="I19">
        <v>0.90410000000000001</v>
      </c>
      <c r="K19" t="s">
        <v>54</v>
      </c>
      <c r="L19">
        <v>0.91171999999999997</v>
      </c>
      <c r="N19" t="s">
        <v>49</v>
      </c>
      <c r="O19">
        <v>0.91169999999999995</v>
      </c>
      <c r="Q19" t="s">
        <v>32</v>
      </c>
      <c r="R19">
        <v>0.97467000000000004</v>
      </c>
      <c r="T19" t="s">
        <v>63</v>
      </c>
      <c r="U19" s="5">
        <v>47850</v>
      </c>
      <c r="V19">
        <v>1.5</v>
      </c>
      <c r="W19">
        <v>19</v>
      </c>
      <c r="X19">
        <v>0.31783919597989951</v>
      </c>
      <c r="Y19">
        <v>19</v>
      </c>
      <c r="Z19">
        <v>0.31783919597989951</v>
      </c>
      <c r="AC19">
        <v>0.97467000000000004</v>
      </c>
      <c r="AD19" t="s">
        <v>63</v>
      </c>
    </row>
    <row r="20" spans="1:30" x14ac:dyDescent="0.2">
      <c r="A20" t="str">
        <f t="shared" si="0"/>
        <v>Malta</v>
      </c>
      <c r="B20" t="s">
        <v>83</v>
      </c>
      <c r="C20" t="e">
        <f t="shared" si="1"/>
        <v>#N/A</v>
      </c>
      <c r="D20" t="e">
        <f t="shared" si="2"/>
        <v>#N/A</v>
      </c>
      <c r="E20">
        <f t="shared" si="3"/>
        <v>0.5</v>
      </c>
      <c r="F20" t="e">
        <f t="shared" si="4"/>
        <v>#N/A</v>
      </c>
      <c r="H20" t="s">
        <v>38</v>
      </c>
      <c r="I20">
        <v>0.89039999999999997</v>
      </c>
      <c r="K20" t="s">
        <v>38</v>
      </c>
      <c r="L20">
        <v>0.90973000000000004</v>
      </c>
      <c r="N20" t="s">
        <v>31</v>
      </c>
      <c r="O20">
        <v>0.90666000000000002</v>
      </c>
      <c r="Q20" t="s">
        <v>83</v>
      </c>
      <c r="R20">
        <v>0.97465999999999997</v>
      </c>
      <c r="T20" t="s">
        <v>64</v>
      </c>
      <c r="U20" s="5">
        <v>70480</v>
      </c>
      <c r="V20">
        <v>333.3</v>
      </c>
      <c r="W20">
        <v>20</v>
      </c>
      <c r="X20">
        <v>0.32160804020100503</v>
      </c>
      <c r="Y20">
        <v>20</v>
      </c>
      <c r="Z20">
        <v>0.32160804020100503</v>
      </c>
      <c r="AC20">
        <v>0.97465999999999997</v>
      </c>
      <c r="AD20" t="s">
        <v>64</v>
      </c>
    </row>
    <row r="21" spans="1:30" x14ac:dyDescent="0.2">
      <c r="A21" t="str">
        <f t="shared" si="0"/>
        <v>Estonia</v>
      </c>
      <c r="B21" t="s">
        <v>17</v>
      </c>
      <c r="C21">
        <f t="shared" si="1"/>
        <v>0.97309000000000001</v>
      </c>
      <c r="D21">
        <f t="shared" si="2"/>
        <v>38110</v>
      </c>
      <c r="E21">
        <f t="shared" si="3"/>
        <v>1.3</v>
      </c>
      <c r="F21">
        <f t="shared" si="4"/>
        <v>0.94972000000000001</v>
      </c>
      <c r="H21" t="s">
        <v>67</v>
      </c>
      <c r="I21">
        <v>0.89039999999999997</v>
      </c>
      <c r="K21" t="s">
        <v>28</v>
      </c>
      <c r="L21">
        <v>0.90754999999999997</v>
      </c>
      <c r="N21" t="s">
        <v>66</v>
      </c>
      <c r="O21">
        <v>0.90459999999999996</v>
      </c>
      <c r="Q21" t="s">
        <v>17</v>
      </c>
      <c r="R21">
        <v>0.97309000000000001</v>
      </c>
      <c r="T21" t="s">
        <v>66</v>
      </c>
      <c r="U21" s="5">
        <v>99240</v>
      </c>
      <c r="V21">
        <v>5</v>
      </c>
      <c r="W21">
        <v>21</v>
      </c>
      <c r="X21">
        <v>0.32537688442211055</v>
      </c>
      <c r="Y21">
        <v>21</v>
      </c>
      <c r="Z21">
        <v>0.32537688442211055</v>
      </c>
      <c r="AC21">
        <v>0.97309000000000001</v>
      </c>
      <c r="AD21" t="s">
        <v>66</v>
      </c>
    </row>
    <row r="22" spans="1:30" x14ac:dyDescent="0.2">
      <c r="A22" t="str">
        <f t="shared" si="0"/>
        <v>Netherlands</v>
      </c>
      <c r="B22" t="s">
        <v>39</v>
      </c>
      <c r="C22">
        <f t="shared" si="1"/>
        <v>0.97150999999999998</v>
      </c>
      <c r="D22">
        <f t="shared" si="2"/>
        <v>61000</v>
      </c>
      <c r="E22">
        <f t="shared" si="3"/>
        <v>17.5</v>
      </c>
      <c r="F22">
        <f t="shared" si="4"/>
        <v>0.96880999999999995</v>
      </c>
      <c r="H22" t="s">
        <v>161</v>
      </c>
      <c r="I22">
        <v>0.87670000000000003</v>
      </c>
      <c r="K22" t="s">
        <v>130</v>
      </c>
      <c r="L22">
        <v>0.90630999999999995</v>
      </c>
      <c r="N22" t="s">
        <v>81</v>
      </c>
      <c r="O22">
        <v>0.90264</v>
      </c>
      <c r="Q22" t="s">
        <v>39</v>
      </c>
      <c r="R22">
        <v>0.97150999999999998</v>
      </c>
      <c r="T22" t="s">
        <v>68</v>
      </c>
      <c r="U22" s="5">
        <v>42510</v>
      </c>
      <c r="V22">
        <v>2.8</v>
      </c>
      <c r="W22">
        <v>22</v>
      </c>
      <c r="X22">
        <v>0.32914572864321606</v>
      </c>
      <c r="Y22">
        <v>22</v>
      </c>
      <c r="Z22">
        <v>0.32914572864321606</v>
      </c>
      <c r="AC22">
        <v>0.97150999999999998</v>
      </c>
      <c r="AD22" t="s">
        <v>68</v>
      </c>
    </row>
    <row r="23" spans="1:30" x14ac:dyDescent="0.2">
      <c r="A23" t="str">
        <f t="shared" si="0"/>
        <v>Oman</v>
      </c>
      <c r="B23" t="s">
        <v>110</v>
      </c>
      <c r="C23" t="e">
        <f t="shared" si="1"/>
        <v>#N/A</v>
      </c>
      <c r="D23" t="e">
        <f t="shared" si="2"/>
        <v>#N/A</v>
      </c>
      <c r="E23">
        <f t="shared" si="3"/>
        <v>4.5</v>
      </c>
      <c r="F23" t="e">
        <f t="shared" si="4"/>
        <v>#N/A</v>
      </c>
      <c r="H23" t="s">
        <v>54</v>
      </c>
      <c r="I23">
        <v>0.86299999999999999</v>
      </c>
      <c r="K23" t="s">
        <v>60</v>
      </c>
      <c r="L23">
        <v>0.90542</v>
      </c>
      <c r="N23" t="s">
        <v>56</v>
      </c>
      <c r="O23">
        <v>0.90027999999999997</v>
      </c>
      <c r="Q23" t="s">
        <v>110</v>
      </c>
      <c r="R23">
        <v>0.96738999999999997</v>
      </c>
      <c r="T23" t="s">
        <v>56</v>
      </c>
      <c r="U23" s="5">
        <v>60840</v>
      </c>
      <c r="V23">
        <v>9</v>
      </c>
      <c r="W23">
        <v>23</v>
      </c>
      <c r="X23">
        <v>0.33291457286432158</v>
      </c>
      <c r="Y23">
        <v>23</v>
      </c>
      <c r="Z23">
        <v>0.33291457286432158</v>
      </c>
      <c r="AC23">
        <v>0.96738999999999997</v>
      </c>
      <c r="AD23" t="s">
        <v>56</v>
      </c>
    </row>
    <row r="24" spans="1:30" x14ac:dyDescent="0.2">
      <c r="A24" t="str">
        <f t="shared" si="0"/>
        <v>Latvia</v>
      </c>
      <c r="B24" t="s">
        <v>86</v>
      </c>
      <c r="C24" t="e">
        <f t="shared" si="1"/>
        <v>#N/A</v>
      </c>
      <c r="D24" t="e">
        <f t="shared" si="2"/>
        <v>#N/A</v>
      </c>
      <c r="E24">
        <f t="shared" si="3"/>
        <v>1.8</v>
      </c>
      <c r="F24" t="e">
        <f t="shared" si="4"/>
        <v>#N/A</v>
      </c>
      <c r="H24" t="s">
        <v>36</v>
      </c>
      <c r="I24">
        <v>0.86299999999999999</v>
      </c>
      <c r="K24" t="s">
        <v>63</v>
      </c>
      <c r="L24">
        <v>0.90305000000000002</v>
      </c>
      <c r="N24" t="s">
        <v>60</v>
      </c>
      <c r="O24">
        <v>0.89610000000000001</v>
      </c>
      <c r="Q24" t="s">
        <v>86</v>
      </c>
      <c r="R24">
        <v>0.96597</v>
      </c>
      <c r="T24" t="s">
        <v>74</v>
      </c>
      <c r="U24" s="5">
        <v>44740</v>
      </c>
      <c r="V24">
        <v>9.3000000000000007</v>
      </c>
      <c r="W24">
        <v>24</v>
      </c>
      <c r="X24">
        <v>0.33668341708542715</v>
      </c>
      <c r="Y24">
        <v>24</v>
      </c>
      <c r="Z24">
        <v>0.33668341708542715</v>
      </c>
      <c r="AC24">
        <v>0.96597</v>
      </c>
      <c r="AD24" t="s">
        <v>74</v>
      </c>
    </row>
    <row r="25" spans="1:30" x14ac:dyDescent="0.2">
      <c r="A25" t="str">
        <f t="shared" si="0"/>
        <v>Norway</v>
      </c>
      <c r="B25" t="s">
        <v>54</v>
      </c>
      <c r="C25">
        <f t="shared" si="1"/>
        <v>0.96538999999999997</v>
      </c>
      <c r="D25">
        <f t="shared" si="2"/>
        <v>74940</v>
      </c>
      <c r="E25">
        <f t="shared" si="3"/>
        <v>5.4</v>
      </c>
      <c r="F25">
        <f t="shared" si="4"/>
        <v>0.91747999999999996</v>
      </c>
      <c r="H25" t="s">
        <v>130</v>
      </c>
      <c r="I25">
        <v>0.86299999999999999</v>
      </c>
      <c r="K25" t="s">
        <v>107</v>
      </c>
      <c r="L25">
        <v>0.88721000000000005</v>
      </c>
      <c r="N25" t="s">
        <v>68</v>
      </c>
      <c r="O25">
        <v>0.88612999999999997</v>
      </c>
      <c r="Q25" t="s">
        <v>54</v>
      </c>
      <c r="R25">
        <v>0.96538999999999997</v>
      </c>
      <c r="T25" t="s">
        <v>76</v>
      </c>
      <c r="U25" s="5">
        <v>26940</v>
      </c>
      <c r="V25">
        <v>19.399999999999999</v>
      </c>
      <c r="W25">
        <v>25</v>
      </c>
      <c r="X25">
        <v>0.34045226130653267</v>
      </c>
      <c r="Y25">
        <v>25</v>
      </c>
      <c r="Z25">
        <v>0.34045226130653267</v>
      </c>
      <c r="AC25">
        <v>0.96538999999999997</v>
      </c>
      <c r="AD25" t="s">
        <v>76</v>
      </c>
    </row>
    <row r="26" spans="1:30" x14ac:dyDescent="0.2">
      <c r="A26" t="str">
        <f t="shared" si="0"/>
        <v>Libya</v>
      </c>
      <c r="B26" t="s">
        <v>80</v>
      </c>
      <c r="C26" t="e">
        <f t="shared" si="1"/>
        <v>#N/A</v>
      </c>
      <c r="D26" t="e">
        <f t="shared" si="2"/>
        <v>#N/A</v>
      </c>
      <c r="E26">
        <f t="shared" si="3"/>
        <v>6.9</v>
      </c>
      <c r="F26" t="e">
        <f t="shared" si="4"/>
        <v>#N/A</v>
      </c>
      <c r="H26" t="s">
        <v>50</v>
      </c>
      <c r="I26">
        <v>0.86299999999999999</v>
      </c>
      <c r="K26" t="s">
        <v>161</v>
      </c>
      <c r="L26">
        <v>0.88507000000000002</v>
      </c>
      <c r="N26" t="s">
        <v>64</v>
      </c>
      <c r="O26">
        <v>0.88424000000000003</v>
      </c>
      <c r="Q26" t="s">
        <v>80</v>
      </c>
      <c r="R26">
        <v>0.96389999999999998</v>
      </c>
      <c r="T26" t="s">
        <v>79</v>
      </c>
      <c r="U26" s="5">
        <v>25660</v>
      </c>
      <c r="V26">
        <v>3.5</v>
      </c>
      <c r="W26">
        <v>26</v>
      </c>
      <c r="X26">
        <v>0.34422110552763818</v>
      </c>
      <c r="Y26">
        <v>26</v>
      </c>
      <c r="Z26">
        <v>0.34422110552763818</v>
      </c>
      <c r="AC26">
        <v>0.96389999999999998</v>
      </c>
      <c r="AD26" t="s">
        <v>79</v>
      </c>
    </row>
    <row r="27" spans="1:30" x14ac:dyDescent="0.2">
      <c r="A27" t="str">
        <f t="shared" si="0"/>
        <v>Lithuania</v>
      </c>
      <c r="B27" t="s">
        <v>68</v>
      </c>
      <c r="C27">
        <f t="shared" si="1"/>
        <v>0.96309</v>
      </c>
      <c r="D27">
        <f t="shared" si="2"/>
        <v>42510</v>
      </c>
      <c r="E27">
        <f t="shared" si="3"/>
        <v>2.8</v>
      </c>
      <c r="F27">
        <f t="shared" si="4"/>
        <v>0.88612999999999997</v>
      </c>
      <c r="H27" t="s">
        <v>79</v>
      </c>
      <c r="I27">
        <v>0.86299999999999999</v>
      </c>
      <c r="K27" t="s">
        <v>68</v>
      </c>
      <c r="L27">
        <v>0.88390000000000002</v>
      </c>
      <c r="N27" t="s">
        <v>86</v>
      </c>
      <c r="O27">
        <v>0.88046999999999997</v>
      </c>
      <c r="Q27" t="s">
        <v>68</v>
      </c>
      <c r="R27">
        <v>0.96309</v>
      </c>
      <c r="T27" t="s">
        <v>81</v>
      </c>
      <c r="U27" s="5">
        <v>74250</v>
      </c>
      <c r="V27">
        <v>8.6999999999999993</v>
      </c>
      <c r="W27">
        <v>27</v>
      </c>
      <c r="X27">
        <v>0.34798994974874375</v>
      </c>
      <c r="Y27">
        <v>27</v>
      </c>
      <c r="Z27">
        <v>0.34798994974874375</v>
      </c>
      <c r="AC27">
        <v>0.96309</v>
      </c>
      <c r="AD27" t="s">
        <v>81</v>
      </c>
    </row>
    <row r="28" spans="1:30" x14ac:dyDescent="0.2">
      <c r="A28" t="str">
        <f t="shared" si="0"/>
        <v>U.S.A.</v>
      </c>
      <c r="B28" t="s">
        <v>64</v>
      </c>
      <c r="C28">
        <f t="shared" si="1"/>
        <v>0.96052000000000004</v>
      </c>
      <c r="D28">
        <f t="shared" si="2"/>
        <v>70480</v>
      </c>
      <c r="E28">
        <f t="shared" si="3"/>
        <v>333.3</v>
      </c>
      <c r="F28">
        <f t="shared" si="4"/>
        <v>0.88424000000000003</v>
      </c>
      <c r="H28" t="s">
        <v>76</v>
      </c>
      <c r="I28">
        <v>0.84930000000000005</v>
      </c>
      <c r="K28" t="s">
        <v>52</v>
      </c>
      <c r="L28">
        <v>0.88361000000000001</v>
      </c>
      <c r="N28" t="s">
        <v>79</v>
      </c>
      <c r="O28">
        <v>0.87487999999999999</v>
      </c>
      <c r="Q28" t="s">
        <v>64</v>
      </c>
      <c r="R28">
        <v>0.96052000000000004</v>
      </c>
      <c r="T28" t="s">
        <v>50</v>
      </c>
      <c r="U28" s="5">
        <v>32730</v>
      </c>
      <c r="V28">
        <v>85.3</v>
      </c>
      <c r="W28">
        <v>28</v>
      </c>
      <c r="X28">
        <v>0.35175879396984921</v>
      </c>
      <c r="Y28">
        <v>28</v>
      </c>
      <c r="Z28">
        <v>0.35175879396984921</v>
      </c>
      <c r="AC28">
        <v>0.96052000000000004</v>
      </c>
    </row>
    <row r="29" spans="1:30" x14ac:dyDescent="0.2">
      <c r="A29" t="str">
        <f t="shared" si="0"/>
        <v>Poland</v>
      </c>
      <c r="B29" t="s">
        <v>101</v>
      </c>
      <c r="C29" t="e">
        <f t="shared" si="1"/>
        <v>#N/A</v>
      </c>
      <c r="D29" t="e">
        <f t="shared" si="2"/>
        <v>#N/A</v>
      </c>
      <c r="E29">
        <f t="shared" si="3"/>
        <v>37.799999999999997</v>
      </c>
      <c r="F29" t="e">
        <f t="shared" si="4"/>
        <v>#N/A</v>
      </c>
      <c r="H29" t="s">
        <v>124</v>
      </c>
      <c r="I29">
        <v>0.84930000000000005</v>
      </c>
      <c r="K29" t="s">
        <v>79</v>
      </c>
      <c r="L29">
        <v>0.88321000000000005</v>
      </c>
      <c r="N29" t="s">
        <v>74</v>
      </c>
      <c r="O29">
        <v>0.87390000000000001</v>
      </c>
      <c r="Q29" t="s">
        <v>101</v>
      </c>
      <c r="R29">
        <v>0.96033999999999997</v>
      </c>
      <c r="T29" t="s">
        <v>83</v>
      </c>
      <c r="U29" s="5">
        <v>54910</v>
      </c>
      <c r="V29">
        <v>0.5</v>
      </c>
      <c r="W29">
        <v>29</v>
      </c>
      <c r="X29">
        <v>0.35552763819095479</v>
      </c>
      <c r="Y29">
        <v>29</v>
      </c>
      <c r="Z29">
        <v>0.35552763819095479</v>
      </c>
      <c r="AC29">
        <v>0.96033999999999997</v>
      </c>
    </row>
    <row r="30" spans="1:30" x14ac:dyDescent="0.2">
      <c r="A30" t="str">
        <f t="shared" si="0"/>
        <v>Spain</v>
      </c>
      <c r="B30" t="s">
        <v>60</v>
      </c>
      <c r="C30">
        <f t="shared" si="1"/>
        <v>0.96031</v>
      </c>
      <c r="D30">
        <f t="shared" si="2"/>
        <v>42520</v>
      </c>
      <c r="E30">
        <f t="shared" si="3"/>
        <v>47.4</v>
      </c>
      <c r="F30">
        <f t="shared" si="4"/>
        <v>0.89610000000000001</v>
      </c>
      <c r="H30" t="s">
        <v>68</v>
      </c>
      <c r="I30">
        <v>0.83560000000000001</v>
      </c>
      <c r="K30" t="s">
        <v>66</v>
      </c>
      <c r="L30">
        <v>0.87678</v>
      </c>
      <c r="N30" t="s">
        <v>122</v>
      </c>
      <c r="O30">
        <v>0.87248999999999999</v>
      </c>
      <c r="Q30" t="s">
        <v>60</v>
      </c>
      <c r="R30">
        <v>0.96031</v>
      </c>
      <c r="T30" t="s">
        <v>86</v>
      </c>
      <c r="U30" s="5">
        <v>35230</v>
      </c>
      <c r="V30">
        <v>1.8</v>
      </c>
      <c r="W30">
        <v>30</v>
      </c>
      <c r="X30">
        <v>0.3592964824120603</v>
      </c>
      <c r="Y30">
        <v>30</v>
      </c>
      <c r="Z30">
        <v>0.3592964824120603</v>
      </c>
      <c r="AC30">
        <v>0.96031</v>
      </c>
    </row>
    <row r="31" spans="1:30" x14ac:dyDescent="0.2">
      <c r="A31" t="str">
        <f t="shared" si="0"/>
        <v>Ireland</v>
      </c>
      <c r="B31" t="s">
        <v>66</v>
      </c>
      <c r="C31">
        <f t="shared" si="1"/>
        <v>0.95987</v>
      </c>
      <c r="D31">
        <f t="shared" si="2"/>
        <v>99240</v>
      </c>
      <c r="E31">
        <f t="shared" si="3"/>
        <v>5</v>
      </c>
      <c r="F31">
        <f t="shared" si="4"/>
        <v>0.90459999999999996</v>
      </c>
      <c r="H31" t="s">
        <v>89</v>
      </c>
      <c r="I31">
        <v>0.83560000000000001</v>
      </c>
      <c r="K31" t="s">
        <v>83</v>
      </c>
      <c r="L31">
        <v>0.87492000000000003</v>
      </c>
      <c r="N31" t="s">
        <v>146</v>
      </c>
      <c r="O31">
        <v>0.87029999999999996</v>
      </c>
      <c r="Q31" t="s">
        <v>66</v>
      </c>
      <c r="R31">
        <v>0.95987</v>
      </c>
      <c r="T31" t="s">
        <v>13</v>
      </c>
      <c r="U31" s="5">
        <v>14480</v>
      </c>
      <c r="V31">
        <v>41.2</v>
      </c>
      <c r="W31">
        <v>31</v>
      </c>
      <c r="X31">
        <v>0.36306532663316582</v>
      </c>
      <c r="Y31">
        <v>31</v>
      </c>
      <c r="Z31">
        <v>0.36306532663316582</v>
      </c>
      <c r="AC31">
        <v>0.95987</v>
      </c>
    </row>
    <row r="32" spans="1:30" x14ac:dyDescent="0.2">
      <c r="A32" t="str">
        <f t="shared" si="0"/>
        <v>Switzerland</v>
      </c>
      <c r="B32" t="s">
        <v>81</v>
      </c>
      <c r="C32">
        <f t="shared" si="1"/>
        <v>0.95757000000000003</v>
      </c>
      <c r="D32">
        <f t="shared" si="2"/>
        <v>74250</v>
      </c>
      <c r="E32">
        <f t="shared" si="3"/>
        <v>8.6999999999999993</v>
      </c>
      <c r="F32">
        <f t="shared" si="4"/>
        <v>0.90264</v>
      </c>
      <c r="H32" t="s">
        <v>107</v>
      </c>
      <c r="I32">
        <v>0.83560000000000001</v>
      </c>
      <c r="K32" t="s">
        <v>91</v>
      </c>
      <c r="L32">
        <v>0.87346999999999997</v>
      </c>
      <c r="N32" t="s">
        <v>102</v>
      </c>
      <c r="O32">
        <v>0.86980000000000002</v>
      </c>
      <c r="Q32" t="s">
        <v>81</v>
      </c>
      <c r="R32">
        <v>0.95757000000000003</v>
      </c>
      <c r="T32" t="s">
        <v>89</v>
      </c>
      <c r="U32" s="5">
        <v>25670</v>
      </c>
      <c r="V32">
        <v>19.5</v>
      </c>
      <c r="W32">
        <v>32</v>
      </c>
      <c r="X32">
        <v>0.36683417085427139</v>
      </c>
      <c r="Y32">
        <v>32</v>
      </c>
      <c r="Z32">
        <v>0.36683417085427139</v>
      </c>
      <c r="AC32">
        <v>0.95757000000000003</v>
      </c>
    </row>
    <row r="33" spans="1:29" x14ac:dyDescent="0.2">
      <c r="A33" t="str">
        <f t="shared" si="0"/>
        <v>Russia</v>
      </c>
      <c r="B33" t="s">
        <v>93</v>
      </c>
      <c r="C33" t="e">
        <f t="shared" si="1"/>
        <v>#N/A</v>
      </c>
      <c r="D33" t="e">
        <f t="shared" si="2"/>
        <v>#N/A</v>
      </c>
      <c r="E33">
        <f t="shared" si="3"/>
        <v>143.6</v>
      </c>
      <c r="F33" t="e">
        <f t="shared" si="4"/>
        <v>#N/A</v>
      </c>
      <c r="H33" t="s">
        <v>81</v>
      </c>
      <c r="I33">
        <v>0.82189999999999996</v>
      </c>
      <c r="K33" t="s">
        <v>94</v>
      </c>
      <c r="L33">
        <v>0.86395999999999995</v>
      </c>
      <c r="N33" t="s">
        <v>63</v>
      </c>
      <c r="O33">
        <v>0.86804000000000003</v>
      </c>
      <c r="Q33" t="s">
        <v>93</v>
      </c>
      <c r="R33">
        <v>0.95118000000000003</v>
      </c>
      <c r="T33" t="s">
        <v>91</v>
      </c>
      <c r="U33" s="5">
        <v>34740</v>
      </c>
      <c r="V33">
        <v>3.9</v>
      </c>
      <c r="W33">
        <v>33</v>
      </c>
      <c r="X33">
        <v>0.37060301507537685</v>
      </c>
      <c r="Y33">
        <v>33</v>
      </c>
      <c r="Z33">
        <v>0.37060301507537685</v>
      </c>
      <c r="AC33">
        <v>0.95118000000000003</v>
      </c>
    </row>
    <row r="34" spans="1:29" x14ac:dyDescent="0.2">
      <c r="A34" t="str">
        <f t="shared" si="0"/>
        <v>Australia</v>
      </c>
      <c r="B34" s="12" t="s">
        <v>36</v>
      </c>
      <c r="C34">
        <f t="shared" si="1"/>
        <v>0.95091999999999999</v>
      </c>
      <c r="D34">
        <f t="shared" si="2"/>
        <v>55100</v>
      </c>
      <c r="E34">
        <f t="shared" si="3"/>
        <v>25.7</v>
      </c>
      <c r="F34">
        <f t="shared" si="4"/>
        <v>1</v>
      </c>
      <c r="H34" t="s">
        <v>60</v>
      </c>
      <c r="I34">
        <v>0.80820000000000003</v>
      </c>
      <c r="K34" t="s">
        <v>89</v>
      </c>
      <c r="L34">
        <v>0.86119000000000001</v>
      </c>
      <c r="N34" t="s">
        <v>95</v>
      </c>
      <c r="O34">
        <v>0.86538999999999999</v>
      </c>
      <c r="Q34" s="6" t="s">
        <v>36</v>
      </c>
      <c r="R34" s="6">
        <v>0.95091999999999999</v>
      </c>
      <c r="T34" t="s">
        <v>94</v>
      </c>
      <c r="U34" s="5">
        <v>43770</v>
      </c>
      <c r="V34">
        <v>2.1</v>
      </c>
      <c r="W34">
        <v>34</v>
      </c>
      <c r="X34">
        <v>0.37437185929648242</v>
      </c>
      <c r="Y34">
        <v>34</v>
      </c>
      <c r="Z34">
        <v>0.37437185929648242</v>
      </c>
      <c r="AC34" s="12">
        <v>0.95091999999999999</v>
      </c>
    </row>
    <row r="35" spans="1:29" x14ac:dyDescent="0.2">
      <c r="A35" t="str">
        <f t="shared" si="0"/>
        <v>Japan</v>
      </c>
      <c r="B35" t="s">
        <v>49</v>
      </c>
      <c r="C35">
        <f t="shared" si="1"/>
        <v>0.95091000000000003</v>
      </c>
      <c r="D35">
        <f t="shared" si="2"/>
        <v>44600</v>
      </c>
      <c r="E35">
        <f t="shared" si="3"/>
        <v>125.1</v>
      </c>
      <c r="F35">
        <f t="shared" si="4"/>
        <v>0.91169999999999995</v>
      </c>
      <c r="H35" t="s">
        <v>96</v>
      </c>
      <c r="I35">
        <v>0.80820000000000003</v>
      </c>
      <c r="K35" t="s">
        <v>122</v>
      </c>
      <c r="L35">
        <v>0.85516000000000003</v>
      </c>
      <c r="N35" t="s">
        <v>96</v>
      </c>
      <c r="O35">
        <v>0.85645000000000004</v>
      </c>
      <c r="Q35" t="s">
        <v>49</v>
      </c>
      <c r="R35">
        <v>0.95091000000000003</v>
      </c>
      <c r="T35" t="s">
        <v>96</v>
      </c>
      <c r="U35" s="5">
        <v>50660</v>
      </c>
      <c r="V35">
        <v>67.8</v>
      </c>
      <c r="W35">
        <v>35</v>
      </c>
      <c r="X35">
        <v>0.37814070351758794</v>
      </c>
      <c r="Y35">
        <v>35</v>
      </c>
      <c r="Z35">
        <v>0.37814070351758794</v>
      </c>
      <c r="AC35">
        <v>0.95091000000000003</v>
      </c>
    </row>
    <row r="36" spans="1:29" x14ac:dyDescent="0.2">
      <c r="A36" t="str">
        <f t="shared" si="0"/>
        <v>San Marino</v>
      </c>
      <c r="B36" t="s">
        <v>233</v>
      </c>
      <c r="C36" t="e">
        <f t="shared" si="1"/>
        <v>#N/A</v>
      </c>
      <c r="D36" t="e">
        <f t="shared" si="2"/>
        <v>#N/A</v>
      </c>
      <c r="E36">
        <f t="shared" si="3"/>
        <v>0.03</v>
      </c>
      <c r="F36" t="e">
        <f t="shared" si="4"/>
        <v>#N/A</v>
      </c>
      <c r="H36" t="s">
        <v>156</v>
      </c>
      <c r="I36">
        <v>0.79449999999999998</v>
      </c>
      <c r="K36" t="s">
        <v>74</v>
      </c>
      <c r="L36">
        <v>0.85411999999999999</v>
      </c>
      <c r="N36" t="s">
        <v>124</v>
      </c>
      <c r="O36">
        <v>0.85609999999999997</v>
      </c>
      <c r="Q36" t="s">
        <v>233</v>
      </c>
      <c r="R36">
        <v>0.94911999999999996</v>
      </c>
      <c r="T36" t="s">
        <v>97</v>
      </c>
      <c r="U36" s="5">
        <v>18140</v>
      </c>
      <c r="V36" s="7">
        <v>1412.2</v>
      </c>
      <c r="W36">
        <v>36</v>
      </c>
      <c r="X36">
        <v>0.38190954773869346</v>
      </c>
      <c r="Y36">
        <v>36</v>
      </c>
      <c r="Z36">
        <v>0.38190954773869346</v>
      </c>
      <c r="AC36">
        <v>0.94911999999999996</v>
      </c>
    </row>
    <row r="37" spans="1:29" x14ac:dyDescent="0.2">
      <c r="A37" t="str">
        <f t="shared" si="0"/>
        <v>Chile</v>
      </c>
      <c r="B37" t="s">
        <v>89</v>
      </c>
      <c r="C37" t="e">
        <f t="shared" si="1"/>
        <v>#N/A</v>
      </c>
      <c r="D37" t="e">
        <f t="shared" si="2"/>
        <v>#N/A</v>
      </c>
      <c r="E37">
        <f t="shared" si="3"/>
        <v>19.5</v>
      </c>
      <c r="F37" t="e">
        <f t="shared" si="4"/>
        <v>#N/A</v>
      </c>
      <c r="H37" t="s">
        <v>52</v>
      </c>
      <c r="I37">
        <v>0.79449999999999998</v>
      </c>
      <c r="K37" t="s">
        <v>67</v>
      </c>
      <c r="L37">
        <v>0.85397000000000001</v>
      </c>
      <c r="N37" t="s">
        <v>91</v>
      </c>
      <c r="O37">
        <v>0.85375999999999996</v>
      </c>
      <c r="Q37" t="s">
        <v>89</v>
      </c>
      <c r="R37">
        <v>0.94552999999999998</v>
      </c>
      <c r="T37" t="s">
        <v>100</v>
      </c>
      <c r="U37" s="5">
        <v>32160</v>
      </c>
      <c r="V37">
        <v>10.4</v>
      </c>
      <c r="W37">
        <v>37</v>
      </c>
      <c r="X37">
        <v>0.38567839195979903</v>
      </c>
      <c r="Y37">
        <v>37</v>
      </c>
      <c r="Z37">
        <v>0.38567839195979903</v>
      </c>
      <c r="AC37">
        <v>0.94552999999999998</v>
      </c>
    </row>
    <row r="38" spans="1:29" x14ac:dyDescent="0.2">
      <c r="A38" t="str">
        <f t="shared" si="0"/>
        <v>Uruguay</v>
      </c>
      <c r="B38" t="s">
        <v>79</v>
      </c>
      <c r="C38">
        <f t="shared" si="1"/>
        <v>0.94374000000000002</v>
      </c>
      <c r="D38">
        <f t="shared" si="2"/>
        <v>25660</v>
      </c>
      <c r="E38">
        <f t="shared" si="3"/>
        <v>3.5</v>
      </c>
      <c r="F38">
        <f t="shared" si="4"/>
        <v>0.87487999999999999</v>
      </c>
      <c r="H38" t="s">
        <v>86</v>
      </c>
      <c r="I38">
        <v>0.78080000000000005</v>
      </c>
      <c r="K38" t="s">
        <v>96</v>
      </c>
      <c r="L38">
        <v>0.84399999999999997</v>
      </c>
      <c r="N38" t="s">
        <v>94</v>
      </c>
      <c r="O38">
        <v>0.85297999999999996</v>
      </c>
      <c r="Q38" t="s">
        <v>79</v>
      </c>
      <c r="R38">
        <v>0.94374000000000002</v>
      </c>
      <c r="T38" t="s">
        <v>101</v>
      </c>
      <c r="U38" s="5">
        <v>37710</v>
      </c>
      <c r="V38">
        <v>37.799999999999997</v>
      </c>
      <c r="W38">
        <v>38</v>
      </c>
      <c r="X38">
        <v>0.38944723618090449</v>
      </c>
      <c r="Y38">
        <v>38</v>
      </c>
      <c r="Z38">
        <v>0.38944723618090449</v>
      </c>
      <c r="AC38">
        <v>0.94374000000000002</v>
      </c>
    </row>
    <row r="39" spans="1:29" x14ac:dyDescent="0.2">
      <c r="A39" t="str">
        <f t="shared" si="0"/>
        <v>Thailand</v>
      </c>
      <c r="B39" t="s">
        <v>135</v>
      </c>
      <c r="C39" t="e">
        <f t="shared" si="1"/>
        <v>#N/A</v>
      </c>
      <c r="D39" t="e">
        <f t="shared" si="2"/>
        <v>#N/A</v>
      </c>
      <c r="E39">
        <f t="shared" si="3"/>
        <v>71.7</v>
      </c>
      <c r="F39" t="e">
        <f t="shared" si="4"/>
        <v>#N/A</v>
      </c>
      <c r="H39" t="s">
        <v>119</v>
      </c>
      <c r="I39">
        <v>0.78080000000000005</v>
      </c>
      <c r="K39" t="s">
        <v>81</v>
      </c>
      <c r="L39">
        <v>0.84079999999999999</v>
      </c>
      <c r="N39" t="s">
        <v>121</v>
      </c>
      <c r="O39">
        <v>0.85082000000000002</v>
      </c>
      <c r="Q39" t="s">
        <v>135</v>
      </c>
      <c r="R39">
        <v>0.94101000000000001</v>
      </c>
      <c r="T39" t="s">
        <v>102</v>
      </c>
      <c r="U39" s="5">
        <v>42230</v>
      </c>
      <c r="V39">
        <v>1.2</v>
      </c>
      <c r="W39">
        <v>39</v>
      </c>
      <c r="X39">
        <v>0.39321608040201006</v>
      </c>
      <c r="Y39">
        <v>39</v>
      </c>
      <c r="Z39">
        <v>0.39321608040201006</v>
      </c>
      <c r="AC39">
        <v>0.94101000000000001</v>
      </c>
    </row>
    <row r="40" spans="1:29" x14ac:dyDescent="0.2">
      <c r="A40" t="str">
        <f t="shared" si="0"/>
        <v>Mongolia</v>
      </c>
      <c r="B40" t="s">
        <v>119</v>
      </c>
      <c r="C40" t="e">
        <f t="shared" si="1"/>
        <v>#N/A</v>
      </c>
      <c r="D40" t="e">
        <f t="shared" si="2"/>
        <v>#N/A</v>
      </c>
      <c r="E40">
        <f t="shared" si="3"/>
        <v>3.4</v>
      </c>
      <c r="F40" t="e">
        <f t="shared" si="4"/>
        <v>#N/A</v>
      </c>
      <c r="H40" t="s">
        <v>56</v>
      </c>
      <c r="I40">
        <v>0.78080000000000005</v>
      </c>
      <c r="K40" t="s">
        <v>56</v>
      </c>
      <c r="L40">
        <v>0.83828999999999998</v>
      </c>
      <c r="N40" t="s">
        <v>141</v>
      </c>
      <c r="O40">
        <v>0.84416000000000002</v>
      </c>
      <c r="Q40" t="s">
        <v>119</v>
      </c>
      <c r="R40">
        <v>0.93740999999999997</v>
      </c>
      <c r="T40" t="s">
        <v>67</v>
      </c>
      <c r="U40" s="5">
        <v>23170</v>
      </c>
      <c r="V40">
        <v>6.7</v>
      </c>
      <c r="W40">
        <v>40</v>
      </c>
      <c r="X40">
        <v>0.39698492462311558</v>
      </c>
      <c r="Y40">
        <v>40</v>
      </c>
      <c r="Z40">
        <v>0.39698492462311558</v>
      </c>
      <c r="AC40">
        <v>0.93740999999999997</v>
      </c>
    </row>
    <row r="41" spans="1:29" x14ac:dyDescent="0.2">
      <c r="A41" t="str">
        <f t="shared" si="0"/>
        <v>Germany</v>
      </c>
      <c r="B41" t="s">
        <v>46</v>
      </c>
      <c r="C41">
        <f t="shared" si="1"/>
        <v>0.92359000000000002</v>
      </c>
      <c r="D41">
        <f t="shared" si="2"/>
        <v>58370</v>
      </c>
      <c r="E41">
        <f t="shared" si="3"/>
        <v>83.2</v>
      </c>
      <c r="F41">
        <f t="shared" si="4"/>
        <v>0.96723999999999999</v>
      </c>
      <c r="H41" t="s">
        <v>94</v>
      </c>
      <c r="I41">
        <v>0.78080000000000005</v>
      </c>
      <c r="K41" t="s">
        <v>144</v>
      </c>
      <c r="L41">
        <v>0.8377</v>
      </c>
      <c r="N41" t="s">
        <v>132</v>
      </c>
      <c r="O41">
        <v>0.84262000000000004</v>
      </c>
      <c r="Q41" t="s">
        <v>46</v>
      </c>
      <c r="R41">
        <v>0.92359000000000002</v>
      </c>
      <c r="T41" t="s">
        <v>107</v>
      </c>
      <c r="U41" s="5">
        <v>13360</v>
      </c>
      <c r="V41">
        <v>60</v>
      </c>
      <c r="W41">
        <v>41</v>
      </c>
      <c r="X41">
        <v>0.40075376884422109</v>
      </c>
      <c r="Y41">
        <v>41</v>
      </c>
      <c r="Z41">
        <v>0.40075376884422109</v>
      </c>
      <c r="AC41">
        <v>0.92359000000000002</v>
      </c>
    </row>
    <row r="42" spans="1:29" x14ac:dyDescent="0.2">
      <c r="A42" t="str">
        <f t="shared" si="0"/>
        <v>Kazakhstan</v>
      </c>
      <c r="B42" t="s">
        <v>76</v>
      </c>
      <c r="C42">
        <f t="shared" si="1"/>
        <v>0.92352999999999996</v>
      </c>
      <c r="D42">
        <f t="shared" si="2"/>
        <v>26940</v>
      </c>
      <c r="E42">
        <f t="shared" si="3"/>
        <v>19.399999999999999</v>
      </c>
      <c r="F42">
        <f t="shared" si="4"/>
        <v>0.84028999999999998</v>
      </c>
      <c r="H42" t="s">
        <v>16</v>
      </c>
      <c r="I42">
        <v>0.78080000000000005</v>
      </c>
      <c r="K42" t="s">
        <v>119</v>
      </c>
      <c r="L42">
        <v>0.82218999999999998</v>
      </c>
      <c r="N42" t="s">
        <v>89</v>
      </c>
      <c r="O42">
        <v>0.84128999999999998</v>
      </c>
      <c r="Q42" t="s">
        <v>76</v>
      </c>
      <c r="R42">
        <v>0.92352999999999996</v>
      </c>
      <c r="T42" t="s">
        <v>110</v>
      </c>
      <c r="U42" s="5">
        <v>39840</v>
      </c>
      <c r="V42">
        <v>4.5</v>
      </c>
      <c r="W42">
        <v>42</v>
      </c>
      <c r="X42">
        <v>0.40452261306532666</v>
      </c>
      <c r="Y42">
        <v>42</v>
      </c>
      <c r="Z42">
        <v>0.40452261306532666</v>
      </c>
      <c r="AC42">
        <v>0.92352999999999996</v>
      </c>
    </row>
    <row r="43" spans="1:29" x14ac:dyDescent="0.2">
      <c r="A43" t="str">
        <f t="shared" si="0"/>
        <v>Andorra</v>
      </c>
      <c r="B43" t="s">
        <v>206</v>
      </c>
      <c r="C43" t="e">
        <f t="shared" si="1"/>
        <v>#N/A</v>
      </c>
      <c r="D43" t="e">
        <f t="shared" si="2"/>
        <v>#N/A</v>
      </c>
      <c r="E43">
        <f t="shared" ref="E43:E70" si="5">INDEX($V$2:$V$194, MATCH(B43,$T$2:$T$194,0))</f>
        <v>0.08</v>
      </c>
      <c r="F43" t="e">
        <f t="shared" ref="F43:F70" si="6">IF(ISNUMBER(C43),INDEX($O$2:$O$194, MATCH(B43,$N$2:$N$194,0)),NA())</f>
        <v>#N/A</v>
      </c>
      <c r="H43" t="s">
        <v>144</v>
      </c>
      <c r="I43">
        <v>0.75339999999999996</v>
      </c>
      <c r="K43" t="s">
        <v>102</v>
      </c>
      <c r="L43">
        <v>0.82164999999999999</v>
      </c>
      <c r="N43" t="s">
        <v>76</v>
      </c>
      <c r="O43">
        <v>0.84028999999999998</v>
      </c>
      <c r="Q43" t="s">
        <v>206</v>
      </c>
      <c r="R43">
        <v>0.92306999999999995</v>
      </c>
      <c r="T43" t="s">
        <v>111</v>
      </c>
      <c r="U43" s="5">
        <v>22270</v>
      </c>
      <c r="V43">
        <v>45.8</v>
      </c>
      <c r="W43">
        <v>43</v>
      </c>
      <c r="X43">
        <v>0.40829145728643212</v>
      </c>
      <c r="Y43">
        <v>43</v>
      </c>
      <c r="Z43">
        <v>0.40829145728643212</v>
      </c>
      <c r="AC43">
        <v>0.92306999999999995</v>
      </c>
    </row>
    <row r="44" spans="1:29" x14ac:dyDescent="0.2">
      <c r="A44" t="str">
        <f t="shared" si="0"/>
        <v>Montenegro</v>
      </c>
      <c r="B44" t="s">
        <v>115</v>
      </c>
      <c r="C44" t="e">
        <f t="shared" si="1"/>
        <v>#N/A</v>
      </c>
      <c r="D44" t="e">
        <f t="shared" si="2"/>
        <v>#N/A</v>
      </c>
      <c r="E44">
        <f t="shared" si="5"/>
        <v>0.6</v>
      </c>
      <c r="F44" t="e">
        <f t="shared" si="6"/>
        <v>#N/A</v>
      </c>
      <c r="H44" t="s">
        <v>101</v>
      </c>
      <c r="I44">
        <v>0.75339999999999996</v>
      </c>
      <c r="K44" t="s">
        <v>264</v>
      </c>
      <c r="L44">
        <v>0.82064999999999999</v>
      </c>
      <c r="N44" t="s">
        <v>127</v>
      </c>
      <c r="O44">
        <v>0.83887999999999996</v>
      </c>
      <c r="Q44" t="s">
        <v>115</v>
      </c>
      <c r="R44">
        <v>0.92291000000000001</v>
      </c>
      <c r="T44" t="s">
        <v>93</v>
      </c>
      <c r="U44" s="5">
        <v>28710</v>
      </c>
      <c r="V44">
        <v>143.6</v>
      </c>
      <c r="W44">
        <v>44</v>
      </c>
      <c r="X44">
        <v>0.4120603015075377</v>
      </c>
      <c r="Y44">
        <v>44</v>
      </c>
      <c r="Z44">
        <v>0.4120603015075377</v>
      </c>
      <c r="AC44">
        <v>0.92291000000000001</v>
      </c>
    </row>
    <row r="45" spans="1:29" x14ac:dyDescent="0.2">
      <c r="A45" t="str">
        <f t="shared" si="0"/>
        <v>France</v>
      </c>
      <c r="B45" t="s">
        <v>96</v>
      </c>
      <c r="C45" t="e">
        <f t="shared" si="1"/>
        <v>#N/A</v>
      </c>
      <c r="D45" t="e">
        <f t="shared" si="2"/>
        <v>#N/A</v>
      </c>
      <c r="E45">
        <f t="shared" si="5"/>
        <v>67.8</v>
      </c>
      <c r="F45" t="e">
        <f t="shared" si="6"/>
        <v>#N/A</v>
      </c>
      <c r="H45" t="s">
        <v>135</v>
      </c>
      <c r="I45">
        <v>0.75339999999999996</v>
      </c>
      <c r="K45" t="s">
        <v>222</v>
      </c>
      <c r="L45">
        <v>0.81842000000000004</v>
      </c>
      <c r="N45" t="s">
        <v>93</v>
      </c>
      <c r="O45">
        <v>0.83194000000000001</v>
      </c>
      <c r="Q45" t="s">
        <v>96</v>
      </c>
      <c r="R45">
        <v>0.92281000000000002</v>
      </c>
      <c r="T45" t="s">
        <v>35</v>
      </c>
      <c r="U45" s="8" t="s">
        <v>118</v>
      </c>
      <c r="V45">
        <v>0.04</v>
      </c>
      <c r="W45">
        <v>45</v>
      </c>
      <c r="X45">
        <v>0.41582914572864321</v>
      </c>
      <c r="Y45">
        <v>45</v>
      </c>
      <c r="Z45">
        <v>0.41582914572864321</v>
      </c>
      <c r="AC45">
        <v>0.92281000000000002</v>
      </c>
    </row>
    <row r="46" spans="1:29" x14ac:dyDescent="0.2">
      <c r="A46" t="str">
        <f t="shared" si="0"/>
        <v>Serbia</v>
      </c>
      <c r="B46" t="s">
        <v>67</v>
      </c>
      <c r="C46" t="e">
        <f t="shared" si="1"/>
        <v>#N/A</v>
      </c>
      <c r="D46" t="e">
        <f t="shared" si="2"/>
        <v>#N/A</v>
      </c>
      <c r="E46">
        <f t="shared" si="5"/>
        <v>6.7</v>
      </c>
      <c r="F46" t="e">
        <f t="shared" si="6"/>
        <v>#N/A</v>
      </c>
      <c r="H46" t="s">
        <v>264</v>
      </c>
      <c r="I46">
        <v>0.75339999999999996</v>
      </c>
      <c r="K46" t="s">
        <v>100</v>
      </c>
      <c r="L46">
        <v>0.81452999999999998</v>
      </c>
      <c r="N46" t="s">
        <v>101</v>
      </c>
      <c r="O46">
        <v>0.83038999999999996</v>
      </c>
      <c r="Q46" t="s">
        <v>67</v>
      </c>
      <c r="R46">
        <v>0.92205999999999999</v>
      </c>
      <c r="T46" t="s">
        <v>37</v>
      </c>
      <c r="U46" s="5">
        <v>82230</v>
      </c>
      <c r="V46">
        <v>0.6</v>
      </c>
      <c r="W46">
        <v>46</v>
      </c>
      <c r="X46">
        <v>0.41959798994974873</v>
      </c>
      <c r="Y46">
        <v>46</v>
      </c>
      <c r="Z46">
        <v>0.41959798994974873</v>
      </c>
      <c r="AC46">
        <v>0.92205999999999999</v>
      </c>
    </row>
    <row r="47" spans="1:29" x14ac:dyDescent="0.2">
      <c r="A47" t="str">
        <f t="shared" si="0"/>
        <v>Czechia</v>
      </c>
      <c r="B47" t="s">
        <v>121</v>
      </c>
      <c r="C47" t="e">
        <f t="shared" si="1"/>
        <v>#N/A</v>
      </c>
      <c r="D47" t="e">
        <f t="shared" si="2"/>
        <v>#N/A</v>
      </c>
      <c r="E47">
        <f t="shared" si="5"/>
        <v>10.7</v>
      </c>
      <c r="F47" t="e">
        <f t="shared" si="6"/>
        <v>#N/A</v>
      </c>
      <c r="H47" t="s">
        <v>83</v>
      </c>
      <c r="I47">
        <v>0.73970000000000002</v>
      </c>
      <c r="K47" t="s">
        <v>151</v>
      </c>
      <c r="L47">
        <v>0.81440999999999997</v>
      </c>
      <c r="N47" t="s">
        <v>35</v>
      </c>
      <c r="O47">
        <v>0.82630999999999999</v>
      </c>
      <c r="Q47" t="s">
        <v>121</v>
      </c>
      <c r="R47">
        <v>0.92042999999999997</v>
      </c>
      <c r="T47" t="s">
        <v>119</v>
      </c>
      <c r="U47" s="5">
        <v>13350</v>
      </c>
      <c r="V47">
        <v>3.4</v>
      </c>
      <c r="W47">
        <v>47</v>
      </c>
      <c r="X47">
        <v>0.4233668341708543</v>
      </c>
      <c r="Y47">
        <v>47</v>
      </c>
      <c r="Z47">
        <v>0.4233668341708543</v>
      </c>
      <c r="AC47">
        <v>0.92042999999999997</v>
      </c>
    </row>
    <row r="48" spans="1:29" x14ac:dyDescent="0.2">
      <c r="A48" t="str">
        <f t="shared" si="0"/>
        <v>Croatia</v>
      </c>
      <c r="B48" t="s">
        <v>91</v>
      </c>
      <c r="C48" t="e">
        <f t="shared" si="1"/>
        <v>#N/A</v>
      </c>
      <c r="D48" t="e">
        <f t="shared" si="2"/>
        <v>#N/A</v>
      </c>
      <c r="E48">
        <f t="shared" si="5"/>
        <v>3.9</v>
      </c>
      <c r="F48" t="e">
        <f t="shared" si="6"/>
        <v>#N/A</v>
      </c>
      <c r="H48" t="s">
        <v>158</v>
      </c>
      <c r="I48">
        <v>0.73970000000000002</v>
      </c>
      <c r="K48" t="s">
        <v>86</v>
      </c>
      <c r="L48">
        <v>0.80915000000000004</v>
      </c>
      <c r="N48" t="s">
        <v>13</v>
      </c>
      <c r="O48">
        <v>0.82401999999999997</v>
      </c>
      <c r="Q48" t="s">
        <v>91</v>
      </c>
      <c r="R48">
        <v>0.91798999999999997</v>
      </c>
      <c r="T48" t="s">
        <v>122</v>
      </c>
      <c r="U48" s="5">
        <v>55970</v>
      </c>
      <c r="V48">
        <v>38.200000000000003</v>
      </c>
      <c r="W48">
        <v>48</v>
      </c>
      <c r="X48">
        <v>0.42713567839195976</v>
      </c>
      <c r="Y48">
        <v>48</v>
      </c>
      <c r="Z48">
        <v>0.42713567839195976</v>
      </c>
      <c r="AC48">
        <v>0.91798999999999997</v>
      </c>
    </row>
    <row r="49" spans="1:29" x14ac:dyDescent="0.2">
      <c r="A49" t="str">
        <f t="shared" si="0"/>
        <v>Monaco</v>
      </c>
      <c r="B49" t="s">
        <v>193</v>
      </c>
      <c r="C49" t="e">
        <f t="shared" si="1"/>
        <v>#N/A</v>
      </c>
      <c r="D49" t="e">
        <f t="shared" si="2"/>
        <v>#N/A</v>
      </c>
      <c r="E49">
        <f t="shared" si="5"/>
        <v>0.04</v>
      </c>
      <c r="F49" t="e">
        <f t="shared" si="6"/>
        <v>#N/A</v>
      </c>
      <c r="H49" t="s">
        <v>165</v>
      </c>
      <c r="I49">
        <v>0.73970000000000002</v>
      </c>
      <c r="K49" t="s">
        <v>110</v>
      </c>
      <c r="L49">
        <v>0.80774000000000001</v>
      </c>
      <c r="N49" t="s">
        <v>83</v>
      </c>
      <c r="O49">
        <v>0.81620000000000004</v>
      </c>
      <c r="Q49" t="s">
        <v>193</v>
      </c>
      <c r="R49">
        <v>0.91710999999999998</v>
      </c>
      <c r="T49" t="s">
        <v>124</v>
      </c>
      <c r="U49" s="5">
        <v>16950</v>
      </c>
      <c r="V49">
        <v>2.8</v>
      </c>
      <c r="W49">
        <v>49</v>
      </c>
      <c r="X49">
        <v>0.43090452261306533</v>
      </c>
      <c r="Y49">
        <v>49</v>
      </c>
      <c r="Z49">
        <v>0.43090452261306533</v>
      </c>
      <c r="AC49">
        <v>0.91710999999999998</v>
      </c>
    </row>
    <row r="50" spans="1:29" x14ac:dyDescent="0.2">
      <c r="A50" t="str">
        <f t="shared" si="0"/>
        <v>Bulgaria</v>
      </c>
      <c r="B50" t="s">
        <v>139</v>
      </c>
      <c r="C50" t="e">
        <f t="shared" si="1"/>
        <v>#N/A</v>
      </c>
      <c r="D50" t="e">
        <f t="shared" si="2"/>
        <v>#N/A</v>
      </c>
      <c r="E50">
        <f t="shared" si="5"/>
        <v>6.5</v>
      </c>
      <c r="F50" t="e">
        <f t="shared" si="6"/>
        <v>#N/A</v>
      </c>
      <c r="H50" t="s">
        <v>151</v>
      </c>
      <c r="I50">
        <v>0.72599999999999998</v>
      </c>
      <c r="K50" t="s">
        <v>175</v>
      </c>
      <c r="L50">
        <v>0.80542999999999998</v>
      </c>
      <c r="N50" t="s">
        <v>151</v>
      </c>
      <c r="O50">
        <v>0.81059000000000003</v>
      </c>
      <c r="Q50" t="s">
        <v>139</v>
      </c>
      <c r="R50">
        <v>0.91707000000000005</v>
      </c>
      <c r="T50" t="s">
        <v>127</v>
      </c>
      <c r="U50" s="5">
        <v>38730</v>
      </c>
      <c r="V50">
        <v>10.3</v>
      </c>
      <c r="W50">
        <v>50</v>
      </c>
      <c r="X50">
        <v>0.43467336683417085</v>
      </c>
      <c r="Y50">
        <v>50</v>
      </c>
      <c r="Z50">
        <v>0.43467336683417085</v>
      </c>
      <c r="AC50">
        <v>0.91707000000000005</v>
      </c>
    </row>
    <row r="51" spans="1:29" x14ac:dyDescent="0.2">
      <c r="A51" t="str">
        <f t="shared" si="0"/>
        <v>Mauritius</v>
      </c>
      <c r="B51" t="s">
        <v>181</v>
      </c>
      <c r="C51" t="e">
        <f t="shared" si="1"/>
        <v>#N/A</v>
      </c>
      <c r="D51" t="e">
        <f t="shared" si="2"/>
        <v>#N/A</v>
      </c>
      <c r="E51">
        <f t="shared" si="5"/>
        <v>1.3</v>
      </c>
      <c r="F51" t="e">
        <f t="shared" si="6"/>
        <v>#N/A</v>
      </c>
      <c r="H51" t="s">
        <v>175</v>
      </c>
      <c r="I51">
        <v>0.72599999999999998</v>
      </c>
      <c r="K51" t="s">
        <v>101</v>
      </c>
      <c r="L51">
        <v>0.80371000000000004</v>
      </c>
      <c r="N51" t="s">
        <v>67</v>
      </c>
      <c r="O51">
        <v>0.80940999999999996</v>
      </c>
      <c r="Q51" t="s">
        <v>181</v>
      </c>
      <c r="R51">
        <v>0.91586000000000001</v>
      </c>
      <c r="T51" t="s">
        <v>130</v>
      </c>
      <c r="U51" s="5">
        <v>15600</v>
      </c>
      <c r="V51">
        <v>215.3</v>
      </c>
      <c r="W51">
        <v>51</v>
      </c>
      <c r="X51">
        <v>0.43844221105527637</v>
      </c>
      <c r="Y51">
        <v>51</v>
      </c>
      <c r="Z51">
        <v>0.43844221105527637</v>
      </c>
      <c r="AC51">
        <v>0.91586000000000001</v>
      </c>
    </row>
    <row r="52" spans="1:29" x14ac:dyDescent="0.2">
      <c r="A52" t="str">
        <f t="shared" si="0"/>
        <v>Belarus</v>
      </c>
      <c r="B52" t="s">
        <v>185</v>
      </c>
      <c r="C52" t="e">
        <f t="shared" si="1"/>
        <v>#N/A</v>
      </c>
      <c r="D52" t="e">
        <f t="shared" si="2"/>
        <v>#N/A</v>
      </c>
      <c r="E52">
        <f t="shared" si="5"/>
        <v>9.3000000000000007</v>
      </c>
      <c r="F52" t="e">
        <f t="shared" si="6"/>
        <v>#N/A</v>
      </c>
      <c r="H52" t="s">
        <v>168</v>
      </c>
      <c r="I52">
        <v>0.72599999999999998</v>
      </c>
      <c r="K52" t="s">
        <v>156</v>
      </c>
      <c r="L52">
        <v>0.80345999999999995</v>
      </c>
      <c r="N52" t="s">
        <v>130</v>
      </c>
      <c r="O52">
        <v>0.80767999999999995</v>
      </c>
      <c r="Q52" t="s">
        <v>185</v>
      </c>
      <c r="R52">
        <v>0.91561000000000003</v>
      </c>
      <c r="T52" t="s">
        <v>132</v>
      </c>
      <c r="U52" s="5">
        <v>47190</v>
      </c>
      <c r="V52">
        <v>59</v>
      </c>
      <c r="W52">
        <v>52</v>
      </c>
      <c r="X52">
        <v>0.44221105527638194</v>
      </c>
      <c r="Y52">
        <v>52</v>
      </c>
      <c r="Z52">
        <v>0.44221105527638194</v>
      </c>
      <c r="AC52">
        <v>0.91561000000000003</v>
      </c>
    </row>
    <row r="53" spans="1:29" x14ac:dyDescent="0.2">
      <c r="A53" t="str">
        <f t="shared" si="0"/>
        <v>Slovenia</v>
      </c>
      <c r="B53" t="s">
        <v>94</v>
      </c>
      <c r="C53" t="e">
        <f t="shared" si="1"/>
        <v>#N/A</v>
      </c>
      <c r="D53" t="e">
        <f t="shared" si="2"/>
        <v>#N/A</v>
      </c>
      <c r="E53">
        <f t="shared" si="5"/>
        <v>2.1</v>
      </c>
      <c r="F53" t="e">
        <f t="shared" si="6"/>
        <v>#N/A</v>
      </c>
      <c r="H53" t="s">
        <v>150</v>
      </c>
      <c r="I53">
        <v>0.72599999999999998</v>
      </c>
      <c r="K53" t="s">
        <v>111</v>
      </c>
      <c r="L53">
        <v>0.79649000000000003</v>
      </c>
      <c r="N53" t="s">
        <v>135</v>
      </c>
      <c r="O53">
        <v>0.80320000000000003</v>
      </c>
      <c r="Q53" t="s">
        <v>94</v>
      </c>
      <c r="R53">
        <v>0.91071999999999997</v>
      </c>
      <c r="T53" t="s">
        <v>135</v>
      </c>
      <c r="U53" s="5">
        <v>19110</v>
      </c>
      <c r="V53">
        <v>71.7</v>
      </c>
      <c r="W53">
        <v>53</v>
      </c>
      <c r="X53">
        <v>0.44597989949748745</v>
      </c>
      <c r="Y53">
        <v>53</v>
      </c>
      <c r="Z53">
        <v>0.44597989949748745</v>
      </c>
      <c r="AC53">
        <v>0.91071999999999997</v>
      </c>
    </row>
    <row r="54" spans="1:29" x14ac:dyDescent="0.2">
      <c r="A54" t="str">
        <f t="shared" si="0"/>
        <v>Georgia</v>
      </c>
      <c r="B54" t="s">
        <v>95</v>
      </c>
      <c r="C54" t="e">
        <f t="shared" si="1"/>
        <v>#N/A</v>
      </c>
      <c r="D54" t="e">
        <f t="shared" si="2"/>
        <v>#N/A</v>
      </c>
      <c r="E54">
        <f t="shared" si="5"/>
        <v>3.7</v>
      </c>
      <c r="F54" t="e">
        <f t="shared" si="6"/>
        <v>#N/A</v>
      </c>
      <c r="H54" t="s">
        <v>74</v>
      </c>
      <c r="I54">
        <v>0.6986</v>
      </c>
      <c r="K54" t="s">
        <v>124</v>
      </c>
      <c r="L54">
        <v>0.79220000000000002</v>
      </c>
      <c r="N54" t="s">
        <v>107</v>
      </c>
      <c r="O54">
        <v>0.80257000000000001</v>
      </c>
      <c r="Q54" t="s">
        <v>95</v>
      </c>
      <c r="R54">
        <v>0.90712999999999999</v>
      </c>
      <c r="T54" t="s">
        <v>137</v>
      </c>
      <c r="U54" s="5">
        <v>88070</v>
      </c>
      <c r="V54">
        <v>2.9</v>
      </c>
      <c r="W54">
        <v>54</v>
      </c>
      <c r="X54">
        <v>0.44974874371859297</v>
      </c>
      <c r="Y54">
        <v>54</v>
      </c>
      <c r="Z54">
        <v>0.44974874371859297</v>
      </c>
      <c r="AC54">
        <v>0.90712999999999999</v>
      </c>
    </row>
    <row r="55" spans="1:29" x14ac:dyDescent="0.2">
      <c r="A55" t="str">
        <f t="shared" si="0"/>
        <v>Italy</v>
      </c>
      <c r="B55" t="s">
        <v>132</v>
      </c>
      <c r="C55" t="e">
        <f t="shared" si="1"/>
        <v>#N/A</v>
      </c>
      <c r="D55" t="e">
        <f t="shared" si="2"/>
        <v>#N/A</v>
      </c>
      <c r="E55">
        <f t="shared" si="5"/>
        <v>59</v>
      </c>
      <c r="F55" t="e">
        <f t="shared" si="6"/>
        <v>#N/A</v>
      </c>
      <c r="H55" t="s">
        <v>51</v>
      </c>
      <c r="I55">
        <v>0.6986</v>
      </c>
      <c r="K55" t="s">
        <v>127</v>
      </c>
      <c r="L55">
        <v>0.78774999999999995</v>
      </c>
      <c r="N55" t="s">
        <v>148</v>
      </c>
      <c r="O55">
        <v>0.79823</v>
      </c>
      <c r="Q55" t="s">
        <v>132</v>
      </c>
      <c r="R55">
        <v>0.90166999999999997</v>
      </c>
      <c r="T55" t="s">
        <v>121</v>
      </c>
      <c r="U55" s="5">
        <v>45130</v>
      </c>
      <c r="V55">
        <v>10.7</v>
      </c>
      <c r="W55">
        <v>55</v>
      </c>
      <c r="X55">
        <v>0.45351758793969849</v>
      </c>
      <c r="Y55">
        <v>55</v>
      </c>
      <c r="Z55">
        <v>0.45351758793969849</v>
      </c>
      <c r="AC55">
        <v>0.90166999999999997</v>
      </c>
    </row>
    <row r="56" spans="1:29" x14ac:dyDescent="0.2">
      <c r="A56" t="str">
        <f t="shared" si="0"/>
        <v>China</v>
      </c>
      <c r="B56" t="s">
        <v>97</v>
      </c>
      <c r="C56" t="e">
        <f t="shared" si="1"/>
        <v>#N/A</v>
      </c>
      <c r="D56" t="e">
        <f t="shared" si="2"/>
        <v>#N/A</v>
      </c>
      <c r="E56">
        <f t="shared" si="5"/>
        <v>1412.2</v>
      </c>
      <c r="F56" t="e">
        <f t="shared" si="6"/>
        <v>#N/A</v>
      </c>
      <c r="H56" t="s">
        <v>102</v>
      </c>
      <c r="I56">
        <v>0.6986</v>
      </c>
      <c r="K56" t="s">
        <v>249</v>
      </c>
      <c r="L56">
        <v>0.77703999999999995</v>
      </c>
      <c r="N56" t="s">
        <v>110</v>
      </c>
      <c r="O56">
        <v>0.79766999999999999</v>
      </c>
      <c r="Q56" t="s">
        <v>97</v>
      </c>
      <c r="R56">
        <v>0.89954000000000001</v>
      </c>
      <c r="T56" t="s">
        <v>139</v>
      </c>
      <c r="U56" s="5">
        <v>27800</v>
      </c>
      <c r="V56">
        <v>6.5</v>
      </c>
      <c r="W56">
        <v>56</v>
      </c>
      <c r="X56">
        <v>0.457286432160804</v>
      </c>
      <c r="Y56">
        <v>56</v>
      </c>
      <c r="Z56">
        <v>0.457286432160804</v>
      </c>
      <c r="AC56">
        <v>0.89954000000000001</v>
      </c>
    </row>
    <row r="57" spans="1:29" x14ac:dyDescent="0.2">
      <c r="A57" t="str">
        <f t="shared" si="0"/>
        <v>Iran</v>
      </c>
      <c r="B57" t="s">
        <v>143</v>
      </c>
      <c r="C57" t="e">
        <f t="shared" si="1"/>
        <v>#N/A</v>
      </c>
      <c r="D57" t="e">
        <f t="shared" si="2"/>
        <v>#N/A</v>
      </c>
      <c r="E57">
        <f t="shared" si="5"/>
        <v>88.6</v>
      </c>
      <c r="F57" t="e">
        <f t="shared" si="6"/>
        <v>#N/A</v>
      </c>
      <c r="H57" t="s">
        <v>152</v>
      </c>
      <c r="I57">
        <v>0.6986</v>
      </c>
      <c r="K57" t="s">
        <v>93</v>
      </c>
      <c r="L57">
        <v>0.77659999999999996</v>
      </c>
      <c r="N57" t="s">
        <v>37</v>
      </c>
      <c r="O57">
        <v>0.79547999999999996</v>
      </c>
      <c r="Q57" t="s">
        <v>143</v>
      </c>
      <c r="R57">
        <v>0.89868999999999999</v>
      </c>
      <c r="T57" t="s">
        <v>141</v>
      </c>
      <c r="U57" s="5">
        <v>54640</v>
      </c>
      <c r="V57">
        <v>11.7</v>
      </c>
      <c r="W57">
        <v>57</v>
      </c>
      <c r="X57">
        <v>0.46105527638190957</v>
      </c>
      <c r="Y57">
        <v>57</v>
      </c>
      <c r="Z57">
        <v>0.46105527638190957</v>
      </c>
      <c r="AC57">
        <v>0.89868999999999999</v>
      </c>
    </row>
    <row r="58" spans="1:29" x14ac:dyDescent="0.2">
      <c r="A58" t="str">
        <f t="shared" si="0"/>
        <v>Slovakia</v>
      </c>
      <c r="B58" t="s">
        <v>148</v>
      </c>
      <c r="C58" t="e">
        <f t="shared" si="1"/>
        <v>#N/A</v>
      </c>
      <c r="D58" t="e">
        <f t="shared" si="2"/>
        <v>#N/A</v>
      </c>
      <c r="E58">
        <f t="shared" si="5"/>
        <v>5.4</v>
      </c>
      <c r="F58" t="e">
        <f t="shared" si="6"/>
        <v>#N/A</v>
      </c>
      <c r="H58" t="s">
        <v>148</v>
      </c>
      <c r="I58">
        <v>0.6986</v>
      </c>
      <c r="K58" t="s">
        <v>139</v>
      </c>
      <c r="L58">
        <v>0.77271000000000001</v>
      </c>
      <c r="N58" t="s">
        <v>97</v>
      </c>
      <c r="O58">
        <v>0.79022999999999999</v>
      </c>
      <c r="Q58" t="s">
        <v>148</v>
      </c>
      <c r="R58">
        <v>0.89851000000000003</v>
      </c>
      <c r="T58" t="s">
        <v>51</v>
      </c>
      <c r="U58" s="5">
        <v>28650</v>
      </c>
      <c r="V58">
        <v>33.6</v>
      </c>
      <c r="W58">
        <v>58</v>
      </c>
      <c r="X58">
        <v>0.46482412060301509</v>
      </c>
      <c r="Y58">
        <v>58</v>
      </c>
      <c r="Z58">
        <v>0.46482412060301509</v>
      </c>
      <c r="AC58">
        <v>0.89851000000000003</v>
      </c>
    </row>
    <row r="59" spans="1:29" x14ac:dyDescent="0.2">
      <c r="A59" t="str">
        <f t="shared" si="0"/>
        <v>Portugal</v>
      </c>
      <c r="B59" t="s">
        <v>127</v>
      </c>
      <c r="C59" t="e">
        <f t="shared" si="1"/>
        <v>#N/A</v>
      </c>
      <c r="D59" t="e">
        <f t="shared" si="2"/>
        <v>#N/A</v>
      </c>
      <c r="E59">
        <f t="shared" si="5"/>
        <v>10.3</v>
      </c>
      <c r="F59" t="e">
        <f t="shared" si="6"/>
        <v>#N/A</v>
      </c>
      <c r="H59" t="s">
        <v>172</v>
      </c>
      <c r="I59">
        <v>0.68489999999999995</v>
      </c>
      <c r="K59" t="s">
        <v>137</v>
      </c>
      <c r="L59">
        <v>0.76549</v>
      </c>
      <c r="N59" t="s">
        <v>150</v>
      </c>
      <c r="O59">
        <v>0.78766000000000003</v>
      </c>
      <c r="Q59" t="s">
        <v>127</v>
      </c>
      <c r="R59">
        <v>0.89790999999999999</v>
      </c>
      <c r="T59" t="s">
        <v>144</v>
      </c>
      <c r="U59" s="5">
        <v>12480</v>
      </c>
      <c r="V59">
        <v>33.700000000000003</v>
      </c>
      <c r="W59">
        <v>59</v>
      </c>
      <c r="X59">
        <v>0.46859296482412061</v>
      </c>
      <c r="Y59">
        <v>59</v>
      </c>
      <c r="Z59">
        <v>0.46859296482412061</v>
      </c>
      <c r="AC59">
        <v>0.89790999999999999</v>
      </c>
    </row>
    <row r="60" spans="1:29" x14ac:dyDescent="0.2">
      <c r="A60" t="str">
        <f t="shared" si="0"/>
        <v>South Africa</v>
      </c>
      <c r="B60" t="s">
        <v>107</v>
      </c>
      <c r="C60" t="e">
        <f t="shared" si="1"/>
        <v>#N/A</v>
      </c>
      <c r="D60" t="e">
        <f t="shared" si="2"/>
        <v>#N/A</v>
      </c>
      <c r="E60">
        <f t="shared" si="5"/>
        <v>60</v>
      </c>
      <c r="F60" t="e">
        <f t="shared" si="6"/>
        <v>#N/A</v>
      </c>
      <c r="H60" t="s">
        <v>139</v>
      </c>
      <c r="I60">
        <v>0.67120000000000002</v>
      </c>
      <c r="K60" t="s">
        <v>152</v>
      </c>
      <c r="L60">
        <v>0.76483999999999996</v>
      </c>
      <c r="N60" t="s">
        <v>213</v>
      </c>
      <c r="O60">
        <v>0.78449999999999998</v>
      </c>
      <c r="Q60" t="s">
        <v>107</v>
      </c>
      <c r="R60">
        <v>0.89512000000000003</v>
      </c>
      <c r="T60" t="s">
        <v>146</v>
      </c>
      <c r="U60" s="5">
        <v>35540</v>
      </c>
      <c r="V60">
        <v>9.6</v>
      </c>
      <c r="W60">
        <v>60</v>
      </c>
      <c r="X60">
        <v>0.47236180904522612</v>
      </c>
      <c r="Y60">
        <v>60</v>
      </c>
      <c r="Z60">
        <v>0.47236180904522612</v>
      </c>
      <c r="AC60">
        <v>0.89512000000000003</v>
      </c>
    </row>
    <row r="61" spans="1:29" x14ac:dyDescent="0.2">
      <c r="A61" t="str">
        <f t="shared" si="0"/>
        <v>Cyprus</v>
      </c>
      <c r="B61" t="s">
        <v>102</v>
      </c>
      <c r="C61" t="e">
        <f t="shared" si="1"/>
        <v>#N/A</v>
      </c>
      <c r="D61" t="e">
        <f t="shared" si="2"/>
        <v>#N/A</v>
      </c>
      <c r="E61">
        <f t="shared" si="5"/>
        <v>1.2</v>
      </c>
      <c r="F61" t="e">
        <f t="shared" si="6"/>
        <v>#N/A</v>
      </c>
      <c r="H61" t="s">
        <v>100</v>
      </c>
      <c r="I61">
        <v>0.67120000000000002</v>
      </c>
      <c r="K61" t="s">
        <v>158</v>
      </c>
      <c r="L61">
        <v>0.76366000000000001</v>
      </c>
      <c r="N61" t="s">
        <v>309</v>
      </c>
      <c r="O61">
        <v>0.78356000000000003</v>
      </c>
      <c r="Q61" t="s">
        <v>102</v>
      </c>
      <c r="R61">
        <v>0.89405999999999997</v>
      </c>
      <c r="T61" t="s">
        <v>148</v>
      </c>
      <c r="U61" s="5">
        <v>38540</v>
      </c>
      <c r="V61">
        <v>5.4</v>
      </c>
      <c r="W61">
        <v>61</v>
      </c>
      <c r="X61">
        <v>0.47613065326633164</v>
      </c>
      <c r="Y61">
        <v>61</v>
      </c>
      <c r="Z61">
        <v>0.47613065326633164</v>
      </c>
      <c r="AC61">
        <v>0.89405999999999997</v>
      </c>
    </row>
    <row r="62" spans="1:29" x14ac:dyDescent="0.2">
      <c r="A62" t="str">
        <f t="shared" si="0"/>
        <v>Costa Rica</v>
      </c>
      <c r="B62" t="s">
        <v>150</v>
      </c>
      <c r="C62" t="e">
        <f t="shared" si="1"/>
        <v>#N/A</v>
      </c>
      <c r="D62" t="e">
        <f t="shared" si="2"/>
        <v>#N/A</v>
      </c>
      <c r="E62">
        <f t="shared" si="5"/>
        <v>5.2</v>
      </c>
      <c r="F62" t="e">
        <f t="shared" si="6"/>
        <v>#N/A</v>
      </c>
      <c r="H62" t="s">
        <v>132</v>
      </c>
      <c r="I62">
        <v>0.65749999999999997</v>
      </c>
      <c r="K62" t="s">
        <v>132</v>
      </c>
      <c r="L62">
        <v>0.76239000000000001</v>
      </c>
      <c r="N62" t="s">
        <v>165</v>
      </c>
      <c r="O62">
        <v>0.77930999999999995</v>
      </c>
      <c r="Q62" t="s">
        <v>150</v>
      </c>
      <c r="R62">
        <v>0.89327000000000001</v>
      </c>
      <c r="T62" t="s">
        <v>150</v>
      </c>
      <c r="U62" s="5">
        <v>23340</v>
      </c>
      <c r="V62">
        <v>5.2</v>
      </c>
      <c r="W62">
        <v>62</v>
      </c>
      <c r="X62">
        <v>0.47989949748743721</v>
      </c>
      <c r="Y62">
        <v>62</v>
      </c>
      <c r="Z62">
        <v>0.47989949748743721</v>
      </c>
      <c r="AC62">
        <v>0.89327000000000001</v>
      </c>
    </row>
    <row r="63" spans="1:29" x14ac:dyDescent="0.2">
      <c r="A63" t="str">
        <f t="shared" si="0"/>
        <v>Romania</v>
      </c>
      <c r="B63" t="s">
        <v>172</v>
      </c>
      <c r="C63" t="e">
        <f t="shared" si="1"/>
        <v>#N/A</v>
      </c>
      <c r="D63" t="e">
        <f t="shared" si="2"/>
        <v>#N/A</v>
      </c>
      <c r="E63">
        <f t="shared" si="5"/>
        <v>19</v>
      </c>
      <c r="F63" t="e">
        <f t="shared" si="6"/>
        <v>#N/A</v>
      </c>
      <c r="H63" t="s">
        <v>35</v>
      </c>
      <c r="I63">
        <v>0.65749999999999997</v>
      </c>
      <c r="K63" t="s">
        <v>135</v>
      </c>
      <c r="L63">
        <v>0.76105</v>
      </c>
      <c r="N63" t="s">
        <v>168</v>
      </c>
      <c r="O63">
        <v>0.77764</v>
      </c>
      <c r="Q63" t="s">
        <v>172</v>
      </c>
      <c r="R63">
        <v>0.89224000000000003</v>
      </c>
      <c r="T63" t="s">
        <v>151</v>
      </c>
      <c r="U63" s="5">
        <v>16000</v>
      </c>
      <c r="V63">
        <v>2.8</v>
      </c>
      <c r="W63">
        <v>63</v>
      </c>
      <c r="X63">
        <v>0.48366834170854273</v>
      </c>
      <c r="Y63">
        <v>63</v>
      </c>
      <c r="Z63">
        <v>0.48366834170854273</v>
      </c>
      <c r="AC63">
        <v>0.89224000000000003</v>
      </c>
    </row>
    <row r="64" spans="1:29" x14ac:dyDescent="0.2">
      <c r="A64" t="str">
        <f t="shared" si="0"/>
        <v>Seychelles</v>
      </c>
      <c r="B64" t="s">
        <v>214</v>
      </c>
      <c r="C64" t="e">
        <f t="shared" si="1"/>
        <v>#N/A</v>
      </c>
      <c r="D64" t="e">
        <f t="shared" si="2"/>
        <v>#N/A</v>
      </c>
      <c r="E64">
        <f t="shared" si="5"/>
        <v>0.1</v>
      </c>
      <c r="F64" t="e">
        <f t="shared" si="6"/>
        <v>#N/A</v>
      </c>
      <c r="H64" t="s">
        <v>197</v>
      </c>
      <c r="I64">
        <v>0.65749999999999997</v>
      </c>
      <c r="K64" t="s">
        <v>209</v>
      </c>
      <c r="L64">
        <v>0.75905</v>
      </c>
      <c r="N64" t="s">
        <v>119</v>
      </c>
      <c r="O64">
        <v>0.77747999999999995</v>
      </c>
      <c r="Q64" t="s">
        <v>214</v>
      </c>
      <c r="R64">
        <v>0.89126000000000005</v>
      </c>
      <c r="T64" t="s">
        <v>152</v>
      </c>
      <c r="U64" s="5">
        <v>9470</v>
      </c>
      <c r="V64">
        <v>35.299999999999997</v>
      </c>
      <c r="W64">
        <v>64</v>
      </c>
      <c r="X64">
        <v>0.48743718592964824</v>
      </c>
      <c r="Y64">
        <v>64</v>
      </c>
      <c r="Z64">
        <v>0.48743718592964824</v>
      </c>
      <c r="AC64">
        <v>0.89126000000000005</v>
      </c>
    </row>
    <row r="65" spans="1:29" x14ac:dyDescent="0.2">
      <c r="A65" t="str">
        <f t="shared" si="0"/>
        <v>Morocco</v>
      </c>
      <c r="B65" t="s">
        <v>211</v>
      </c>
      <c r="C65" t="e">
        <f t="shared" si="1"/>
        <v>#N/A</v>
      </c>
      <c r="D65" t="e">
        <f t="shared" si="2"/>
        <v>#N/A</v>
      </c>
      <c r="E65">
        <f t="shared" si="5"/>
        <v>37.799999999999997</v>
      </c>
      <c r="F65" t="e">
        <f t="shared" si="6"/>
        <v>#N/A</v>
      </c>
      <c r="H65" t="s">
        <v>110</v>
      </c>
      <c r="I65">
        <v>0.65749999999999997</v>
      </c>
      <c r="K65" t="s">
        <v>37</v>
      </c>
      <c r="L65">
        <v>0.75553999999999999</v>
      </c>
      <c r="N65" t="s">
        <v>161</v>
      </c>
      <c r="O65">
        <v>0.77149999999999996</v>
      </c>
      <c r="Q65" t="s">
        <v>211</v>
      </c>
      <c r="R65">
        <v>0.88273000000000001</v>
      </c>
      <c r="T65" t="s">
        <v>156</v>
      </c>
      <c r="U65" s="5">
        <v>12310</v>
      </c>
      <c r="V65">
        <v>275.5</v>
      </c>
      <c r="W65">
        <v>65</v>
      </c>
      <c r="X65">
        <v>0.49120603015075376</v>
      </c>
      <c r="Y65">
        <v>65</v>
      </c>
      <c r="Z65">
        <v>0.49120603015075376</v>
      </c>
      <c r="AC65">
        <v>0.88273000000000001</v>
      </c>
    </row>
    <row r="66" spans="1:29" x14ac:dyDescent="0.2">
      <c r="A66" t="str">
        <f t="shared" si="0"/>
        <v>Kyrgyzstan</v>
      </c>
      <c r="B66" t="s">
        <v>187</v>
      </c>
      <c r="C66" t="e">
        <f>IF(ISNUMBER(MATCH(B66,$AD$2:$AD$27,0)),AC66,NA())</f>
        <v>#N/A</v>
      </c>
      <c r="D66" t="e">
        <f t="shared" si="2"/>
        <v>#N/A</v>
      </c>
      <c r="E66">
        <f t="shared" si="5"/>
        <v>6.7</v>
      </c>
      <c r="F66" t="e">
        <f t="shared" si="6"/>
        <v>#N/A</v>
      </c>
      <c r="H66" t="s">
        <v>222</v>
      </c>
      <c r="I66">
        <v>0.65749999999999997</v>
      </c>
      <c r="K66" t="s">
        <v>165</v>
      </c>
      <c r="L66">
        <v>0.75209999999999999</v>
      </c>
      <c r="N66" t="s">
        <v>158</v>
      </c>
      <c r="O66">
        <v>0.76027</v>
      </c>
      <c r="Q66" t="s">
        <v>187</v>
      </c>
      <c r="R66">
        <v>0.88153999999999999</v>
      </c>
      <c r="T66" t="s">
        <v>158</v>
      </c>
      <c r="U66" s="5">
        <v>20960</v>
      </c>
      <c r="V66">
        <v>127.5</v>
      </c>
      <c r="W66">
        <v>66</v>
      </c>
      <c r="X66">
        <v>0.49497487437185933</v>
      </c>
      <c r="Y66">
        <v>66</v>
      </c>
      <c r="Z66">
        <v>0.49497487437185933</v>
      </c>
      <c r="AC66">
        <v>0.88153999999999999</v>
      </c>
    </row>
    <row r="67" spans="1:29" x14ac:dyDescent="0.2">
      <c r="A67" t="str">
        <f t="shared" ref="A67:A72" si="7">B67</f>
        <v>Armenia</v>
      </c>
      <c r="B67" t="s">
        <v>124</v>
      </c>
      <c r="C67" t="e">
        <f t="shared" si="1"/>
        <v>#N/A</v>
      </c>
      <c r="D67" t="e">
        <f t="shared" ref="D67:D70" si="8">IF(ISNUMBER(C67),INDEX($U$2:$U$194, MATCH(B67,$T$2:$T$194,0)),NA())</f>
        <v>#N/A</v>
      </c>
      <c r="E67">
        <f t="shared" si="5"/>
        <v>2.8</v>
      </c>
      <c r="F67" t="e">
        <f t="shared" si="6"/>
        <v>#N/A</v>
      </c>
      <c r="H67" t="s">
        <v>127</v>
      </c>
      <c r="I67">
        <v>0.64380000000000004</v>
      </c>
      <c r="K67" t="s">
        <v>35</v>
      </c>
      <c r="L67">
        <v>0.74156999999999995</v>
      </c>
      <c r="N67" t="s">
        <v>152</v>
      </c>
      <c r="O67">
        <v>0.75800999999999996</v>
      </c>
      <c r="Q67" t="s">
        <v>124</v>
      </c>
      <c r="R67">
        <v>0.87824000000000002</v>
      </c>
      <c r="T67" t="s">
        <v>160</v>
      </c>
      <c r="U67" s="5">
        <v>74630</v>
      </c>
      <c r="V67">
        <v>4.3</v>
      </c>
      <c r="W67">
        <v>67</v>
      </c>
      <c r="X67">
        <v>0.49874371859296485</v>
      </c>
      <c r="Y67">
        <v>67</v>
      </c>
      <c r="Z67">
        <v>0.49874371859296485</v>
      </c>
      <c r="AC67">
        <v>0.87824000000000002</v>
      </c>
    </row>
    <row r="68" spans="1:29" x14ac:dyDescent="0.2">
      <c r="A68" t="str">
        <f t="shared" si="7"/>
        <v>Vietnam</v>
      </c>
      <c r="B68" t="s">
        <v>170</v>
      </c>
      <c r="C68" t="e">
        <f t="shared" ref="C68:C115" si="9">IF(ISNUMBER(MATCH(B68,$AD$2:$AD$27,0)),AC68,NA())</f>
        <v>#N/A</v>
      </c>
      <c r="D68" t="e">
        <f t="shared" si="8"/>
        <v>#N/A</v>
      </c>
      <c r="E68">
        <f t="shared" si="5"/>
        <v>98.2</v>
      </c>
      <c r="F68" t="e">
        <f t="shared" si="6"/>
        <v>#N/A</v>
      </c>
      <c r="H68" t="s">
        <v>93</v>
      </c>
      <c r="I68">
        <v>0.64380000000000004</v>
      </c>
      <c r="K68" t="s">
        <v>176</v>
      </c>
      <c r="L68">
        <v>0.73863000000000001</v>
      </c>
      <c r="N68" t="s">
        <v>238</v>
      </c>
      <c r="O68">
        <v>0.75500999999999996</v>
      </c>
      <c r="Q68" t="s">
        <v>170</v>
      </c>
      <c r="R68">
        <v>0.87797000000000003</v>
      </c>
      <c r="T68" t="s">
        <v>161</v>
      </c>
      <c r="U68" s="5">
        <v>11500</v>
      </c>
      <c r="V68">
        <v>18.100000000000001</v>
      </c>
      <c r="W68">
        <v>68</v>
      </c>
      <c r="X68">
        <v>0.50251256281407031</v>
      </c>
      <c r="Y68">
        <v>68</v>
      </c>
      <c r="Z68">
        <v>0.50251256281407031</v>
      </c>
      <c r="AC68">
        <v>0.87797000000000003</v>
      </c>
    </row>
    <row r="69" spans="1:29" x14ac:dyDescent="0.2">
      <c r="A69" t="str">
        <f t="shared" si="7"/>
        <v>Uzbekistan</v>
      </c>
      <c r="B69" t="s">
        <v>152</v>
      </c>
      <c r="C69" t="e">
        <f t="shared" si="9"/>
        <v>#N/A</v>
      </c>
      <c r="D69" t="e">
        <f t="shared" si="8"/>
        <v>#N/A</v>
      </c>
      <c r="E69">
        <f t="shared" si="5"/>
        <v>35.299999999999997</v>
      </c>
      <c r="F69" t="e">
        <f t="shared" si="6"/>
        <v>#N/A</v>
      </c>
      <c r="H69" t="s">
        <v>37</v>
      </c>
      <c r="I69">
        <v>0.63009999999999999</v>
      </c>
      <c r="K69" t="s">
        <v>230</v>
      </c>
      <c r="L69">
        <v>0.73743999999999998</v>
      </c>
      <c r="N69" t="s">
        <v>139</v>
      </c>
      <c r="O69">
        <v>0.75378000000000001</v>
      </c>
      <c r="Q69" t="s">
        <v>152</v>
      </c>
      <c r="R69">
        <v>0.87687000000000004</v>
      </c>
      <c r="T69" t="s">
        <v>165</v>
      </c>
      <c r="U69" s="5">
        <v>16580</v>
      </c>
      <c r="V69">
        <v>51.5</v>
      </c>
      <c r="W69">
        <v>69</v>
      </c>
      <c r="X69">
        <v>0.50628140703517588</v>
      </c>
      <c r="Y69">
        <v>69</v>
      </c>
      <c r="Z69">
        <v>0.50628140703517588</v>
      </c>
      <c r="AC69">
        <v>0.87687000000000004</v>
      </c>
    </row>
    <row r="70" spans="1:29" x14ac:dyDescent="0.2">
      <c r="A70" t="str">
        <f t="shared" si="7"/>
        <v>New Zealand</v>
      </c>
      <c r="B70" t="s">
        <v>57</v>
      </c>
      <c r="C70">
        <f t="shared" si="9"/>
        <v>0.87280999999999997</v>
      </c>
      <c r="D70">
        <f t="shared" si="8"/>
        <v>48830</v>
      </c>
      <c r="E70">
        <f t="shared" si="5"/>
        <v>5.0999999999999996</v>
      </c>
      <c r="F70">
        <f t="shared" si="6"/>
        <v>0.96152000000000004</v>
      </c>
      <c r="H70" t="s">
        <v>111</v>
      </c>
      <c r="I70">
        <v>0.63009999999999999</v>
      </c>
      <c r="K70" t="s">
        <v>51</v>
      </c>
      <c r="L70">
        <v>0.72796000000000005</v>
      </c>
      <c r="N70" t="s">
        <v>298</v>
      </c>
      <c r="O70">
        <v>0.75202999999999998</v>
      </c>
      <c r="Q70" t="s">
        <v>57</v>
      </c>
      <c r="R70">
        <v>0.87280999999999997</v>
      </c>
      <c r="T70" t="s">
        <v>95</v>
      </c>
      <c r="U70" s="5">
        <v>18170</v>
      </c>
      <c r="V70">
        <v>3.7</v>
      </c>
      <c r="W70">
        <v>70</v>
      </c>
      <c r="X70">
        <v>0.51005025125628145</v>
      </c>
      <c r="Y70">
        <v>70</v>
      </c>
      <c r="Z70">
        <v>0.51005025125628145</v>
      </c>
      <c r="AC70">
        <v>0.87280999999999997</v>
      </c>
    </row>
    <row r="71" spans="1:29" x14ac:dyDescent="0.2">
      <c r="A71" t="str">
        <f t="shared" si="7"/>
        <v>Suriname</v>
      </c>
      <c r="B71" t="s">
        <v>241</v>
      </c>
      <c r="C71" t="e">
        <f t="shared" si="9"/>
        <v>#N/A</v>
      </c>
      <c r="D71" t="str">
        <f>IF(ISNUMBER(#REF!),INDEX($U$2:$U$194, MATCH(#REF!,$T$2:$T$194,0)),"")</f>
        <v/>
      </c>
      <c r="H71" t="s">
        <v>209</v>
      </c>
      <c r="I71">
        <v>0.61639999999999995</v>
      </c>
      <c r="K71" t="s">
        <v>168</v>
      </c>
      <c r="L71">
        <v>0.72636000000000001</v>
      </c>
      <c r="N71" t="s">
        <v>193</v>
      </c>
      <c r="O71">
        <v>0.75149999999999995</v>
      </c>
      <c r="Q71" t="s">
        <v>241</v>
      </c>
      <c r="R71">
        <v>0.87141000000000002</v>
      </c>
      <c r="T71" t="s">
        <v>168</v>
      </c>
      <c r="U71" s="5">
        <v>14260</v>
      </c>
      <c r="V71">
        <v>2.6</v>
      </c>
      <c r="W71">
        <v>71</v>
      </c>
      <c r="X71">
        <v>0.51381909547738691</v>
      </c>
      <c r="Y71">
        <v>71</v>
      </c>
      <c r="Z71">
        <v>0.51381909547738691</v>
      </c>
      <c r="AC71">
        <v>0.87141000000000002</v>
      </c>
    </row>
    <row r="72" spans="1:29" x14ac:dyDescent="0.2">
      <c r="A72" t="str">
        <f t="shared" si="7"/>
        <v>Belgium</v>
      </c>
      <c r="B72" t="s">
        <v>141</v>
      </c>
      <c r="C72" t="e">
        <f t="shared" si="9"/>
        <v>#N/A</v>
      </c>
      <c r="D72" t="str">
        <f>IF(ISNUMBER(#REF!),INDEX($U$2:$U$194, MATCH(#REF!,$T$2:$T$194,0)),"")</f>
        <v/>
      </c>
      <c r="H72" t="s">
        <v>230</v>
      </c>
      <c r="I72">
        <v>0.61639999999999995</v>
      </c>
      <c r="K72" t="s">
        <v>141</v>
      </c>
      <c r="L72">
        <v>0.72243999999999997</v>
      </c>
      <c r="N72" t="s">
        <v>293</v>
      </c>
      <c r="O72">
        <v>0.74877000000000005</v>
      </c>
      <c r="Q72" t="s">
        <v>141</v>
      </c>
      <c r="R72">
        <v>0.86983999999999995</v>
      </c>
      <c r="T72" t="s">
        <v>170</v>
      </c>
      <c r="U72" s="5">
        <v>11260</v>
      </c>
      <c r="V72">
        <v>98.2</v>
      </c>
      <c r="W72">
        <v>72</v>
      </c>
      <c r="X72">
        <v>0.51758793969849248</v>
      </c>
      <c r="Y72">
        <v>72</v>
      </c>
      <c r="Z72">
        <v>0.51758793969849248</v>
      </c>
      <c r="AC72">
        <v>0.86983999999999995</v>
      </c>
    </row>
    <row r="73" spans="1:29" x14ac:dyDescent="0.2">
      <c r="A73" t="str">
        <f>IF(E73&gt;1,#REF!, "")</f>
        <v/>
      </c>
      <c r="B73" t="s">
        <v>251</v>
      </c>
      <c r="C73" t="e">
        <f t="shared" si="9"/>
        <v>#N/A</v>
      </c>
      <c r="D73" t="str">
        <f>IF(ISNUMBER(#REF!),INDEX($U$2:$U$194, MATCH(#REF!,$T$2:$T$194,0)),"")</f>
        <v/>
      </c>
      <c r="H73" t="s">
        <v>191</v>
      </c>
      <c r="I73">
        <v>0.60270000000000001</v>
      </c>
      <c r="K73" t="s">
        <v>150</v>
      </c>
      <c r="L73">
        <v>0.72169000000000005</v>
      </c>
      <c r="N73" t="s">
        <v>144</v>
      </c>
      <c r="O73">
        <v>0.74690000000000001</v>
      </c>
      <c r="Q73" t="s">
        <v>251</v>
      </c>
      <c r="R73">
        <v>0.86745000000000005</v>
      </c>
      <c r="T73" t="s">
        <v>172</v>
      </c>
      <c r="U73" s="5">
        <v>34520</v>
      </c>
      <c r="V73">
        <v>19</v>
      </c>
      <c r="W73">
        <v>73</v>
      </c>
      <c r="X73">
        <v>0.52135678391959805</v>
      </c>
      <c r="Y73">
        <v>73</v>
      </c>
      <c r="Z73">
        <v>0.52135678391959805</v>
      </c>
      <c r="AC73">
        <v>0.86745000000000005</v>
      </c>
    </row>
    <row r="74" spans="1:29" x14ac:dyDescent="0.2">
      <c r="A74" t="str">
        <f>IF(E74&gt;1,#REF!, "")</f>
        <v/>
      </c>
      <c r="B74" t="s">
        <v>100</v>
      </c>
      <c r="C74" t="e">
        <f t="shared" si="9"/>
        <v>#N/A</v>
      </c>
      <c r="D74" t="str">
        <f>IF(ISNUMBER(#REF!),INDEX($U$2:$U$194, MATCH(#REF!,$T$2:$T$194,0)),"")</f>
        <v/>
      </c>
      <c r="H74" t="s">
        <v>170</v>
      </c>
      <c r="I74">
        <v>0.60270000000000001</v>
      </c>
      <c r="K74" t="s">
        <v>146</v>
      </c>
      <c r="L74">
        <v>0.71436999999999995</v>
      </c>
      <c r="N74" t="s">
        <v>181</v>
      </c>
      <c r="O74">
        <v>0.74563999999999997</v>
      </c>
      <c r="Q74" t="s">
        <v>100</v>
      </c>
      <c r="R74">
        <v>0.86568000000000001</v>
      </c>
      <c r="T74" t="s">
        <v>175</v>
      </c>
      <c r="U74" s="5">
        <v>9820</v>
      </c>
      <c r="V74">
        <v>115.6</v>
      </c>
      <c r="W74">
        <v>74</v>
      </c>
      <c r="X74">
        <v>0.52512562814070352</v>
      </c>
      <c r="Y74">
        <v>74</v>
      </c>
      <c r="Z74">
        <v>0.52512562814070352</v>
      </c>
      <c r="AC74">
        <v>0.86568000000000001</v>
      </c>
    </row>
    <row r="75" spans="1:29" x14ac:dyDescent="0.2">
      <c r="A75" t="str">
        <f>IF(E75&gt;1,#REF!, "")</f>
        <v/>
      </c>
      <c r="B75" t="s">
        <v>195</v>
      </c>
      <c r="C75" t="e">
        <f t="shared" si="9"/>
        <v>#N/A</v>
      </c>
      <c r="D75" t="str">
        <f>IF(ISNUMBER(#REF!),INDEX($U$2:$U$194, MATCH(#REF!,$T$2:$T$194,0)),"")</f>
        <v/>
      </c>
      <c r="H75" t="s">
        <v>218</v>
      </c>
      <c r="I75">
        <v>0.58899999999999997</v>
      </c>
      <c r="K75" t="s">
        <v>148</v>
      </c>
      <c r="L75">
        <v>0.70969000000000004</v>
      </c>
      <c r="N75" t="s">
        <v>172</v>
      </c>
      <c r="O75">
        <v>0.74392000000000003</v>
      </c>
      <c r="Q75" t="s">
        <v>195</v>
      </c>
      <c r="R75">
        <v>0.86521999999999999</v>
      </c>
      <c r="T75" t="s">
        <v>176</v>
      </c>
      <c r="U75" s="5">
        <v>14540</v>
      </c>
      <c r="V75">
        <v>10.199999999999999</v>
      </c>
      <c r="W75">
        <v>75</v>
      </c>
      <c r="X75">
        <v>0.52889447236180898</v>
      </c>
      <c r="Y75">
        <v>75</v>
      </c>
      <c r="Z75">
        <v>0.52889447236180898</v>
      </c>
      <c r="AC75">
        <v>0.86521999999999999</v>
      </c>
    </row>
    <row r="76" spans="1:29" x14ac:dyDescent="0.2">
      <c r="A76" t="str">
        <f>IF(E76&gt;1,#REF!, "")</f>
        <v/>
      </c>
      <c r="B76" t="s">
        <v>256</v>
      </c>
      <c r="C76" t="e">
        <f t="shared" si="9"/>
        <v>#N/A</v>
      </c>
      <c r="D76" t="str">
        <f>IF(ISNUMBER(#REF!),INDEX($U$2:$U$194, MATCH(#REF!,$T$2:$T$194,0)),"")</f>
        <v/>
      </c>
      <c r="H76" t="s">
        <v>121</v>
      </c>
      <c r="I76">
        <v>0.58899999999999997</v>
      </c>
      <c r="K76" t="s">
        <v>170</v>
      </c>
      <c r="L76">
        <v>0.70811000000000002</v>
      </c>
      <c r="N76" t="s">
        <v>185</v>
      </c>
      <c r="O76">
        <v>0.74187999999999998</v>
      </c>
      <c r="Q76" t="s">
        <v>256</v>
      </c>
      <c r="R76">
        <v>0.86495</v>
      </c>
      <c r="T76" t="s">
        <v>179</v>
      </c>
      <c r="U76" s="5">
        <v>83530</v>
      </c>
      <c r="V76">
        <v>0.4</v>
      </c>
      <c r="W76">
        <v>76</v>
      </c>
      <c r="X76">
        <v>0.53266331658291466</v>
      </c>
      <c r="Y76">
        <v>76</v>
      </c>
      <c r="Z76">
        <v>0.53266331658291466</v>
      </c>
      <c r="AC76">
        <v>0.86495</v>
      </c>
    </row>
    <row r="77" spans="1:29" x14ac:dyDescent="0.2">
      <c r="A77" t="str">
        <f>IF(E77&gt;1,#REF!, "")</f>
        <v/>
      </c>
      <c r="B77" t="s">
        <v>156</v>
      </c>
      <c r="C77" t="e">
        <f t="shared" si="9"/>
        <v>#N/A</v>
      </c>
      <c r="D77" t="str">
        <f>IF(ISNUMBER(#REF!),INDEX($U$2:$U$194, MATCH(#REF!,$T$2:$T$194,0)),"")</f>
        <v/>
      </c>
      <c r="H77" t="s">
        <v>182</v>
      </c>
      <c r="I77">
        <v>0.57530000000000003</v>
      </c>
      <c r="K77" t="s">
        <v>297</v>
      </c>
      <c r="L77">
        <v>0.70416999999999996</v>
      </c>
      <c r="N77" t="s">
        <v>216</v>
      </c>
      <c r="O77">
        <v>0.74131000000000002</v>
      </c>
      <c r="Q77" t="s">
        <v>156</v>
      </c>
      <c r="R77">
        <v>0.86448000000000003</v>
      </c>
      <c r="T77" t="s">
        <v>181</v>
      </c>
      <c r="U77" s="5">
        <v>24310</v>
      </c>
      <c r="V77">
        <v>1.3</v>
      </c>
      <c r="W77">
        <v>77</v>
      </c>
      <c r="X77">
        <v>0.53643216080402012</v>
      </c>
      <c r="Y77">
        <v>77</v>
      </c>
      <c r="Z77">
        <v>0.53643216080402012</v>
      </c>
      <c r="AC77">
        <v>0.86448000000000003</v>
      </c>
    </row>
    <row r="78" spans="1:29" x14ac:dyDescent="0.2">
      <c r="A78" t="str">
        <f>IF(E78&gt;1,#REF!, "")</f>
        <v/>
      </c>
      <c r="B78" t="s">
        <v>188</v>
      </c>
      <c r="C78" t="e">
        <f t="shared" si="9"/>
        <v>#N/A</v>
      </c>
      <c r="D78" t="str">
        <f>IF(ISNUMBER(#REF!),INDEX($U$2:$U$194, MATCH(#REF!,$T$2:$T$194,0)),"")</f>
        <v/>
      </c>
      <c r="H78" t="s">
        <v>95</v>
      </c>
      <c r="I78">
        <v>0.56159999999999999</v>
      </c>
      <c r="K78" t="s">
        <v>121</v>
      </c>
      <c r="L78">
        <v>0.70062999999999998</v>
      </c>
      <c r="N78" t="s">
        <v>195</v>
      </c>
      <c r="O78">
        <v>0.73762000000000005</v>
      </c>
      <c r="Q78" t="s">
        <v>188</v>
      </c>
      <c r="R78">
        <v>0.85229999999999995</v>
      </c>
      <c r="T78" t="s">
        <v>185</v>
      </c>
      <c r="U78" s="5">
        <v>20080</v>
      </c>
      <c r="V78">
        <v>9.3000000000000007</v>
      </c>
      <c r="W78">
        <v>78</v>
      </c>
      <c r="X78">
        <v>0.54020100502512558</v>
      </c>
      <c r="Y78">
        <v>78</v>
      </c>
      <c r="Z78">
        <v>0.54020100502512558</v>
      </c>
      <c r="AC78">
        <v>0.85229999999999995</v>
      </c>
    </row>
    <row r="79" spans="1:29" x14ac:dyDescent="0.2">
      <c r="A79" t="str">
        <f>IF(E79&gt;1,#REF!, "")</f>
        <v/>
      </c>
      <c r="B79" t="s">
        <v>13</v>
      </c>
      <c r="C79" t="e">
        <f t="shared" si="9"/>
        <v>#N/A</v>
      </c>
      <c r="D79" t="str">
        <f>IF(ISNUMBER(#REF!),INDEX($U$2:$U$194, MATCH(#REF!,$T$2:$T$194,0)),"")</f>
        <v/>
      </c>
      <c r="H79" t="s">
        <v>206</v>
      </c>
      <c r="I79">
        <v>0.54790000000000005</v>
      </c>
      <c r="K79" t="s">
        <v>218</v>
      </c>
      <c r="L79">
        <v>0.70016</v>
      </c>
      <c r="N79" t="s">
        <v>156</v>
      </c>
      <c r="O79">
        <v>0.72933999999999999</v>
      </c>
      <c r="Q79" t="s">
        <v>13</v>
      </c>
      <c r="R79">
        <v>0.84277999999999997</v>
      </c>
      <c r="T79" t="s">
        <v>187</v>
      </c>
      <c r="U79" s="5">
        <v>5300</v>
      </c>
      <c r="V79">
        <v>6.7</v>
      </c>
      <c r="W79">
        <v>79</v>
      </c>
      <c r="X79">
        <v>0.54396984924623115</v>
      </c>
      <c r="Y79">
        <v>79</v>
      </c>
      <c r="Z79">
        <v>0.54396984924623115</v>
      </c>
      <c r="AC79">
        <v>0.84277999999999997</v>
      </c>
    </row>
    <row r="80" spans="1:29" x14ac:dyDescent="0.2">
      <c r="A80" t="str">
        <f>IF(E80&gt;1,#REF!, "")</f>
        <v/>
      </c>
      <c r="B80" t="s">
        <v>111</v>
      </c>
      <c r="C80" t="e">
        <f t="shared" si="9"/>
        <v>#N/A</v>
      </c>
      <c r="D80" t="str">
        <f>IF(ISNUMBER(#REF!),INDEX($U$2:$U$194, MATCH(#REF!,$T$2:$T$194,0)),"")</f>
        <v/>
      </c>
      <c r="H80" t="s">
        <v>245</v>
      </c>
      <c r="I80">
        <v>0.54790000000000005</v>
      </c>
      <c r="K80" t="s">
        <v>252</v>
      </c>
      <c r="L80">
        <v>0.68916999999999995</v>
      </c>
      <c r="N80" t="s">
        <v>170</v>
      </c>
      <c r="O80">
        <v>0.72665000000000002</v>
      </c>
      <c r="Q80" t="s">
        <v>111</v>
      </c>
      <c r="R80">
        <v>0.84253999999999996</v>
      </c>
      <c r="T80" t="s">
        <v>188</v>
      </c>
      <c r="U80" s="5">
        <v>30990</v>
      </c>
      <c r="V80">
        <v>4.4000000000000004</v>
      </c>
      <c r="W80">
        <v>80</v>
      </c>
      <c r="X80">
        <v>0.54773869346733672</v>
      </c>
      <c r="Y80">
        <v>80</v>
      </c>
      <c r="Z80">
        <v>0.54773869346733672</v>
      </c>
      <c r="AC80">
        <v>0.84253999999999996</v>
      </c>
    </row>
    <row r="81" spans="1:29" x14ac:dyDescent="0.2">
      <c r="A81" t="str">
        <f>IF(E81&gt;1,#REF!, "")</f>
        <v/>
      </c>
      <c r="B81" t="s">
        <v>144</v>
      </c>
      <c r="C81" t="e">
        <f t="shared" si="9"/>
        <v>#N/A</v>
      </c>
      <c r="D81" t="str">
        <f>IF(ISNUMBER(#REF!),INDEX($U$2:$U$194, MATCH(#REF!,$T$2:$T$194,0)),"")</f>
        <v/>
      </c>
      <c r="H81" t="s">
        <v>252</v>
      </c>
      <c r="I81">
        <v>0.54790000000000005</v>
      </c>
      <c r="K81" t="s">
        <v>191</v>
      </c>
      <c r="L81">
        <v>0.67115000000000002</v>
      </c>
      <c r="N81" t="s">
        <v>175</v>
      </c>
      <c r="O81">
        <v>0.72555999999999998</v>
      </c>
      <c r="Q81" t="s">
        <v>144</v>
      </c>
      <c r="R81">
        <v>0.83638000000000001</v>
      </c>
      <c r="T81" t="s">
        <v>191</v>
      </c>
      <c r="U81" s="5">
        <v>13990</v>
      </c>
      <c r="V81">
        <v>7.3</v>
      </c>
      <c r="W81">
        <v>81</v>
      </c>
      <c r="X81">
        <v>0.55150753768844218</v>
      </c>
      <c r="Y81">
        <v>81</v>
      </c>
      <c r="Z81">
        <v>0.55150753768844218</v>
      </c>
      <c r="AC81">
        <v>0.83638000000000001</v>
      </c>
    </row>
    <row r="82" spans="1:29" x14ac:dyDescent="0.2">
      <c r="A82" t="str">
        <f>IF(E82&gt;1,#REF!, "")</f>
        <v/>
      </c>
      <c r="B82" t="s">
        <v>201</v>
      </c>
      <c r="C82" t="e">
        <f t="shared" si="9"/>
        <v>#N/A</v>
      </c>
      <c r="D82" t="str">
        <f>IF(ISNUMBER(#REF!),INDEX($U$2:$U$194, MATCH(#REF!,$T$2:$T$194,0)),"")</f>
        <v/>
      </c>
      <c r="H82" t="s">
        <v>146</v>
      </c>
      <c r="I82">
        <v>0.54790000000000005</v>
      </c>
      <c r="K82" t="s">
        <v>182</v>
      </c>
      <c r="L82">
        <v>0.66415000000000002</v>
      </c>
      <c r="N82" t="s">
        <v>176</v>
      </c>
      <c r="O82">
        <v>0.72328999999999999</v>
      </c>
      <c r="Q82" t="s">
        <v>201</v>
      </c>
      <c r="R82">
        <v>0.83565999999999996</v>
      </c>
      <c r="T82" t="s">
        <v>115</v>
      </c>
      <c r="U82" s="5">
        <v>22940</v>
      </c>
      <c r="V82">
        <v>0.6</v>
      </c>
      <c r="W82">
        <v>82</v>
      </c>
      <c r="X82">
        <v>0.55527638190954776</v>
      </c>
      <c r="Y82">
        <v>82</v>
      </c>
      <c r="Z82">
        <v>0.55527638190954776</v>
      </c>
      <c r="AC82">
        <v>0.83565999999999996</v>
      </c>
    </row>
    <row r="83" spans="1:29" x14ac:dyDescent="0.2">
      <c r="A83" t="str">
        <f>IF(E83&gt;1,#REF!, "")</f>
        <v/>
      </c>
      <c r="B83" t="s">
        <v>50</v>
      </c>
      <c r="C83" t="e">
        <f t="shared" si="9"/>
        <v>#N/A</v>
      </c>
      <c r="D83" t="str">
        <f>IF(ISNUMBER(#REF!),INDEX($U$2:$U$194, MATCH(#REF!,$T$2:$T$194,0)),"")</f>
        <v/>
      </c>
      <c r="H83" t="s">
        <v>248</v>
      </c>
      <c r="I83">
        <v>0.53420000000000001</v>
      </c>
      <c r="K83" t="s">
        <v>172</v>
      </c>
      <c r="L83">
        <v>0.65476999999999996</v>
      </c>
      <c r="N83" t="s">
        <v>251</v>
      </c>
      <c r="O83">
        <v>0.72021000000000002</v>
      </c>
      <c r="Q83" t="s">
        <v>50</v>
      </c>
      <c r="R83">
        <v>0.83221000000000001</v>
      </c>
      <c r="T83" t="s">
        <v>193</v>
      </c>
      <c r="U83" s="8" t="s">
        <v>118</v>
      </c>
      <c r="V83">
        <v>0.04</v>
      </c>
      <c r="W83">
        <v>83</v>
      </c>
      <c r="X83">
        <v>0.55904522613065333</v>
      </c>
      <c r="Y83">
        <v>83</v>
      </c>
      <c r="Z83">
        <v>0.55904522613065333</v>
      </c>
      <c r="AC83">
        <v>0.83221000000000001</v>
      </c>
    </row>
    <row r="84" spans="1:29" x14ac:dyDescent="0.2">
      <c r="A84" t="str">
        <f>IF(E84&gt;1,#REF!, "")</f>
        <v/>
      </c>
      <c r="B84" t="s">
        <v>158</v>
      </c>
      <c r="C84" t="e">
        <f t="shared" si="9"/>
        <v>#N/A</v>
      </c>
      <c r="D84" t="str">
        <f>IF(ISNUMBER(#REF!),INDEX($U$2:$U$194, MATCH(#REF!,$T$2:$T$194,0)),"")</f>
        <v/>
      </c>
      <c r="H84" t="s">
        <v>249</v>
      </c>
      <c r="I84">
        <v>0.52049999999999996</v>
      </c>
      <c r="K84" t="s">
        <v>272</v>
      </c>
      <c r="L84">
        <v>0.65378999999999998</v>
      </c>
      <c r="N84" t="s">
        <v>51</v>
      </c>
      <c r="O84">
        <v>0.71921000000000002</v>
      </c>
      <c r="Q84" t="s">
        <v>158</v>
      </c>
      <c r="R84">
        <v>0.83101000000000003</v>
      </c>
      <c r="T84" t="s">
        <v>195</v>
      </c>
      <c r="U84" s="5">
        <v>34860</v>
      </c>
      <c r="V84">
        <v>0.4</v>
      </c>
      <c r="W84">
        <v>84</v>
      </c>
      <c r="X84">
        <v>0.56281407035175879</v>
      </c>
      <c r="Y84">
        <v>84</v>
      </c>
      <c r="Z84">
        <v>0.56281407035175879</v>
      </c>
      <c r="AC84">
        <v>0.83101000000000003</v>
      </c>
    </row>
    <row r="85" spans="1:29" x14ac:dyDescent="0.2">
      <c r="A85" t="str">
        <f>IF(E85&gt;1,#REF!, "")</f>
        <v/>
      </c>
      <c r="B85" t="s">
        <v>146</v>
      </c>
      <c r="C85" t="e">
        <f t="shared" si="9"/>
        <v>#N/A</v>
      </c>
      <c r="D85" t="str">
        <f>IF(ISNUMBER(#REF!),INDEX($U$2:$U$194, MATCH(#REF!,$T$2:$T$194,0)),"")</f>
        <v/>
      </c>
      <c r="H85" t="s">
        <v>188</v>
      </c>
      <c r="I85">
        <v>0.52049999999999996</v>
      </c>
      <c r="K85" t="s">
        <v>188</v>
      </c>
      <c r="L85">
        <v>0.65049000000000001</v>
      </c>
      <c r="N85" t="s">
        <v>115</v>
      </c>
      <c r="O85">
        <v>0.71904000000000001</v>
      </c>
      <c r="Q85" t="s">
        <v>146</v>
      </c>
      <c r="R85">
        <v>0.82821</v>
      </c>
      <c r="T85" t="s">
        <v>182</v>
      </c>
      <c r="U85" s="5">
        <v>18210</v>
      </c>
      <c r="V85">
        <v>2.1</v>
      </c>
      <c r="W85">
        <v>85</v>
      </c>
      <c r="X85">
        <v>0.56658291457286425</v>
      </c>
      <c r="Y85">
        <v>85</v>
      </c>
      <c r="Z85">
        <v>0.56658291457286425</v>
      </c>
      <c r="AC85">
        <v>0.82821</v>
      </c>
    </row>
    <row r="86" spans="1:29" x14ac:dyDescent="0.2">
      <c r="A86" t="str">
        <f>IF(E86&gt;1,#REF!, "")</f>
        <v/>
      </c>
      <c r="B86" t="s">
        <v>270</v>
      </c>
      <c r="C86" t="e">
        <f t="shared" si="9"/>
        <v>#N/A</v>
      </c>
      <c r="D86" t="str">
        <f>IF(ISNUMBER(#REF!),INDEX($U$2:$U$194, MATCH(#REF!,$T$2:$T$194,0)),"")</f>
        <v/>
      </c>
      <c r="H86" t="s">
        <v>115</v>
      </c>
      <c r="I86">
        <v>0.50680000000000003</v>
      </c>
      <c r="K86" t="s">
        <v>197</v>
      </c>
      <c r="L86">
        <v>0.64046999999999998</v>
      </c>
      <c r="N86" t="s">
        <v>197</v>
      </c>
      <c r="O86">
        <v>0.71889999999999998</v>
      </c>
      <c r="Q86" t="s">
        <v>270</v>
      </c>
      <c r="R86">
        <v>0.82630000000000003</v>
      </c>
      <c r="T86" t="s">
        <v>197</v>
      </c>
      <c r="U86" s="5">
        <v>20640</v>
      </c>
      <c r="V86">
        <v>10.8</v>
      </c>
      <c r="W86">
        <v>86</v>
      </c>
      <c r="X86">
        <v>0.57035175879396993</v>
      </c>
      <c r="Y86">
        <v>86</v>
      </c>
      <c r="Z86">
        <v>0.57035175879396993</v>
      </c>
      <c r="AC86">
        <v>0.82630000000000003</v>
      </c>
    </row>
    <row r="87" spans="1:29" x14ac:dyDescent="0.2">
      <c r="A87" t="str">
        <f>IF(E87&gt;1,#REF!, "")</f>
        <v/>
      </c>
      <c r="B87" t="s">
        <v>176</v>
      </c>
      <c r="C87" t="e">
        <f t="shared" si="9"/>
        <v>#N/A</v>
      </c>
      <c r="D87" t="str">
        <f>IF(ISNUMBER(#REF!),INDEX($U$2:$U$194, MATCH(#REF!,$T$2:$T$194,0)),"")</f>
        <v/>
      </c>
      <c r="H87" t="s">
        <v>141</v>
      </c>
      <c r="I87">
        <v>0.50680000000000003</v>
      </c>
      <c r="K87" t="s">
        <v>160</v>
      </c>
      <c r="L87">
        <v>0.63654999999999995</v>
      </c>
      <c r="N87" t="s">
        <v>239</v>
      </c>
      <c r="O87">
        <v>0.71757000000000004</v>
      </c>
      <c r="Q87" t="s">
        <v>176</v>
      </c>
      <c r="R87">
        <v>0.82033999999999996</v>
      </c>
      <c r="T87" t="s">
        <v>199</v>
      </c>
      <c r="U87" s="5">
        <v>26730</v>
      </c>
      <c r="V87">
        <v>1.4</v>
      </c>
      <c r="W87">
        <v>87</v>
      </c>
      <c r="X87">
        <v>0.57412060301507539</v>
      </c>
      <c r="Y87">
        <v>87</v>
      </c>
      <c r="Z87">
        <v>0.57412060301507539</v>
      </c>
      <c r="AC87">
        <v>0.82033999999999996</v>
      </c>
    </row>
    <row r="88" spans="1:29" x14ac:dyDescent="0.2">
      <c r="A88" t="str">
        <f>IF(E88&gt;1,#REF!, "")</f>
        <v/>
      </c>
      <c r="B88" t="s">
        <v>234</v>
      </c>
      <c r="C88" t="e">
        <f t="shared" si="9"/>
        <v>#N/A</v>
      </c>
      <c r="D88" t="str">
        <f>IF(ISNUMBER(#REF!),INDEX($U$2:$U$194, MATCH(#REF!,$T$2:$T$194,0)),"")</f>
        <v/>
      </c>
      <c r="H88" t="s">
        <v>338</v>
      </c>
      <c r="I88">
        <v>0.50680000000000003</v>
      </c>
      <c r="K88" t="s">
        <v>203</v>
      </c>
      <c r="L88">
        <v>0.62200999999999995</v>
      </c>
      <c r="N88" t="s">
        <v>199</v>
      </c>
      <c r="O88">
        <v>0.71738999999999997</v>
      </c>
      <c r="Q88" t="s">
        <v>234</v>
      </c>
      <c r="R88">
        <v>0.81694999999999995</v>
      </c>
      <c r="T88" t="s">
        <v>201</v>
      </c>
      <c r="U88" s="5">
        <v>11870</v>
      </c>
      <c r="V88">
        <v>12.3</v>
      </c>
      <c r="W88">
        <v>88</v>
      </c>
      <c r="X88">
        <v>0.57788944723618085</v>
      </c>
      <c r="Y88">
        <v>88</v>
      </c>
      <c r="Z88">
        <v>0.57788944723618085</v>
      </c>
      <c r="AC88">
        <v>0.81694999999999995</v>
      </c>
    </row>
    <row r="89" spans="1:29" x14ac:dyDescent="0.2">
      <c r="A89" t="str">
        <f>IF(E89&gt;1,#REF!, "")</f>
        <v/>
      </c>
      <c r="B89" t="s">
        <v>261</v>
      </c>
      <c r="C89" t="e">
        <f t="shared" si="9"/>
        <v>#N/A</v>
      </c>
      <c r="D89" t="str">
        <f>IF(ISNUMBER(#REF!),INDEX($U$2:$U$194, MATCH(#REF!,$T$2:$T$194,0)),"")</f>
        <v/>
      </c>
      <c r="H89" t="s">
        <v>297</v>
      </c>
      <c r="I89">
        <v>0.49320000000000003</v>
      </c>
      <c r="K89" t="s">
        <v>248</v>
      </c>
      <c r="L89">
        <v>0.60836999999999997</v>
      </c>
      <c r="N89" t="s">
        <v>303</v>
      </c>
      <c r="O89">
        <v>0.71480999999999995</v>
      </c>
      <c r="Q89" t="s">
        <v>261</v>
      </c>
      <c r="R89">
        <v>0.81289999999999996</v>
      </c>
      <c r="T89" t="s">
        <v>206</v>
      </c>
      <c r="U89" s="8" t="s">
        <v>118</v>
      </c>
      <c r="V89">
        <v>0.08</v>
      </c>
      <c r="W89">
        <v>89</v>
      </c>
      <c r="X89">
        <v>0.58165829145728642</v>
      </c>
      <c r="Y89">
        <v>89</v>
      </c>
      <c r="Z89">
        <v>0.58165829145728642</v>
      </c>
      <c r="AC89">
        <v>0.81289999999999996</v>
      </c>
    </row>
    <row r="90" spans="1:29" x14ac:dyDescent="0.2">
      <c r="A90" t="str">
        <f>IF(E90&gt;1,#REF!, "")</f>
        <v/>
      </c>
      <c r="B90" t="s">
        <v>168</v>
      </c>
      <c r="C90" t="e">
        <f t="shared" si="9"/>
        <v>#N/A</v>
      </c>
      <c r="D90" t="str">
        <f>IF(ISNUMBER(#REF!),INDEX($U$2:$U$194, MATCH(#REF!,$T$2:$T$194,0)),"")</f>
        <v/>
      </c>
      <c r="H90" t="s">
        <v>176</v>
      </c>
      <c r="I90">
        <v>0.49320000000000003</v>
      </c>
      <c r="K90" t="s">
        <v>187</v>
      </c>
      <c r="L90">
        <v>0.60723000000000005</v>
      </c>
      <c r="N90" t="s">
        <v>287</v>
      </c>
      <c r="O90">
        <v>0.71148999999999996</v>
      </c>
      <c r="Q90" t="s">
        <v>168</v>
      </c>
      <c r="R90">
        <v>0.81179999999999997</v>
      </c>
      <c r="T90" t="s">
        <v>209</v>
      </c>
      <c r="U90" s="5">
        <v>11980</v>
      </c>
      <c r="V90">
        <v>11.1</v>
      </c>
      <c r="W90">
        <v>90</v>
      </c>
      <c r="X90">
        <v>0.585427135678392</v>
      </c>
      <c r="Y90">
        <v>90</v>
      </c>
      <c r="Z90">
        <v>0.585427135678392</v>
      </c>
      <c r="AC90">
        <v>0.81179999999999997</v>
      </c>
    </row>
    <row r="91" spans="1:29" x14ac:dyDescent="0.2">
      <c r="A91" t="str">
        <f>IF(E91&gt;1,#REF!, "")</f>
        <v/>
      </c>
      <c r="B91" t="s">
        <v>122</v>
      </c>
      <c r="C91" t="e">
        <f t="shared" si="9"/>
        <v>#N/A</v>
      </c>
      <c r="D91" t="str">
        <f>IF(ISNUMBER(#REF!),INDEX($U$2:$U$194, MATCH(#REF!,$T$2:$T$194,0)),"")</f>
        <v/>
      </c>
      <c r="H91" t="s">
        <v>185</v>
      </c>
      <c r="I91">
        <v>0.49320000000000003</v>
      </c>
      <c r="K91" t="s">
        <v>319</v>
      </c>
      <c r="L91">
        <v>0.60690999999999995</v>
      </c>
      <c r="N91" t="s">
        <v>137</v>
      </c>
      <c r="O91">
        <v>0.71135000000000004</v>
      </c>
      <c r="Q91" t="s">
        <v>122</v>
      </c>
      <c r="R91">
        <v>0.80781999999999998</v>
      </c>
      <c r="T91" t="s">
        <v>211</v>
      </c>
      <c r="U91" s="5">
        <v>9230</v>
      </c>
      <c r="V91">
        <v>37.799999999999997</v>
      </c>
      <c r="W91">
        <v>91</v>
      </c>
      <c r="X91">
        <v>0.58919597989949746</v>
      </c>
      <c r="Y91">
        <v>91</v>
      </c>
      <c r="Z91">
        <v>0.58919597989949746</v>
      </c>
      <c r="AC91">
        <v>0.80781999999999998</v>
      </c>
    </row>
    <row r="92" spans="1:29" x14ac:dyDescent="0.2">
      <c r="A92" t="str">
        <f>IF(E92&gt;1,#REF!, "")</f>
        <v/>
      </c>
      <c r="B92" t="s">
        <v>130</v>
      </c>
      <c r="C92" t="e">
        <f t="shared" si="9"/>
        <v>#N/A</v>
      </c>
      <c r="D92" t="str">
        <f>IF(ISNUMBER(#REF!),INDEX($U$2:$U$194, MATCH(#REF!,$T$2:$T$194,0)),"")</f>
        <v/>
      </c>
      <c r="H92" t="s">
        <v>234</v>
      </c>
      <c r="I92">
        <v>0.49320000000000003</v>
      </c>
      <c r="K92" t="s">
        <v>199</v>
      </c>
      <c r="L92">
        <v>0.59989000000000003</v>
      </c>
      <c r="N92" t="s">
        <v>191</v>
      </c>
      <c r="O92">
        <v>0.70931999999999995</v>
      </c>
      <c r="Q92" t="s">
        <v>130</v>
      </c>
      <c r="R92">
        <v>0.80684999999999996</v>
      </c>
      <c r="T92" t="s">
        <v>213</v>
      </c>
      <c r="U92" s="5">
        <v>17450</v>
      </c>
      <c r="V92">
        <v>0.3</v>
      </c>
      <c r="W92">
        <v>92</v>
      </c>
      <c r="X92">
        <v>0.59296482412060303</v>
      </c>
      <c r="Y92">
        <v>92</v>
      </c>
      <c r="Z92">
        <v>0.59296482412060303</v>
      </c>
      <c r="AC92">
        <v>0.80684999999999996</v>
      </c>
    </row>
    <row r="93" spans="1:29" x14ac:dyDescent="0.2">
      <c r="A93" t="str">
        <f>IF(E93&gt;1,#REF!, "")</f>
        <v/>
      </c>
      <c r="B93" t="s">
        <v>165</v>
      </c>
      <c r="C93" t="e">
        <f t="shared" si="9"/>
        <v>#N/A</v>
      </c>
      <c r="D93" t="str">
        <f>IF(ISNUMBER(#REF!),INDEX($U$2:$U$194, MATCH(#REF!,$T$2:$T$194,0)),"")</f>
        <v/>
      </c>
      <c r="H93" t="s">
        <v>203</v>
      </c>
      <c r="I93">
        <v>0.47949999999999998</v>
      </c>
      <c r="K93" t="s">
        <v>228</v>
      </c>
      <c r="L93">
        <v>0.59869000000000006</v>
      </c>
      <c r="N93" t="s">
        <v>160</v>
      </c>
      <c r="O93">
        <v>0.70830000000000004</v>
      </c>
      <c r="Q93" t="s">
        <v>165</v>
      </c>
      <c r="R93">
        <v>0.80654000000000003</v>
      </c>
      <c r="T93" t="s">
        <v>214</v>
      </c>
      <c r="U93" s="5">
        <v>26320</v>
      </c>
      <c r="V93">
        <v>0.1</v>
      </c>
      <c r="W93">
        <v>93</v>
      </c>
      <c r="X93">
        <v>0.5967336683417086</v>
      </c>
      <c r="Y93">
        <v>93</v>
      </c>
      <c r="Z93">
        <v>0.5967336683417086</v>
      </c>
      <c r="AC93">
        <v>0.80654000000000003</v>
      </c>
    </row>
    <row r="94" spans="1:29" x14ac:dyDescent="0.2">
      <c r="A94" t="str">
        <f>IF(E94&gt;1,#REF!, "")</f>
        <v/>
      </c>
      <c r="B94" t="s">
        <v>191</v>
      </c>
      <c r="C94" t="e">
        <f t="shared" si="9"/>
        <v>#N/A</v>
      </c>
      <c r="D94" t="str">
        <f>IF(ISNUMBER(#REF!),INDEX($U$2:$U$194, MATCH(#REF!,$T$2:$T$194,0)),"")</f>
        <v/>
      </c>
      <c r="H94" t="s">
        <v>137</v>
      </c>
      <c r="I94">
        <v>0.47949999999999998</v>
      </c>
      <c r="K94" t="s">
        <v>201</v>
      </c>
      <c r="L94">
        <v>0.59506999999999999</v>
      </c>
      <c r="N94" t="s">
        <v>187</v>
      </c>
      <c r="O94">
        <v>0.70609999999999995</v>
      </c>
      <c r="Q94" t="s">
        <v>191</v>
      </c>
      <c r="R94">
        <v>0.79468000000000005</v>
      </c>
      <c r="T94" t="s">
        <v>216</v>
      </c>
      <c r="U94" s="5">
        <v>12080</v>
      </c>
      <c r="V94">
        <v>0.9</v>
      </c>
      <c r="W94">
        <v>94</v>
      </c>
      <c r="X94">
        <v>0.60050251256281406</v>
      </c>
      <c r="Y94">
        <v>94</v>
      </c>
      <c r="Z94">
        <v>0.60050251256281406</v>
      </c>
      <c r="AC94">
        <v>0.79468000000000005</v>
      </c>
    </row>
    <row r="95" spans="1:29" x14ac:dyDescent="0.2">
      <c r="A95" t="str">
        <f>IF(E95&gt;1,#REF!, "")</f>
        <v/>
      </c>
      <c r="B95" t="s">
        <v>239</v>
      </c>
      <c r="C95" t="e">
        <f t="shared" si="9"/>
        <v>#N/A</v>
      </c>
      <c r="D95" t="str">
        <f>IF(ISNUMBER(#REF!),INDEX($U$2:$U$194, MATCH(#REF!,$T$2:$T$194,0)),"")</f>
        <v/>
      </c>
      <c r="H95" t="s">
        <v>187</v>
      </c>
      <c r="I95">
        <v>0.46579999999999999</v>
      </c>
      <c r="K95" t="s">
        <v>181</v>
      </c>
      <c r="L95">
        <v>0.59031999999999996</v>
      </c>
      <c r="N95" t="s">
        <v>221</v>
      </c>
      <c r="O95">
        <v>0.70599999999999996</v>
      </c>
      <c r="Q95" t="s">
        <v>239</v>
      </c>
      <c r="R95">
        <v>0.79425999999999997</v>
      </c>
      <c r="T95" t="s">
        <v>203</v>
      </c>
      <c r="U95" s="5">
        <v>19150</v>
      </c>
      <c r="V95">
        <v>0.5</v>
      </c>
      <c r="W95">
        <v>95</v>
      </c>
      <c r="X95">
        <v>0.60427135678391952</v>
      </c>
      <c r="Y95">
        <v>95</v>
      </c>
      <c r="Z95">
        <v>0.60427135678391952</v>
      </c>
      <c r="AC95">
        <v>0.79425999999999997</v>
      </c>
    </row>
    <row r="96" spans="1:29" x14ac:dyDescent="0.2">
      <c r="A96" t="str">
        <f>IF(E96&gt;1,#REF!, "")</f>
        <v/>
      </c>
      <c r="B96" t="s">
        <v>225</v>
      </c>
      <c r="C96" t="e">
        <f t="shared" si="9"/>
        <v>#N/A</v>
      </c>
      <c r="D96" t="str">
        <f>IF(ISNUMBER(#REF!),INDEX($U$2:$U$194, MATCH(#REF!,$T$2:$T$194,0)),"")</f>
        <v/>
      </c>
      <c r="H96" t="s">
        <v>278</v>
      </c>
      <c r="I96">
        <v>0.46579999999999999</v>
      </c>
      <c r="K96" t="s">
        <v>234</v>
      </c>
      <c r="L96">
        <v>0.58862000000000003</v>
      </c>
      <c r="N96" t="s">
        <v>182</v>
      </c>
      <c r="O96">
        <v>0.70233000000000001</v>
      </c>
      <c r="Q96" t="s">
        <v>225</v>
      </c>
      <c r="R96">
        <v>0.79359000000000002</v>
      </c>
      <c r="T96" t="s">
        <v>218</v>
      </c>
      <c r="U96" s="5">
        <v>14000</v>
      </c>
      <c r="V96">
        <v>110.9</v>
      </c>
      <c r="W96">
        <v>96</v>
      </c>
      <c r="X96">
        <v>0.6080402010050252</v>
      </c>
      <c r="Y96">
        <v>96</v>
      </c>
      <c r="Z96">
        <v>0.6080402010050252</v>
      </c>
      <c r="AC96">
        <v>0.79359000000000002</v>
      </c>
    </row>
    <row r="97" spans="1:29" x14ac:dyDescent="0.2">
      <c r="A97" t="str">
        <f>IF(E97&gt;1,#REF!, "")</f>
        <v/>
      </c>
      <c r="B97" t="s">
        <v>203</v>
      </c>
      <c r="C97" t="e">
        <f t="shared" si="9"/>
        <v>#N/A</v>
      </c>
      <c r="D97" t="str">
        <f>IF(ISNUMBER(#REF!),INDEX($U$2:$U$194, MATCH(#REF!,$T$2:$T$194,0)),"")</f>
        <v/>
      </c>
      <c r="H97" t="s">
        <v>179</v>
      </c>
      <c r="I97">
        <v>0.46579999999999999</v>
      </c>
      <c r="K97" t="s">
        <v>179</v>
      </c>
      <c r="L97">
        <v>0.58020000000000005</v>
      </c>
      <c r="N97" t="s">
        <v>179</v>
      </c>
      <c r="O97">
        <v>0.69908999999999999</v>
      </c>
      <c r="Q97" t="s">
        <v>203</v>
      </c>
      <c r="R97">
        <v>0.78856000000000004</v>
      </c>
      <c r="T97" t="s">
        <v>221</v>
      </c>
      <c r="U97" s="5">
        <v>10990</v>
      </c>
      <c r="V97">
        <v>2.8</v>
      </c>
      <c r="W97">
        <v>97</v>
      </c>
      <c r="X97">
        <v>0.61180904522613067</v>
      </c>
      <c r="Y97">
        <v>97</v>
      </c>
      <c r="Z97">
        <v>0.61180904522613067</v>
      </c>
      <c r="AC97">
        <v>0.78856000000000004</v>
      </c>
    </row>
    <row r="98" spans="1:29" x14ac:dyDescent="0.2">
      <c r="A98" t="str">
        <f>IF(E98&gt;1,#REF!, "")</f>
        <v/>
      </c>
      <c r="B98" t="s">
        <v>224</v>
      </c>
      <c r="C98" t="e">
        <f t="shared" si="9"/>
        <v>#N/A</v>
      </c>
      <c r="D98" t="str">
        <f>IF(ISNUMBER(#REF!),INDEX($U$2:$U$194, MATCH(#REF!,$T$2:$T$194,0)),"")</f>
        <v/>
      </c>
      <c r="H98" t="s">
        <v>272</v>
      </c>
      <c r="I98">
        <v>0.46579999999999999</v>
      </c>
      <c r="K98" t="s">
        <v>185</v>
      </c>
      <c r="L98">
        <v>0.57598000000000005</v>
      </c>
      <c r="N98" t="s">
        <v>263</v>
      </c>
      <c r="O98">
        <v>0.69557000000000002</v>
      </c>
      <c r="Q98" t="s">
        <v>224</v>
      </c>
      <c r="R98">
        <v>0.78510999999999997</v>
      </c>
      <c r="T98" t="s">
        <v>222</v>
      </c>
      <c r="U98" s="5">
        <v>7130</v>
      </c>
      <c r="V98" s="7">
        <v>1417.2</v>
      </c>
      <c r="W98">
        <v>98</v>
      </c>
      <c r="X98">
        <v>0.61557788944723613</v>
      </c>
      <c r="Y98">
        <v>98</v>
      </c>
      <c r="Z98">
        <v>0.61557788944723613</v>
      </c>
      <c r="AC98">
        <v>0.78510999999999997</v>
      </c>
    </row>
    <row r="99" spans="1:29" x14ac:dyDescent="0.2">
      <c r="A99" t="str">
        <f>IF(E99&gt;1,#REF!, "")</f>
        <v/>
      </c>
      <c r="B99" t="s">
        <v>245</v>
      </c>
      <c r="C99" t="e">
        <f t="shared" si="9"/>
        <v>#N/A</v>
      </c>
      <c r="D99" t="str">
        <f>IF(ISNUMBER(#REF!),INDEX($U$2:$U$194, MATCH(#REF!,$T$2:$T$194,0)),"")</f>
        <v/>
      </c>
      <c r="H99" t="s">
        <v>284</v>
      </c>
      <c r="I99">
        <v>0.46579999999999999</v>
      </c>
      <c r="K99" t="s">
        <v>221</v>
      </c>
      <c r="L99">
        <v>0.56772</v>
      </c>
      <c r="N99" t="s">
        <v>143</v>
      </c>
      <c r="O99">
        <v>0.69316</v>
      </c>
      <c r="Q99" t="s">
        <v>245</v>
      </c>
      <c r="R99">
        <v>0.77627999999999997</v>
      </c>
      <c r="T99" t="s">
        <v>225</v>
      </c>
      <c r="U99" s="5">
        <v>12570</v>
      </c>
      <c r="V99">
        <v>21.5</v>
      </c>
      <c r="W99">
        <v>99</v>
      </c>
      <c r="X99">
        <v>0.6193467336683417</v>
      </c>
      <c r="Y99">
        <v>99</v>
      </c>
      <c r="Z99">
        <v>0.6193467336683417</v>
      </c>
      <c r="AC99">
        <v>0.77627999999999997</v>
      </c>
    </row>
    <row r="100" spans="1:29" x14ac:dyDescent="0.2">
      <c r="A100" t="str">
        <f>IF(E100&gt;1,#REF!, "")</f>
        <v/>
      </c>
      <c r="B100" t="s">
        <v>151</v>
      </c>
      <c r="C100" t="e">
        <f t="shared" si="9"/>
        <v>#N/A</v>
      </c>
      <c r="D100" t="str">
        <f>IF(ISNUMBER(#REF!),INDEX($U$2:$U$194, MATCH(#REF!,$T$2:$T$194,0)),"")</f>
        <v/>
      </c>
      <c r="H100" t="s">
        <v>341</v>
      </c>
      <c r="I100">
        <v>0.4521</v>
      </c>
      <c r="K100" t="s">
        <v>95</v>
      </c>
      <c r="L100">
        <v>0.56521999999999994</v>
      </c>
      <c r="N100" t="s">
        <v>228</v>
      </c>
      <c r="O100">
        <v>0.68764999999999998</v>
      </c>
      <c r="Q100" t="s">
        <v>151</v>
      </c>
      <c r="R100">
        <v>0.77497000000000005</v>
      </c>
      <c r="T100" t="s">
        <v>228</v>
      </c>
      <c r="U100" s="5">
        <v>8550</v>
      </c>
      <c r="V100">
        <v>12.1</v>
      </c>
      <c r="W100">
        <v>100</v>
      </c>
      <c r="X100">
        <v>0.62311557788944727</v>
      </c>
      <c r="Y100">
        <v>100</v>
      </c>
      <c r="Z100">
        <v>0.62311557788944727</v>
      </c>
      <c r="AC100">
        <v>0.77497000000000005</v>
      </c>
    </row>
    <row r="101" spans="1:29" x14ac:dyDescent="0.2">
      <c r="A101" t="str">
        <f>IF(E101&gt;1,#REF!, "")</f>
        <v/>
      </c>
      <c r="B101" t="s">
        <v>199</v>
      </c>
      <c r="C101" t="e">
        <f t="shared" si="9"/>
        <v>#N/A</v>
      </c>
      <c r="D101" t="str">
        <f>IF(ISNUMBER(#REF!),INDEX($U$2:$U$194, MATCH(#REF!,$T$2:$T$194,0)),"")</f>
        <v/>
      </c>
      <c r="H101" t="s">
        <v>339</v>
      </c>
      <c r="I101">
        <v>0.4521</v>
      </c>
      <c r="K101" t="s">
        <v>211</v>
      </c>
      <c r="L101">
        <v>0.56184000000000001</v>
      </c>
      <c r="N101" t="s">
        <v>188</v>
      </c>
      <c r="O101">
        <v>0.68662999999999996</v>
      </c>
      <c r="Q101" t="s">
        <v>199</v>
      </c>
      <c r="R101">
        <v>0.77454000000000001</v>
      </c>
      <c r="T101" t="s">
        <v>230</v>
      </c>
      <c r="U101" s="5">
        <v>6530</v>
      </c>
      <c r="V101">
        <v>171.2</v>
      </c>
      <c r="W101">
        <v>101</v>
      </c>
      <c r="X101">
        <v>0.62688442211055273</v>
      </c>
      <c r="Y101">
        <v>101</v>
      </c>
      <c r="Z101">
        <v>0.62688442211055273</v>
      </c>
      <c r="AC101">
        <v>0.77454000000000001</v>
      </c>
    </row>
    <row r="102" spans="1:29" x14ac:dyDescent="0.2">
      <c r="A102" t="str">
        <f>IF(E102&gt;1,#REF!, "")</f>
        <v/>
      </c>
      <c r="B102" t="s">
        <v>267</v>
      </c>
      <c r="C102" t="e">
        <f t="shared" si="9"/>
        <v>#N/A</v>
      </c>
      <c r="D102" t="str">
        <f>IF(ISNUMBER(#REF!),INDEX($U$2:$U$194, MATCH(#REF!,$T$2:$T$194,0)),"")</f>
        <v/>
      </c>
      <c r="H102" t="s">
        <v>201</v>
      </c>
      <c r="I102">
        <v>0.4521</v>
      </c>
      <c r="K102" t="s">
        <v>225</v>
      </c>
      <c r="L102">
        <v>0.54937000000000002</v>
      </c>
      <c r="N102" t="s">
        <v>214</v>
      </c>
      <c r="O102">
        <v>0.67688000000000004</v>
      </c>
      <c r="Q102" t="s">
        <v>267</v>
      </c>
      <c r="R102">
        <v>0.76529000000000003</v>
      </c>
      <c r="T102" t="s">
        <v>143</v>
      </c>
      <c r="U102" s="5">
        <v>16790</v>
      </c>
      <c r="V102">
        <v>88.6</v>
      </c>
      <c r="W102">
        <v>102</v>
      </c>
      <c r="X102">
        <v>0.6306532663316583</v>
      </c>
      <c r="Y102">
        <v>102</v>
      </c>
      <c r="Z102">
        <v>0.6306532663316583</v>
      </c>
      <c r="AC102">
        <v>0.76529000000000003</v>
      </c>
    </row>
    <row r="103" spans="1:29" x14ac:dyDescent="0.2">
      <c r="A103" t="str">
        <f>IF(E103&gt;1,#REF!, "")</f>
        <v/>
      </c>
      <c r="B103" t="s">
        <v>213</v>
      </c>
      <c r="C103" t="e">
        <f t="shared" si="9"/>
        <v>#N/A</v>
      </c>
      <c r="D103" t="str">
        <f>IF(ISNUMBER(#REF!),INDEX($U$2:$U$194, MATCH(#REF!,$T$2:$T$194,0)),"")</f>
        <v/>
      </c>
      <c r="H103" t="s">
        <v>221</v>
      </c>
      <c r="I103">
        <v>0.43840000000000001</v>
      </c>
      <c r="K103" t="s">
        <v>195</v>
      </c>
      <c r="L103">
        <v>0.54020999999999997</v>
      </c>
      <c r="N103" t="s">
        <v>206</v>
      </c>
      <c r="O103">
        <v>0.66683999999999999</v>
      </c>
      <c r="Q103" t="s">
        <v>213</v>
      </c>
      <c r="R103">
        <v>0.76239999999999997</v>
      </c>
      <c r="T103" t="s">
        <v>233</v>
      </c>
      <c r="U103" s="5" t="s">
        <v>118</v>
      </c>
      <c r="V103">
        <v>0.03</v>
      </c>
      <c r="W103">
        <v>103</v>
      </c>
      <c r="X103">
        <v>0.63442211055276387</v>
      </c>
      <c r="Y103">
        <v>103</v>
      </c>
      <c r="Z103">
        <v>0.63442211055276387</v>
      </c>
      <c r="AC103">
        <v>0.76239999999999997</v>
      </c>
    </row>
    <row r="104" spans="1:29" x14ac:dyDescent="0.2">
      <c r="A104" t="str">
        <f>IF(E104&gt;1,#REF!, "")</f>
        <v/>
      </c>
      <c r="B104" t="s">
        <v>268</v>
      </c>
      <c r="C104" t="e">
        <f t="shared" si="9"/>
        <v>#N/A</v>
      </c>
      <c r="D104" t="str">
        <f>IF(ISNUMBER(#REF!),INDEX($U$2:$U$194, MATCH(#REF!,$T$2:$T$194,0)),"")</f>
        <v/>
      </c>
      <c r="H104" t="s">
        <v>211</v>
      </c>
      <c r="I104">
        <v>0.43840000000000001</v>
      </c>
      <c r="K104" t="s">
        <v>311</v>
      </c>
      <c r="L104">
        <v>0.53718999999999995</v>
      </c>
      <c r="N104" t="s">
        <v>312</v>
      </c>
      <c r="O104">
        <v>0.66137000000000001</v>
      </c>
      <c r="Q104" t="s">
        <v>268</v>
      </c>
      <c r="R104">
        <v>0.76093999999999995</v>
      </c>
      <c r="T104" t="s">
        <v>234</v>
      </c>
      <c r="U104" s="5">
        <v>10840</v>
      </c>
      <c r="V104">
        <v>0.8</v>
      </c>
      <c r="W104">
        <v>104</v>
      </c>
      <c r="X104">
        <v>0.63819095477386933</v>
      </c>
      <c r="Y104">
        <v>104</v>
      </c>
      <c r="Z104">
        <v>0.63819095477386933</v>
      </c>
      <c r="AC104">
        <v>0.76093999999999995</v>
      </c>
    </row>
    <row r="105" spans="1:29" x14ac:dyDescent="0.2">
      <c r="A105" t="str">
        <f>IF(E105&gt;1,#REF!, "")</f>
        <v/>
      </c>
      <c r="B105" t="s">
        <v>175</v>
      </c>
      <c r="C105" t="e">
        <f t="shared" si="9"/>
        <v>#N/A</v>
      </c>
      <c r="D105" t="str">
        <f>IF(ISNUMBER(#REF!),INDEX($U$2:$U$194, MATCH(#REF!,$T$2:$T$194,0)),"")</f>
        <v/>
      </c>
      <c r="H105" t="s">
        <v>319</v>
      </c>
      <c r="I105">
        <v>0.43840000000000001</v>
      </c>
      <c r="K105" t="s">
        <v>216</v>
      </c>
      <c r="L105">
        <v>0.53430999999999995</v>
      </c>
      <c r="N105" t="s">
        <v>233</v>
      </c>
      <c r="O105">
        <v>0.65866000000000002</v>
      </c>
      <c r="Q105" t="s">
        <v>175</v>
      </c>
      <c r="R105">
        <v>0.75544</v>
      </c>
      <c r="T105" t="s">
        <v>238</v>
      </c>
      <c r="U105" s="5">
        <v>17460</v>
      </c>
      <c r="V105">
        <v>0.1</v>
      </c>
      <c r="W105">
        <v>105</v>
      </c>
      <c r="X105">
        <v>0.64195979899497491</v>
      </c>
      <c r="Y105">
        <v>105</v>
      </c>
      <c r="Z105">
        <v>0.64195979899497491</v>
      </c>
      <c r="AC105">
        <v>0.75544</v>
      </c>
    </row>
    <row r="106" spans="1:29" x14ac:dyDescent="0.2">
      <c r="A106" t="str">
        <f>IF(E106&gt;1,#REF!, "")</f>
        <v/>
      </c>
      <c r="B106" t="s">
        <v>182</v>
      </c>
      <c r="C106" t="e">
        <f t="shared" si="9"/>
        <v>#N/A</v>
      </c>
      <c r="D106" t="str">
        <f>IF(ISNUMBER(#REF!),INDEX($U$2:$U$194, MATCH(#REF!,$T$2:$T$194,0)),"")</f>
        <v/>
      </c>
      <c r="H106" t="s">
        <v>228</v>
      </c>
      <c r="I106">
        <v>0.42470000000000002</v>
      </c>
      <c r="K106" t="s">
        <v>240</v>
      </c>
      <c r="L106">
        <v>0.52193999999999996</v>
      </c>
      <c r="N106" t="s">
        <v>225</v>
      </c>
      <c r="O106">
        <v>0.65703999999999996</v>
      </c>
      <c r="Q106" t="s">
        <v>182</v>
      </c>
      <c r="R106">
        <v>0.75458999999999998</v>
      </c>
      <c r="T106" t="s">
        <v>239</v>
      </c>
      <c r="U106" s="5">
        <v>21840</v>
      </c>
      <c r="V106">
        <v>0.1</v>
      </c>
      <c r="W106">
        <v>106</v>
      </c>
      <c r="X106">
        <v>0.64572864321608037</v>
      </c>
      <c r="Y106">
        <v>106</v>
      </c>
      <c r="Z106">
        <v>0.64572864321608037</v>
      </c>
      <c r="AC106">
        <v>0.75458999999999998</v>
      </c>
    </row>
    <row r="107" spans="1:29" x14ac:dyDescent="0.2">
      <c r="A107" t="str">
        <f>IF(E107&gt;1,#REF!, "")</f>
        <v/>
      </c>
      <c r="B107" t="s">
        <v>259</v>
      </c>
      <c r="C107" t="e">
        <f t="shared" si="9"/>
        <v>#N/A</v>
      </c>
      <c r="D107" t="str">
        <f>IF(ISNUMBER(#REF!),INDEX($U$2:$U$194, MATCH(#REF!,$T$2:$T$194,0)),"")</f>
        <v/>
      </c>
      <c r="H107" t="s">
        <v>329</v>
      </c>
      <c r="I107">
        <v>0.42470000000000002</v>
      </c>
      <c r="K107" t="s">
        <v>115</v>
      </c>
      <c r="L107">
        <v>0.52141999999999999</v>
      </c>
      <c r="N107" t="s">
        <v>274</v>
      </c>
      <c r="O107">
        <v>0.65305000000000002</v>
      </c>
      <c r="Q107" t="s">
        <v>259</v>
      </c>
      <c r="R107">
        <v>0.75263999999999998</v>
      </c>
      <c r="T107" t="s">
        <v>241</v>
      </c>
      <c r="U107" s="5">
        <v>15120</v>
      </c>
      <c r="V107">
        <v>0.6</v>
      </c>
      <c r="W107">
        <v>107</v>
      </c>
      <c r="X107">
        <v>0.64949748743718594</v>
      </c>
      <c r="Y107">
        <v>107</v>
      </c>
      <c r="Z107">
        <v>0.64949748743718594</v>
      </c>
      <c r="AC107">
        <v>0.75263999999999998</v>
      </c>
    </row>
    <row r="108" spans="1:29" x14ac:dyDescent="0.2">
      <c r="A108" t="str">
        <f>IF(E108&gt;1,#REF!, "")</f>
        <v/>
      </c>
      <c r="B108" t="s">
        <v>216</v>
      </c>
      <c r="C108" t="e">
        <f t="shared" si="9"/>
        <v>#N/A</v>
      </c>
      <c r="D108" t="str">
        <f>IF(ISNUMBER(#REF!),INDEX($U$2:$U$194, MATCH(#REF!,$T$2:$T$194,0)),"")</f>
        <v/>
      </c>
      <c r="H108" t="s">
        <v>295</v>
      </c>
      <c r="I108">
        <v>0.42470000000000002</v>
      </c>
      <c r="K108" t="s">
        <v>313</v>
      </c>
      <c r="L108">
        <v>0.52015999999999996</v>
      </c>
      <c r="N108" t="s">
        <v>201</v>
      </c>
      <c r="O108">
        <v>0.64964999999999995</v>
      </c>
      <c r="Q108" t="s">
        <v>216</v>
      </c>
      <c r="R108">
        <v>0.75066999999999995</v>
      </c>
      <c r="T108" t="s">
        <v>245</v>
      </c>
      <c r="U108" s="5">
        <v>17650</v>
      </c>
      <c r="V108">
        <v>3.2</v>
      </c>
      <c r="W108">
        <v>108</v>
      </c>
      <c r="X108">
        <v>0.6532663316582914</v>
      </c>
      <c r="Y108">
        <v>108</v>
      </c>
      <c r="Z108">
        <v>0.6532663316582914</v>
      </c>
      <c r="AC108">
        <v>0.75066999999999995</v>
      </c>
    </row>
    <row r="109" spans="1:29" x14ac:dyDescent="0.2">
      <c r="A109" t="str">
        <f>IF(E109&gt;1,#REF!, "")</f>
        <v/>
      </c>
      <c r="B109" t="s">
        <v>197</v>
      </c>
      <c r="C109" t="e">
        <f t="shared" si="9"/>
        <v>#N/A</v>
      </c>
      <c r="D109" t="str">
        <f>IF(ISNUMBER(#REF!),INDEX($U$2:$U$194, MATCH(#REF!,$T$2:$T$194,0)),"")</f>
        <v/>
      </c>
      <c r="H109" t="s">
        <v>181</v>
      </c>
      <c r="I109">
        <v>0.41099999999999998</v>
      </c>
      <c r="K109" t="s">
        <v>259</v>
      </c>
      <c r="L109">
        <v>0.50897000000000003</v>
      </c>
      <c r="N109" t="s">
        <v>209</v>
      </c>
      <c r="O109">
        <v>0.64578999999999998</v>
      </c>
      <c r="Q109" t="s">
        <v>197</v>
      </c>
      <c r="R109">
        <v>0.74439999999999995</v>
      </c>
      <c r="T109" t="s">
        <v>248</v>
      </c>
      <c r="U109" s="5">
        <v>6220</v>
      </c>
      <c r="V109">
        <v>32.799999999999997</v>
      </c>
      <c r="W109">
        <v>109</v>
      </c>
      <c r="X109">
        <v>0.65703517587939697</v>
      </c>
      <c r="Y109">
        <v>109</v>
      </c>
      <c r="Z109">
        <v>0.65703517587939697</v>
      </c>
      <c r="AC109">
        <v>0.74439999999999995</v>
      </c>
    </row>
    <row r="110" spans="1:29" x14ac:dyDescent="0.2">
      <c r="A110" t="str">
        <f>IF(E110&gt;1,#REF!, "")</f>
        <v/>
      </c>
      <c r="B110" t="s">
        <v>295</v>
      </c>
      <c r="C110" t="e">
        <f t="shared" si="9"/>
        <v>#N/A</v>
      </c>
      <c r="D110" t="str">
        <f>IF(ISNUMBER(#REF!),INDEX($U$2:$U$194, MATCH(#REF!,$T$2:$T$194,0)),"")</f>
        <v/>
      </c>
      <c r="H110" t="s">
        <v>240</v>
      </c>
      <c r="I110">
        <v>0.41099999999999998</v>
      </c>
      <c r="K110" t="s">
        <v>238</v>
      </c>
      <c r="L110">
        <v>0.50555000000000005</v>
      </c>
      <c r="N110" t="s">
        <v>305</v>
      </c>
      <c r="O110">
        <v>0.64531000000000005</v>
      </c>
      <c r="Q110" t="s">
        <v>295</v>
      </c>
      <c r="R110">
        <v>0.73285</v>
      </c>
      <c r="T110" t="s">
        <v>249</v>
      </c>
      <c r="U110" s="5">
        <v>5150</v>
      </c>
      <c r="V110">
        <v>54</v>
      </c>
      <c r="W110">
        <v>110</v>
      </c>
      <c r="X110">
        <v>0.66080402010050254</v>
      </c>
      <c r="Y110">
        <v>110</v>
      </c>
      <c r="Z110">
        <v>0.66080402010050254</v>
      </c>
      <c r="AC110">
        <v>0.73285</v>
      </c>
    </row>
    <row r="111" spans="1:29" x14ac:dyDescent="0.2">
      <c r="A111" t="str">
        <f>IF(E111&gt;1,#REF!, "")</f>
        <v/>
      </c>
      <c r="B111" t="s">
        <v>221</v>
      </c>
      <c r="C111" t="e">
        <f t="shared" si="9"/>
        <v>#N/A</v>
      </c>
      <c r="D111" t="str">
        <f>IF(ISNUMBER(#REF!),INDEX($U$2:$U$194, MATCH(#REF!,$T$2:$T$194,0)),"")</f>
        <v/>
      </c>
      <c r="H111" t="s">
        <v>225</v>
      </c>
      <c r="I111">
        <v>0.41099999999999998</v>
      </c>
      <c r="K111" t="s">
        <v>245</v>
      </c>
      <c r="L111">
        <v>0.50027999999999995</v>
      </c>
      <c r="N111" t="s">
        <v>261</v>
      </c>
      <c r="O111">
        <v>0.64178999999999997</v>
      </c>
      <c r="Q111" t="s">
        <v>221</v>
      </c>
      <c r="R111">
        <v>0.72963</v>
      </c>
      <c r="T111" t="s">
        <v>251</v>
      </c>
      <c r="U111" s="5">
        <v>25940</v>
      </c>
      <c r="V111">
        <v>0.05</v>
      </c>
      <c r="W111">
        <v>111</v>
      </c>
      <c r="X111">
        <v>0.664572864321608</v>
      </c>
      <c r="Y111">
        <v>111</v>
      </c>
      <c r="Z111">
        <v>0.664572864321608</v>
      </c>
      <c r="AC111">
        <v>0.72963</v>
      </c>
    </row>
    <row r="112" spans="1:29" x14ac:dyDescent="0.2">
      <c r="A112" t="str">
        <f>IF(E112&gt;1,#REF!, "")</f>
        <v/>
      </c>
      <c r="B112" t="s">
        <v>258</v>
      </c>
      <c r="C112" t="e">
        <f t="shared" si="9"/>
        <v>#N/A</v>
      </c>
      <c r="D112" t="str">
        <f>IF(ISNUMBER(#REF!),INDEX($U$2:$U$194, MATCH(#REF!,$T$2:$T$194,0)),"")</f>
        <v/>
      </c>
      <c r="H112" t="s">
        <v>285</v>
      </c>
      <c r="I112">
        <v>0.41099999999999998</v>
      </c>
      <c r="K112" t="s">
        <v>258</v>
      </c>
      <c r="L112">
        <v>0.49958000000000002</v>
      </c>
      <c r="N112" t="s">
        <v>315</v>
      </c>
      <c r="O112">
        <v>0.62690000000000001</v>
      </c>
      <c r="Q112" t="s">
        <v>258</v>
      </c>
      <c r="R112">
        <v>0.72879000000000005</v>
      </c>
      <c r="T112" t="s">
        <v>252</v>
      </c>
      <c r="U112" s="5">
        <v>7000</v>
      </c>
      <c r="V112">
        <v>0.6</v>
      </c>
      <c r="W112">
        <v>112</v>
      </c>
      <c r="X112">
        <v>0.66834170854271358</v>
      </c>
      <c r="Y112">
        <v>112</v>
      </c>
      <c r="Z112">
        <v>0.66834170854271358</v>
      </c>
      <c r="AC112">
        <v>0.72879000000000005</v>
      </c>
    </row>
    <row r="113" spans="1:29" x14ac:dyDescent="0.2">
      <c r="A113" t="str">
        <f>IF(E113&gt;1,#REF!, "")</f>
        <v/>
      </c>
      <c r="B113" t="s">
        <v>248</v>
      </c>
      <c r="C113" t="e">
        <f t="shared" si="9"/>
        <v>#N/A</v>
      </c>
      <c r="D113" t="str">
        <f>IF(ISNUMBER(#REF!),INDEX($U$2:$U$194, MATCH(#REF!,$T$2:$T$194,0)),"")</f>
        <v/>
      </c>
      <c r="H113" t="s">
        <v>216</v>
      </c>
      <c r="I113">
        <v>0.39729999999999999</v>
      </c>
      <c r="K113" t="s">
        <v>213</v>
      </c>
      <c r="L113">
        <v>0.49754999999999999</v>
      </c>
      <c r="N113" t="s">
        <v>285</v>
      </c>
      <c r="O113">
        <v>0.62251999999999996</v>
      </c>
      <c r="Q113" t="s">
        <v>248</v>
      </c>
      <c r="R113">
        <v>0.72814000000000001</v>
      </c>
      <c r="T113" t="s">
        <v>256</v>
      </c>
      <c r="U113" s="5">
        <v>17220</v>
      </c>
      <c r="V113">
        <v>2.4</v>
      </c>
      <c r="W113">
        <v>113</v>
      </c>
      <c r="X113">
        <v>0.67211055276381915</v>
      </c>
      <c r="Y113">
        <v>113</v>
      </c>
      <c r="Z113">
        <v>0.67211055276381915</v>
      </c>
      <c r="AC113">
        <v>0.72814000000000001</v>
      </c>
    </row>
    <row r="114" spans="1:29" x14ac:dyDescent="0.2">
      <c r="A114" t="str">
        <f>IF(E114&gt;1,#REF!, "")</f>
        <v/>
      </c>
      <c r="B114" t="s">
        <v>228</v>
      </c>
      <c r="C114" t="e">
        <f t="shared" si="9"/>
        <v>#N/A</v>
      </c>
      <c r="D114" t="str">
        <f>IF(ISNUMBER(#REF!),INDEX($U$2:$U$194, MATCH(#REF!,$T$2:$T$194,0)),"")</f>
        <v/>
      </c>
      <c r="H114" t="s">
        <v>259</v>
      </c>
      <c r="I114">
        <v>0.3836</v>
      </c>
      <c r="K114" t="s">
        <v>343</v>
      </c>
      <c r="L114">
        <v>0.49696000000000001</v>
      </c>
      <c r="N114" t="s">
        <v>245</v>
      </c>
      <c r="O114">
        <v>0.62219000000000002</v>
      </c>
      <c r="Q114" t="s">
        <v>228</v>
      </c>
      <c r="R114">
        <v>0.70889999999999997</v>
      </c>
      <c r="T114" t="s">
        <v>224</v>
      </c>
      <c r="U114" s="5">
        <v>9550</v>
      </c>
      <c r="V114">
        <v>1.2</v>
      </c>
      <c r="W114">
        <v>114</v>
      </c>
      <c r="X114">
        <v>0.67587939698492461</v>
      </c>
      <c r="Y114">
        <v>114</v>
      </c>
      <c r="Z114">
        <v>0.67587939698492461</v>
      </c>
      <c r="AC114">
        <v>0.70889999999999997</v>
      </c>
    </row>
    <row r="115" spans="1:29" x14ac:dyDescent="0.2">
      <c r="A115" t="str">
        <f>IF(E115&gt;1,#REF!, "")</f>
        <v/>
      </c>
      <c r="B115" t="s">
        <v>218</v>
      </c>
      <c r="C115" t="e">
        <f t="shared" si="9"/>
        <v>#N/A</v>
      </c>
      <c r="D115" t="str">
        <f>IF(ISNUMBER(#REF!),INDEX($U$2:$U$194, MATCH(#REF!,$T$2:$T$194,0)),"")</f>
        <v/>
      </c>
      <c r="H115" t="s">
        <v>224</v>
      </c>
      <c r="I115">
        <v>0.3836</v>
      </c>
      <c r="K115" t="s">
        <v>285</v>
      </c>
      <c r="L115">
        <v>0.49584</v>
      </c>
      <c r="N115" t="s">
        <v>218</v>
      </c>
      <c r="O115">
        <v>0.61502999999999997</v>
      </c>
      <c r="Q115" t="s">
        <v>218</v>
      </c>
      <c r="R115">
        <v>0.69455999999999996</v>
      </c>
      <c r="T115" t="s">
        <v>258</v>
      </c>
      <c r="U115" s="5">
        <v>9650</v>
      </c>
      <c r="V115">
        <v>2.5</v>
      </c>
      <c r="W115">
        <v>115</v>
      </c>
      <c r="X115">
        <v>0.67964824120603018</v>
      </c>
      <c r="Y115">
        <v>115</v>
      </c>
      <c r="Z115">
        <v>0.67964824120603018</v>
      </c>
      <c r="AC115">
        <v>0.69455999999999996</v>
      </c>
    </row>
    <row r="116" spans="1:29" x14ac:dyDescent="0.2">
      <c r="A116" t="str">
        <f>IF(E116&gt;1,#REF!, "")</f>
        <v/>
      </c>
      <c r="B116" t="s">
        <v>282</v>
      </c>
      <c r="C116" t="e">
        <f>IF(ISNUMBER(MATCH(B116,$AD$2:$AD$27,0)),AC116,NA())</f>
        <v>#N/A</v>
      </c>
      <c r="D116" t="str">
        <f>IF(ISNUMBER(#REF!),INDEX($U$2:$U$194, MATCH(#REF!,$T$2:$T$194,0)),"")</f>
        <v/>
      </c>
      <c r="H116" t="s">
        <v>311</v>
      </c>
      <c r="I116">
        <v>0.36990000000000001</v>
      </c>
      <c r="K116" t="s">
        <v>193</v>
      </c>
      <c r="L116">
        <v>0.48376999999999998</v>
      </c>
      <c r="N116" t="s">
        <v>222</v>
      </c>
      <c r="O116">
        <v>0.61487000000000003</v>
      </c>
      <c r="Q116" t="s">
        <v>282</v>
      </c>
      <c r="R116">
        <v>0.69418000000000002</v>
      </c>
      <c r="T116" t="s">
        <v>259</v>
      </c>
      <c r="U116" s="5">
        <v>9000</v>
      </c>
      <c r="V116">
        <v>6.5</v>
      </c>
      <c r="W116">
        <v>116</v>
      </c>
      <c r="X116">
        <v>0.68341708542713564</v>
      </c>
      <c r="Y116">
        <v>116</v>
      </c>
      <c r="Z116">
        <v>0.68341708542713564</v>
      </c>
      <c r="AC116">
        <v>0.69418000000000002</v>
      </c>
    </row>
    <row r="117" spans="1:29" x14ac:dyDescent="0.2">
      <c r="A117" t="str">
        <f>IF(E117&gt;1,#REF!, "")</f>
        <v/>
      </c>
      <c r="B117" t="s">
        <v>316</v>
      </c>
      <c r="C117" t="e">
        <f t="shared" ref="C117:C179" si="10">IF(ISNUMBER(MATCH(B117,$AD$2:$AD$27,0)),AC117,NA())</f>
        <v>#N/A</v>
      </c>
      <c r="D117" t="str">
        <f>IF(ISNUMBER(#REF!),INDEX($U$2:$U$194, MATCH(#REF!,$T$2:$T$194,0)),"")</f>
        <v/>
      </c>
      <c r="H117" t="s">
        <v>313</v>
      </c>
      <c r="I117">
        <v>0.36990000000000001</v>
      </c>
      <c r="K117" t="s">
        <v>241</v>
      </c>
      <c r="L117">
        <v>0.48137000000000002</v>
      </c>
      <c r="N117" t="s">
        <v>203</v>
      </c>
      <c r="O117">
        <v>0.61297999999999997</v>
      </c>
      <c r="Q117" t="s">
        <v>316</v>
      </c>
      <c r="R117">
        <v>0.68735999999999997</v>
      </c>
      <c r="T117" t="s">
        <v>261</v>
      </c>
      <c r="U117" s="5">
        <v>11430</v>
      </c>
      <c r="V117">
        <v>46.2</v>
      </c>
      <c r="W117">
        <v>117</v>
      </c>
      <c r="X117">
        <v>0.68718592964824121</v>
      </c>
      <c r="Y117">
        <v>117</v>
      </c>
      <c r="Z117">
        <v>0.68718592964824121</v>
      </c>
      <c r="AC117">
        <v>0.68735999999999997</v>
      </c>
    </row>
    <row r="118" spans="1:29" x14ac:dyDescent="0.2">
      <c r="A118" t="str">
        <f>IF(E118&gt;1,#REF!, "")</f>
        <v/>
      </c>
      <c r="B118" t="s">
        <v>161</v>
      </c>
      <c r="C118" t="e">
        <f t="shared" si="10"/>
        <v>#N/A</v>
      </c>
      <c r="D118" t="str">
        <f>IF(ISNUMBER(#REF!),INDEX($U$2:$U$194, MATCH(#REF!,$T$2:$T$194,0)),"")</f>
        <v/>
      </c>
      <c r="H118" t="s">
        <v>343</v>
      </c>
      <c r="I118">
        <v>0.36990000000000001</v>
      </c>
      <c r="K118" t="s">
        <v>338</v>
      </c>
      <c r="L118">
        <v>0.48081000000000002</v>
      </c>
      <c r="N118" t="s">
        <v>211</v>
      </c>
      <c r="O118">
        <v>0.60782999999999998</v>
      </c>
      <c r="Q118" t="s">
        <v>161</v>
      </c>
      <c r="R118">
        <v>0.68335000000000001</v>
      </c>
      <c r="T118" t="s">
        <v>263</v>
      </c>
      <c r="U118" s="5">
        <v>14990</v>
      </c>
      <c r="V118">
        <v>0.1</v>
      </c>
      <c r="W118">
        <v>118</v>
      </c>
      <c r="X118">
        <v>0.69095477386934667</v>
      </c>
      <c r="Y118">
        <v>118</v>
      </c>
      <c r="Z118">
        <v>0.69095477386934667</v>
      </c>
      <c r="AC118">
        <v>0.68335000000000001</v>
      </c>
    </row>
    <row r="119" spans="1:29" x14ac:dyDescent="0.2">
      <c r="A119" t="str">
        <f>IF(E119&gt;1,#REF!, "")</f>
        <v/>
      </c>
      <c r="B119" t="s">
        <v>263</v>
      </c>
      <c r="C119" t="e">
        <f t="shared" si="10"/>
        <v>#N/A</v>
      </c>
      <c r="D119" t="str">
        <f>IF(ISNUMBER(#REF!),INDEX($U$2:$U$194, MATCH(#REF!,$T$2:$T$194,0)),"")</f>
        <v/>
      </c>
      <c r="H119" t="s">
        <v>239</v>
      </c>
      <c r="I119">
        <v>0.34250000000000003</v>
      </c>
      <c r="K119" t="s">
        <v>325</v>
      </c>
      <c r="L119">
        <v>0.47910000000000003</v>
      </c>
      <c r="N119" t="s">
        <v>290</v>
      </c>
      <c r="O119">
        <v>0.60372000000000003</v>
      </c>
      <c r="Q119" t="s">
        <v>263</v>
      </c>
      <c r="R119">
        <v>0.67674999999999996</v>
      </c>
      <c r="T119" t="s">
        <v>264</v>
      </c>
      <c r="U119" s="5">
        <v>2370</v>
      </c>
      <c r="V119">
        <v>13.5</v>
      </c>
      <c r="W119">
        <v>119</v>
      </c>
      <c r="X119">
        <v>0.69472361809045224</v>
      </c>
      <c r="Y119">
        <v>119</v>
      </c>
      <c r="Z119">
        <v>0.69472361809045224</v>
      </c>
      <c r="AC119">
        <v>0.67674999999999996</v>
      </c>
    </row>
    <row r="120" spans="1:29" x14ac:dyDescent="0.2">
      <c r="A120" t="str">
        <f>IF(E120&gt;1,#REF!, "")</f>
        <v/>
      </c>
      <c r="B120" t="s">
        <v>238</v>
      </c>
      <c r="C120" t="e">
        <f t="shared" si="10"/>
        <v>#N/A</v>
      </c>
      <c r="D120" t="str">
        <f>IF(ISNUMBER(#REF!),INDEX($U$2:$U$194, MATCH(#REF!,$T$2:$T$194,0)),"")</f>
        <v/>
      </c>
      <c r="H120" t="s">
        <v>263</v>
      </c>
      <c r="I120">
        <v>0.34250000000000003</v>
      </c>
      <c r="K120" t="s">
        <v>206</v>
      </c>
      <c r="L120">
        <v>0.47804000000000002</v>
      </c>
      <c r="N120" t="s">
        <v>80</v>
      </c>
      <c r="O120">
        <v>0.59514999999999996</v>
      </c>
      <c r="Q120" t="s">
        <v>238</v>
      </c>
      <c r="R120">
        <v>0.67674000000000001</v>
      </c>
      <c r="T120" t="s">
        <v>267</v>
      </c>
      <c r="U120" s="5">
        <v>4190</v>
      </c>
      <c r="V120">
        <v>30</v>
      </c>
      <c r="W120">
        <v>120</v>
      </c>
      <c r="X120">
        <v>0.69849246231155782</v>
      </c>
      <c r="Y120">
        <v>120</v>
      </c>
      <c r="Z120">
        <v>0.69849246231155782</v>
      </c>
      <c r="AC120">
        <v>0.67674000000000001</v>
      </c>
    </row>
    <row r="121" spans="1:29" x14ac:dyDescent="0.2">
      <c r="A121" t="str">
        <f>IF(E121&gt;1,#REF!, "")</f>
        <v/>
      </c>
      <c r="B121" t="s">
        <v>279</v>
      </c>
      <c r="C121" t="e">
        <f t="shared" si="10"/>
        <v>#N/A</v>
      </c>
      <c r="D121" t="str">
        <f>IF(ISNUMBER(#REF!),INDEX($U$2:$U$194, MATCH(#REF!,$T$2:$T$194,0)),"")</f>
        <v/>
      </c>
      <c r="H121" t="s">
        <v>315</v>
      </c>
      <c r="I121">
        <v>0.32879999999999998</v>
      </c>
      <c r="K121" t="s">
        <v>295</v>
      </c>
      <c r="L121">
        <v>0.47788999999999998</v>
      </c>
      <c r="N121" t="s">
        <v>282</v>
      </c>
      <c r="O121">
        <v>0.59326999999999996</v>
      </c>
      <c r="Q121" t="s">
        <v>279</v>
      </c>
      <c r="R121">
        <v>0.67566000000000004</v>
      </c>
      <c r="T121" t="s">
        <v>268</v>
      </c>
      <c r="U121" s="5">
        <v>4580</v>
      </c>
      <c r="V121">
        <v>16.899999999999999</v>
      </c>
      <c r="W121">
        <v>121</v>
      </c>
      <c r="X121">
        <v>0.70226130653266328</v>
      </c>
      <c r="Y121">
        <v>121</v>
      </c>
      <c r="Z121">
        <v>0.70226130653266328</v>
      </c>
      <c r="AC121">
        <v>0.67566000000000004</v>
      </c>
    </row>
    <row r="122" spans="1:29" x14ac:dyDescent="0.2">
      <c r="A122" t="str">
        <f>IF(E122&gt;1,#REF!, "")</f>
        <v/>
      </c>
      <c r="B122" t="s">
        <v>240</v>
      </c>
      <c r="C122" t="e">
        <f t="shared" si="10"/>
        <v>#N/A</v>
      </c>
      <c r="D122" t="str">
        <f>IF(ISNUMBER(#REF!),INDEX($U$2:$U$194, MATCH(#REF!,$T$2:$T$194,0)),"")</f>
        <v/>
      </c>
      <c r="H122" t="s">
        <v>309</v>
      </c>
      <c r="I122">
        <v>0.32879999999999998</v>
      </c>
      <c r="K122" t="s">
        <v>284</v>
      </c>
      <c r="L122">
        <v>0.47692000000000001</v>
      </c>
      <c r="N122" t="s">
        <v>327</v>
      </c>
      <c r="O122">
        <v>0.59284999999999999</v>
      </c>
      <c r="Q122" t="s">
        <v>240</v>
      </c>
      <c r="R122">
        <v>0.66925999999999997</v>
      </c>
      <c r="T122" t="s">
        <v>270</v>
      </c>
      <c r="U122" s="5">
        <v>14970</v>
      </c>
      <c r="V122">
        <v>2.2999999999999998</v>
      </c>
      <c r="W122">
        <v>122</v>
      </c>
      <c r="X122">
        <v>0.70603015075376885</v>
      </c>
      <c r="Y122">
        <v>122</v>
      </c>
      <c r="Z122">
        <v>0.70603015075376885</v>
      </c>
      <c r="AC122">
        <v>0.66925999999999997</v>
      </c>
    </row>
    <row r="123" spans="1:29" x14ac:dyDescent="0.2">
      <c r="A123" t="str">
        <f>IF(E123&gt;1,#REF!, "")</f>
        <v/>
      </c>
      <c r="B123" t="s">
        <v>300</v>
      </c>
      <c r="C123" t="e">
        <f t="shared" si="10"/>
        <v>#N/A</v>
      </c>
      <c r="D123" t="str">
        <f>IF(ISNUMBER(#REF!),INDEX($U$2:$U$194, MATCH(#REF!,$T$2:$T$194,0)),"")</f>
        <v/>
      </c>
      <c r="H123" t="s">
        <v>213</v>
      </c>
      <c r="I123">
        <v>0.32879999999999998</v>
      </c>
      <c r="K123" t="s">
        <v>214</v>
      </c>
      <c r="L123">
        <v>0.46379999999999999</v>
      </c>
      <c r="N123" t="s">
        <v>224</v>
      </c>
      <c r="O123">
        <v>0.58357000000000003</v>
      </c>
      <c r="Q123" t="s">
        <v>300</v>
      </c>
      <c r="R123">
        <v>0.66617999999999999</v>
      </c>
      <c r="T123" t="s">
        <v>272</v>
      </c>
      <c r="U123" s="5">
        <v>9110</v>
      </c>
      <c r="V123">
        <v>18.100000000000001</v>
      </c>
      <c r="W123">
        <v>123</v>
      </c>
      <c r="X123">
        <v>0.70979899497487442</v>
      </c>
      <c r="Y123">
        <v>123</v>
      </c>
      <c r="Z123">
        <v>0.70979899497487442</v>
      </c>
      <c r="AC123">
        <v>0.66617999999999999</v>
      </c>
    </row>
    <row r="124" spans="1:29" x14ac:dyDescent="0.2">
      <c r="A124" t="str">
        <f>IF(E124&gt;1,#REF!, "")</f>
        <v/>
      </c>
      <c r="B124" t="s">
        <v>230</v>
      </c>
      <c r="C124" t="e">
        <f t="shared" si="10"/>
        <v>#N/A</v>
      </c>
      <c r="D124" t="str">
        <f>IF(ISNUMBER(#REF!),INDEX($U$2:$U$194, MATCH(#REF!,$T$2:$T$194,0)),"")</f>
        <v/>
      </c>
      <c r="H124" t="s">
        <v>354</v>
      </c>
      <c r="I124">
        <v>0.32879999999999998</v>
      </c>
      <c r="K124" t="s">
        <v>341</v>
      </c>
      <c r="L124">
        <v>0.46246999999999999</v>
      </c>
      <c r="N124" t="s">
        <v>230</v>
      </c>
      <c r="O124">
        <v>0.58337000000000006</v>
      </c>
      <c r="Q124" t="s">
        <v>230</v>
      </c>
      <c r="R124">
        <v>0.65010000000000001</v>
      </c>
      <c r="T124" t="s">
        <v>274</v>
      </c>
      <c r="U124" s="5">
        <v>4170</v>
      </c>
      <c r="V124">
        <v>10</v>
      </c>
      <c r="W124">
        <v>124</v>
      </c>
      <c r="X124">
        <v>0.71356783919597988</v>
      </c>
      <c r="Y124">
        <v>124</v>
      </c>
      <c r="Z124">
        <v>0.71356783919597988</v>
      </c>
      <c r="AC124">
        <v>0.65010000000000001</v>
      </c>
    </row>
    <row r="125" spans="1:29" x14ac:dyDescent="0.2">
      <c r="A125" t="str">
        <f>IF(E125&gt;1,#REF!, "")</f>
        <v/>
      </c>
      <c r="B125" t="s">
        <v>209</v>
      </c>
      <c r="C125" t="e">
        <f t="shared" si="10"/>
        <v>#N/A</v>
      </c>
      <c r="D125" t="str">
        <f>IF(ISNUMBER(#REF!),INDEX($U$2:$U$194, MATCH(#REF!,$T$2:$T$194,0)),"")</f>
        <v/>
      </c>
      <c r="H125" t="s">
        <v>276</v>
      </c>
      <c r="I125">
        <v>0.32879999999999998</v>
      </c>
      <c r="K125" t="s">
        <v>308</v>
      </c>
      <c r="L125">
        <v>0.45873999999999998</v>
      </c>
      <c r="N125" t="s">
        <v>279</v>
      </c>
      <c r="O125">
        <v>0.57806999999999997</v>
      </c>
      <c r="Q125" t="s">
        <v>209</v>
      </c>
      <c r="R125">
        <v>0.64992000000000005</v>
      </c>
      <c r="T125" t="s">
        <v>240</v>
      </c>
      <c r="U125" s="5">
        <v>6090</v>
      </c>
      <c r="V125">
        <v>29.4</v>
      </c>
      <c r="W125">
        <v>125</v>
      </c>
      <c r="X125">
        <v>0.71733668341708545</v>
      </c>
      <c r="Y125">
        <v>125</v>
      </c>
      <c r="Z125">
        <v>0.71733668341708545</v>
      </c>
      <c r="AC125">
        <v>0.64992000000000005</v>
      </c>
    </row>
    <row r="126" spans="1:29" x14ac:dyDescent="0.2">
      <c r="A126" t="str">
        <f>IF(E126&gt;1,#REF!, "")</f>
        <v/>
      </c>
      <c r="B126" t="s">
        <v>290</v>
      </c>
      <c r="C126" t="e">
        <f t="shared" si="10"/>
        <v>#N/A</v>
      </c>
      <c r="D126" t="str">
        <f>IF(ISNUMBER(#REF!),INDEX($U$2:$U$194, MATCH(#REF!,$T$2:$T$194,0)),"")</f>
        <v/>
      </c>
      <c r="H126" t="s">
        <v>293</v>
      </c>
      <c r="I126">
        <v>0.32879999999999998</v>
      </c>
      <c r="K126" t="s">
        <v>224</v>
      </c>
      <c r="L126">
        <v>0.45573999999999998</v>
      </c>
      <c r="N126" t="s">
        <v>270</v>
      </c>
      <c r="O126">
        <v>0.57723000000000002</v>
      </c>
      <c r="Q126" t="s">
        <v>290</v>
      </c>
      <c r="R126">
        <v>0.64980000000000004</v>
      </c>
      <c r="T126" t="s">
        <v>80</v>
      </c>
      <c r="U126" s="8">
        <v>13910</v>
      </c>
      <c r="V126">
        <v>6.9</v>
      </c>
      <c r="W126">
        <v>126</v>
      </c>
      <c r="X126">
        <v>0.72110552763819102</v>
      </c>
      <c r="Y126">
        <v>126</v>
      </c>
      <c r="Z126">
        <v>0.72110552763819102</v>
      </c>
      <c r="AC126">
        <v>0.64980000000000004</v>
      </c>
    </row>
    <row r="127" spans="1:29" x14ac:dyDescent="0.2">
      <c r="A127" t="str">
        <f>IF(E127&gt;1,#REF!, "")</f>
        <v/>
      </c>
      <c r="B127" t="s">
        <v>278</v>
      </c>
      <c r="C127" t="e">
        <f t="shared" si="10"/>
        <v>#N/A</v>
      </c>
      <c r="D127" t="str">
        <f>IF(ISNUMBER(#REF!),INDEX($U$2:$U$194, MATCH(#REF!,$T$2:$T$194,0)),"")</f>
        <v/>
      </c>
      <c r="H127" t="s">
        <v>199</v>
      </c>
      <c r="I127">
        <v>0.32879999999999998</v>
      </c>
      <c r="K127" t="s">
        <v>268</v>
      </c>
      <c r="L127">
        <v>0.45034000000000002</v>
      </c>
      <c r="N127" t="s">
        <v>258</v>
      </c>
      <c r="O127">
        <v>0.57382</v>
      </c>
      <c r="Q127" t="s">
        <v>278</v>
      </c>
      <c r="R127">
        <v>0.64246000000000003</v>
      </c>
      <c r="T127" t="s">
        <v>278</v>
      </c>
      <c r="U127" s="8">
        <v>11800</v>
      </c>
      <c r="V127">
        <v>5.3</v>
      </c>
      <c r="W127">
        <v>127</v>
      </c>
      <c r="X127">
        <v>0.72487437185929648</v>
      </c>
      <c r="Y127">
        <v>127</v>
      </c>
      <c r="Z127">
        <v>0.72487437185929648</v>
      </c>
      <c r="AC127">
        <v>0.64246000000000003</v>
      </c>
    </row>
    <row r="128" spans="1:29" x14ac:dyDescent="0.2">
      <c r="A128" t="str">
        <f>IF(E128&gt;1,#REF!, "")</f>
        <v/>
      </c>
      <c r="B128" t="s">
        <v>284</v>
      </c>
      <c r="C128" t="e">
        <f t="shared" si="10"/>
        <v>#N/A</v>
      </c>
      <c r="D128" t="str">
        <f>IF(ISNUMBER(#REF!),INDEX($U$2:$U$194, MATCH(#REF!,$T$2:$T$194,0)),"")</f>
        <v/>
      </c>
      <c r="H128" t="s">
        <v>195</v>
      </c>
      <c r="I128">
        <v>0.31509999999999999</v>
      </c>
      <c r="K128" t="s">
        <v>289</v>
      </c>
      <c r="L128">
        <v>0.44927</v>
      </c>
      <c r="N128" t="s">
        <v>347</v>
      </c>
      <c r="O128">
        <v>0.57345999999999997</v>
      </c>
      <c r="Q128" t="s">
        <v>284</v>
      </c>
      <c r="R128">
        <v>0.61651999999999996</v>
      </c>
      <c r="T128" t="s">
        <v>279</v>
      </c>
      <c r="U128" s="5">
        <v>12740</v>
      </c>
      <c r="V128">
        <v>7.0000000000000007E-2</v>
      </c>
      <c r="W128">
        <v>128</v>
      </c>
      <c r="X128">
        <v>0.72864321608040195</v>
      </c>
      <c r="Y128">
        <v>128</v>
      </c>
      <c r="Z128">
        <v>0.72864321608040195</v>
      </c>
      <c r="AC128">
        <v>0.61651999999999996</v>
      </c>
    </row>
    <row r="129" spans="1:29" x14ac:dyDescent="0.2">
      <c r="A129" t="str">
        <f>IF(E129&gt;1,#REF!, "")</f>
        <v/>
      </c>
      <c r="B129" t="s">
        <v>252</v>
      </c>
      <c r="C129" t="e">
        <f t="shared" si="10"/>
        <v>#N/A</v>
      </c>
      <c r="D129" t="str">
        <f>IF(ISNUMBER(#REF!),INDEX($U$2:$U$194, MATCH(#REF!,$T$2:$T$194,0)),"")</f>
        <v/>
      </c>
      <c r="H129" t="s">
        <v>375</v>
      </c>
      <c r="I129">
        <v>0.31509999999999999</v>
      </c>
      <c r="K129" t="s">
        <v>278</v>
      </c>
      <c r="L129">
        <v>0.44894000000000001</v>
      </c>
      <c r="N129" t="s">
        <v>256</v>
      </c>
      <c r="O129">
        <v>0.57194</v>
      </c>
      <c r="Q129" t="s">
        <v>252</v>
      </c>
      <c r="R129">
        <v>0.61277999999999999</v>
      </c>
      <c r="T129" t="s">
        <v>282</v>
      </c>
      <c r="U129" s="5">
        <v>20540</v>
      </c>
      <c r="V129">
        <v>0.8</v>
      </c>
      <c r="W129">
        <v>129</v>
      </c>
      <c r="X129">
        <v>0.73241206030150752</v>
      </c>
      <c r="Y129">
        <v>129</v>
      </c>
      <c r="Z129">
        <v>0.73241206030150752</v>
      </c>
      <c r="AC129">
        <v>0.61277999999999999</v>
      </c>
    </row>
    <row r="130" spans="1:29" x14ac:dyDescent="0.2">
      <c r="A130" t="str">
        <f>IF(E130&gt;1,#REF!, "")</f>
        <v/>
      </c>
      <c r="B130" t="s">
        <v>249</v>
      </c>
      <c r="C130" t="e">
        <f t="shared" si="10"/>
        <v>#N/A</v>
      </c>
      <c r="D130" t="str">
        <f>IF(ISNUMBER(#REF!),INDEX($U$2:$U$194, MATCH(#REF!,$T$2:$T$194,0)),"")</f>
        <v/>
      </c>
      <c r="H130" t="s">
        <v>268</v>
      </c>
      <c r="I130">
        <v>0.31509999999999999</v>
      </c>
      <c r="K130" t="s">
        <v>267</v>
      </c>
      <c r="L130">
        <v>0.44806000000000001</v>
      </c>
      <c r="N130" t="s">
        <v>252</v>
      </c>
      <c r="O130">
        <v>0.56935000000000002</v>
      </c>
      <c r="Q130" t="s">
        <v>249</v>
      </c>
      <c r="R130">
        <v>0.59014999999999995</v>
      </c>
      <c r="T130" t="s">
        <v>284</v>
      </c>
      <c r="U130" s="5">
        <v>3310</v>
      </c>
      <c r="V130">
        <v>0.3</v>
      </c>
      <c r="W130">
        <v>130</v>
      </c>
      <c r="X130">
        <v>0.73618090452261309</v>
      </c>
      <c r="Y130">
        <v>130</v>
      </c>
      <c r="Z130">
        <v>0.73618090452261309</v>
      </c>
      <c r="AC130">
        <v>0.59014999999999995</v>
      </c>
    </row>
    <row r="131" spans="1:29" x14ac:dyDescent="0.2">
      <c r="A131" t="str">
        <f>IF(E131&gt;1,#REF!, "")</f>
        <v/>
      </c>
      <c r="B131" t="s">
        <v>321</v>
      </c>
      <c r="C131" t="e">
        <f t="shared" si="10"/>
        <v>#N/A</v>
      </c>
      <c r="D131" t="str">
        <f>IF(ISNUMBER(#REF!),INDEX($U$2:$U$194, MATCH(#REF!,$T$2:$T$194,0)),"")</f>
        <v/>
      </c>
      <c r="H131" t="s">
        <v>160</v>
      </c>
      <c r="I131">
        <v>0.3014</v>
      </c>
      <c r="K131" t="s">
        <v>274</v>
      </c>
      <c r="L131">
        <v>0.4476</v>
      </c>
      <c r="N131" t="s">
        <v>289</v>
      </c>
      <c r="O131">
        <v>0.56101999999999996</v>
      </c>
      <c r="Q131" t="s">
        <v>321</v>
      </c>
      <c r="R131">
        <v>0.58633999999999997</v>
      </c>
      <c r="T131" t="s">
        <v>285</v>
      </c>
      <c r="U131" s="5">
        <v>3630</v>
      </c>
      <c r="V131">
        <v>19.600000000000001</v>
      </c>
      <c r="W131">
        <v>131</v>
      </c>
      <c r="X131">
        <v>0.73994974874371866</v>
      </c>
      <c r="Y131">
        <v>131</v>
      </c>
      <c r="Z131">
        <v>0.73994974874371866</v>
      </c>
      <c r="AC131">
        <v>0.58633999999999997</v>
      </c>
    </row>
    <row r="132" spans="1:29" x14ac:dyDescent="0.2">
      <c r="A132" t="str">
        <f>IF(E132&gt;1,#REF!, "")</f>
        <v/>
      </c>
      <c r="B132" t="s">
        <v>289</v>
      </c>
      <c r="C132" t="e">
        <f t="shared" si="10"/>
        <v>#N/A</v>
      </c>
      <c r="D132" t="str">
        <f>IF(ISNUMBER(#REF!),INDEX($U$2:$U$194, MATCH(#REF!,$T$2:$T$194,0)),"")</f>
        <v/>
      </c>
      <c r="H132" t="s">
        <v>349</v>
      </c>
      <c r="I132">
        <v>0.3014</v>
      </c>
      <c r="K132" t="s">
        <v>339</v>
      </c>
      <c r="L132">
        <v>0.44721</v>
      </c>
      <c r="N132" t="s">
        <v>248</v>
      </c>
      <c r="O132">
        <v>0.55857000000000001</v>
      </c>
      <c r="Q132" t="s">
        <v>289</v>
      </c>
      <c r="R132">
        <v>0.58511999999999997</v>
      </c>
      <c r="T132" t="s">
        <v>287</v>
      </c>
      <c r="U132" s="8">
        <v>17440</v>
      </c>
      <c r="V132">
        <v>28.2</v>
      </c>
      <c r="W132">
        <v>132</v>
      </c>
      <c r="X132">
        <v>0.74371859296482412</v>
      </c>
      <c r="Y132">
        <v>132</v>
      </c>
      <c r="Z132">
        <v>0.74371859296482412</v>
      </c>
      <c r="AC132">
        <v>0.58511999999999997</v>
      </c>
    </row>
    <row r="133" spans="1:29" x14ac:dyDescent="0.2">
      <c r="A133" t="str">
        <f>IF(E133&gt;1,#REF!, "")</f>
        <v/>
      </c>
      <c r="B133" t="s">
        <v>272</v>
      </c>
      <c r="C133" t="e">
        <f t="shared" si="10"/>
        <v>#N/A</v>
      </c>
      <c r="D133" t="str">
        <f>IF(ISNUMBER(#REF!),INDEX($U$2:$U$194, MATCH(#REF!,$T$2:$T$194,0)),"")</f>
        <v/>
      </c>
      <c r="H133" t="s">
        <v>279</v>
      </c>
      <c r="I133">
        <v>0.3014</v>
      </c>
      <c r="K133" t="s">
        <v>239</v>
      </c>
      <c r="L133">
        <v>0.41658000000000001</v>
      </c>
      <c r="N133" t="s">
        <v>241</v>
      </c>
      <c r="O133">
        <v>0.55684</v>
      </c>
      <c r="Q133" t="s">
        <v>272</v>
      </c>
      <c r="R133">
        <v>0.58426999999999996</v>
      </c>
      <c r="T133" t="s">
        <v>289</v>
      </c>
      <c r="U133" s="5">
        <v>5790</v>
      </c>
      <c r="V133">
        <v>7</v>
      </c>
      <c r="W133">
        <v>133</v>
      </c>
      <c r="X133">
        <v>0.74748743718592969</v>
      </c>
      <c r="Y133">
        <v>133</v>
      </c>
      <c r="Z133">
        <v>0.74748743718592969</v>
      </c>
      <c r="AC133">
        <v>0.58426999999999996</v>
      </c>
    </row>
    <row r="134" spans="1:29" x14ac:dyDescent="0.2">
      <c r="A134" t="str">
        <f>IF(E134&gt;1,#REF!, "")</f>
        <v/>
      </c>
      <c r="B134" t="s">
        <v>344</v>
      </c>
      <c r="C134" t="e">
        <f t="shared" si="10"/>
        <v>#N/A</v>
      </c>
      <c r="D134" t="str">
        <f>IF(ISNUMBER(#REF!),INDEX($U$2:$U$194, MATCH(#REF!,$T$2:$T$194,0)),"")</f>
        <v/>
      </c>
      <c r="H134" t="s">
        <v>298</v>
      </c>
      <c r="I134">
        <v>0.3014</v>
      </c>
      <c r="K134" t="s">
        <v>317</v>
      </c>
      <c r="L134">
        <v>0.41003000000000001</v>
      </c>
      <c r="N134" t="s">
        <v>234</v>
      </c>
      <c r="O134">
        <v>0.54781000000000002</v>
      </c>
      <c r="Q134" t="s">
        <v>344</v>
      </c>
      <c r="R134">
        <v>0.58238999999999996</v>
      </c>
      <c r="T134" t="s">
        <v>290</v>
      </c>
      <c r="U134" s="5">
        <v>13740</v>
      </c>
      <c r="V134">
        <v>0.2</v>
      </c>
      <c r="W134">
        <v>134</v>
      </c>
      <c r="X134">
        <v>0.75125628140703515</v>
      </c>
      <c r="Y134">
        <v>134</v>
      </c>
      <c r="Z134">
        <v>0.75125628140703515</v>
      </c>
      <c r="AC134">
        <v>0.58238999999999996</v>
      </c>
    </row>
    <row r="135" spans="1:29" x14ac:dyDescent="0.2">
      <c r="A135" t="str">
        <f>IF(E135&gt;1,#REF!, "")</f>
        <v/>
      </c>
      <c r="B135" t="s">
        <v>274</v>
      </c>
      <c r="C135" t="e">
        <f t="shared" si="10"/>
        <v>#N/A</v>
      </c>
      <c r="D135" t="str">
        <f>IF(ISNUMBER(#REF!),INDEX($U$2:$U$194, MATCH(#REF!,$T$2:$T$194,0)),"")</f>
        <v/>
      </c>
      <c r="H135" t="s">
        <v>308</v>
      </c>
      <c r="I135">
        <v>0.3014</v>
      </c>
      <c r="K135" t="s">
        <v>306</v>
      </c>
      <c r="L135">
        <v>0.40544999999999998</v>
      </c>
      <c r="N135" t="s">
        <v>264</v>
      </c>
      <c r="O135">
        <v>0.54668000000000005</v>
      </c>
      <c r="Q135" t="s">
        <v>274</v>
      </c>
      <c r="R135">
        <v>0.58098000000000005</v>
      </c>
      <c r="T135" t="s">
        <v>293</v>
      </c>
      <c r="U135" s="5">
        <v>6070</v>
      </c>
      <c r="V135">
        <v>0.1</v>
      </c>
      <c r="W135">
        <v>135</v>
      </c>
      <c r="X135">
        <v>0.75502512562814073</v>
      </c>
      <c r="Y135">
        <v>135</v>
      </c>
      <c r="Z135">
        <v>0.75502512562814073</v>
      </c>
      <c r="AC135">
        <v>0.58098000000000005</v>
      </c>
    </row>
    <row r="136" spans="1:29" x14ac:dyDescent="0.2">
      <c r="A136" t="str">
        <f>IF(E136&gt;1,#REF!, "")</f>
        <v/>
      </c>
      <c r="B136" t="s">
        <v>222</v>
      </c>
      <c r="C136" t="e">
        <f t="shared" si="10"/>
        <v>#N/A</v>
      </c>
      <c r="D136" t="str">
        <f>IF(ISNUMBER(#REF!),INDEX($U$2:$U$194, MATCH(#REF!,$T$2:$T$194,0)),"")</f>
        <v/>
      </c>
      <c r="H136" t="s">
        <v>305</v>
      </c>
      <c r="I136">
        <v>0.3014</v>
      </c>
      <c r="K136" t="s">
        <v>349</v>
      </c>
      <c r="L136">
        <v>0.40447</v>
      </c>
      <c r="N136" t="s">
        <v>334</v>
      </c>
      <c r="O136">
        <v>0.54634000000000005</v>
      </c>
      <c r="Q136" t="s">
        <v>222</v>
      </c>
      <c r="R136">
        <v>0.57003999999999999</v>
      </c>
      <c r="T136" t="s">
        <v>295</v>
      </c>
      <c r="U136" s="5">
        <v>4090</v>
      </c>
      <c r="V136">
        <v>17.899999999999999</v>
      </c>
      <c r="W136">
        <v>136</v>
      </c>
      <c r="X136">
        <v>0.7587939698492463</v>
      </c>
      <c r="Y136">
        <v>136</v>
      </c>
      <c r="Z136">
        <v>0.7587939698492463</v>
      </c>
      <c r="AC136">
        <v>0.57003999999999999</v>
      </c>
    </row>
    <row r="137" spans="1:29" x14ac:dyDescent="0.2">
      <c r="A137" t="str">
        <f>IF(E137&gt;1,#REF!, "")</f>
        <v/>
      </c>
      <c r="B137" t="s">
        <v>287</v>
      </c>
      <c r="C137" t="e">
        <f t="shared" si="10"/>
        <v>#N/A</v>
      </c>
      <c r="D137" t="str">
        <f>IF(ISNUMBER(#REF!),INDEX($U$2:$U$194, MATCH(#REF!,$T$2:$T$194,0)),"")</f>
        <v/>
      </c>
      <c r="H137" t="s">
        <v>214</v>
      </c>
      <c r="I137">
        <v>0.3014</v>
      </c>
      <c r="K137" t="s">
        <v>329</v>
      </c>
      <c r="L137">
        <v>0.39884999999999998</v>
      </c>
      <c r="N137" t="s">
        <v>278</v>
      </c>
      <c r="O137">
        <v>0.54329000000000005</v>
      </c>
      <c r="Q137" t="s">
        <v>287</v>
      </c>
      <c r="R137">
        <v>0.53905000000000003</v>
      </c>
      <c r="T137" t="s">
        <v>297</v>
      </c>
      <c r="U137" s="5">
        <v>5860</v>
      </c>
      <c r="V137">
        <v>235.8</v>
      </c>
      <c r="W137">
        <v>137</v>
      </c>
      <c r="X137">
        <v>0.76256281407035176</v>
      </c>
      <c r="Y137">
        <v>137</v>
      </c>
      <c r="Z137">
        <v>0.76256281407035176</v>
      </c>
      <c r="AC137">
        <v>0.53905000000000003</v>
      </c>
    </row>
    <row r="138" spans="1:29" x14ac:dyDescent="0.2">
      <c r="A138" t="str">
        <f>IF(E138&gt;1,#REF!, "")</f>
        <v/>
      </c>
      <c r="B138" t="s">
        <v>299</v>
      </c>
      <c r="C138" t="e">
        <f t="shared" si="10"/>
        <v>#N/A</v>
      </c>
      <c r="D138" t="str">
        <f>IF(ISNUMBER(#REF!),INDEX($U$2:$U$194, MATCH(#REF!,$T$2:$T$194,0)),"")</f>
        <v/>
      </c>
      <c r="H138" t="s">
        <v>299</v>
      </c>
      <c r="I138">
        <v>0.28770000000000001</v>
      </c>
      <c r="K138" t="s">
        <v>256</v>
      </c>
      <c r="L138">
        <v>0.39851999999999999</v>
      </c>
      <c r="N138" t="s">
        <v>317</v>
      </c>
      <c r="O138">
        <v>0.53949999999999998</v>
      </c>
      <c r="Q138" t="s">
        <v>299</v>
      </c>
      <c r="R138">
        <v>0.53381999999999996</v>
      </c>
      <c r="T138" t="s">
        <v>298</v>
      </c>
      <c r="U138" s="5">
        <v>14370</v>
      </c>
      <c r="V138">
        <v>0.02</v>
      </c>
      <c r="W138">
        <v>138</v>
      </c>
      <c r="X138">
        <v>0.76633165829145722</v>
      </c>
      <c r="Y138">
        <v>138</v>
      </c>
      <c r="Z138">
        <v>0.76633165829145722</v>
      </c>
      <c r="AC138">
        <v>0.53381999999999996</v>
      </c>
    </row>
    <row r="139" spans="1:29" x14ac:dyDescent="0.2">
      <c r="A139" t="str">
        <f>IF(E139&gt;1,#REF!, "")</f>
        <v/>
      </c>
      <c r="B139" t="s">
        <v>303</v>
      </c>
      <c r="C139" t="e">
        <f t="shared" si="10"/>
        <v>#N/A</v>
      </c>
      <c r="D139" t="str">
        <f>IF(ISNUMBER(#REF!),INDEX($U$2:$U$194, MATCH(#REF!,$T$2:$T$194,0)),"")</f>
        <v/>
      </c>
      <c r="H139" t="s">
        <v>377</v>
      </c>
      <c r="I139">
        <v>0.28770000000000001</v>
      </c>
      <c r="K139" t="s">
        <v>332</v>
      </c>
      <c r="L139">
        <v>0.39623999999999998</v>
      </c>
      <c r="N139" t="s">
        <v>259</v>
      </c>
      <c r="O139">
        <v>0.53478999999999999</v>
      </c>
      <c r="Q139" t="s">
        <v>303</v>
      </c>
      <c r="R139">
        <v>0.53183000000000002</v>
      </c>
      <c r="T139" t="s">
        <v>300</v>
      </c>
      <c r="U139" s="5">
        <v>5140</v>
      </c>
      <c r="V139">
        <v>54.2</v>
      </c>
      <c r="W139">
        <v>139</v>
      </c>
      <c r="X139">
        <v>0.77010050251256279</v>
      </c>
      <c r="Y139">
        <v>139</v>
      </c>
      <c r="Z139">
        <v>0.77010050251256279</v>
      </c>
      <c r="AC139">
        <v>0.53183000000000002</v>
      </c>
    </row>
    <row r="140" spans="1:29" x14ac:dyDescent="0.2">
      <c r="A140" t="str">
        <f>IF(E140&gt;1,#REF!, "")</f>
        <v/>
      </c>
      <c r="B140" t="s">
        <v>306</v>
      </c>
      <c r="C140" t="e">
        <f t="shared" si="10"/>
        <v>#N/A</v>
      </c>
      <c r="D140" t="str">
        <f>IF(ISNUMBER(#REF!),INDEX($U$2:$U$194, MATCH(#REF!,$T$2:$T$194,0)),"")</f>
        <v/>
      </c>
      <c r="H140" t="s">
        <v>241</v>
      </c>
      <c r="I140">
        <v>0.28770000000000001</v>
      </c>
      <c r="K140" t="s">
        <v>361</v>
      </c>
      <c r="L140">
        <v>0.39590999999999998</v>
      </c>
      <c r="N140" t="s">
        <v>284</v>
      </c>
      <c r="O140">
        <v>0.53473999999999999</v>
      </c>
      <c r="Q140" t="s">
        <v>306</v>
      </c>
      <c r="R140">
        <v>0.52917000000000003</v>
      </c>
      <c r="T140" t="s">
        <v>303</v>
      </c>
      <c r="U140" s="8">
        <v>8920</v>
      </c>
      <c r="V140">
        <v>11.1</v>
      </c>
      <c r="W140">
        <v>140</v>
      </c>
      <c r="X140">
        <v>0.77386934673366836</v>
      </c>
      <c r="Y140">
        <v>140</v>
      </c>
      <c r="Z140">
        <v>0.77386934673366836</v>
      </c>
      <c r="AC140">
        <v>0.52917000000000003</v>
      </c>
    </row>
    <row r="141" spans="1:29" x14ac:dyDescent="0.2">
      <c r="A141" t="str">
        <f>IF(E141&gt;1,#REF!, "")</f>
        <v/>
      </c>
      <c r="B141" t="s">
        <v>312</v>
      </c>
      <c r="C141" t="e">
        <f t="shared" si="10"/>
        <v>#N/A</v>
      </c>
      <c r="D141" t="str">
        <f>IF(ISNUMBER(#REF!),INDEX($U$2:$U$194, MATCH(#REF!,$T$2:$T$194,0)),"")</f>
        <v/>
      </c>
      <c r="H141" t="s">
        <v>325</v>
      </c>
      <c r="I141">
        <v>0.28770000000000001</v>
      </c>
      <c r="K141" t="s">
        <v>263</v>
      </c>
      <c r="L141">
        <v>0.39062999999999998</v>
      </c>
      <c r="N141" t="s">
        <v>249</v>
      </c>
      <c r="O141">
        <v>0.52710999999999997</v>
      </c>
      <c r="Q141" t="s">
        <v>312</v>
      </c>
      <c r="R141">
        <v>0.51512000000000002</v>
      </c>
      <c r="T141" t="s">
        <v>305</v>
      </c>
      <c r="U141" s="5">
        <v>6310</v>
      </c>
      <c r="V141">
        <v>0.2</v>
      </c>
      <c r="W141">
        <v>141</v>
      </c>
      <c r="X141">
        <v>0.77763819095477393</v>
      </c>
      <c r="Y141">
        <v>141</v>
      </c>
      <c r="Z141">
        <v>0.77763819095477393</v>
      </c>
      <c r="AC141">
        <v>0.51512000000000002</v>
      </c>
    </row>
    <row r="142" spans="1:29" x14ac:dyDescent="0.2">
      <c r="A142" t="str">
        <f>IF(E142&gt;1,#REF!, "")</f>
        <v/>
      </c>
      <c r="B142" t="s">
        <v>285</v>
      </c>
      <c r="C142" t="e">
        <f t="shared" si="10"/>
        <v>#N/A</v>
      </c>
      <c r="D142" t="str">
        <f>IF(ISNUMBER(#REF!),INDEX($U$2:$U$194, MATCH(#REF!,$T$2:$T$194,0)),"")</f>
        <v/>
      </c>
      <c r="H142" t="s">
        <v>355</v>
      </c>
      <c r="I142">
        <v>0.27400000000000002</v>
      </c>
      <c r="K142" t="s">
        <v>315</v>
      </c>
      <c r="L142">
        <v>0.39034999999999997</v>
      </c>
      <c r="N142" t="s">
        <v>306</v>
      </c>
      <c r="O142">
        <v>0.52698</v>
      </c>
      <c r="Q142" t="s">
        <v>285</v>
      </c>
      <c r="R142">
        <v>0.50880000000000003</v>
      </c>
      <c r="T142" t="s">
        <v>306</v>
      </c>
      <c r="U142" s="5">
        <v>9420</v>
      </c>
      <c r="V142">
        <v>0.4</v>
      </c>
      <c r="W142">
        <v>142</v>
      </c>
      <c r="X142">
        <v>0.78140703517587939</v>
      </c>
      <c r="Y142">
        <v>142</v>
      </c>
      <c r="Z142">
        <v>0.78140703517587939</v>
      </c>
      <c r="AC142">
        <v>0.50880000000000003</v>
      </c>
    </row>
    <row r="143" spans="1:29" x14ac:dyDescent="0.2">
      <c r="A143" t="str">
        <f>IF(E143&gt;1,#REF!, "")</f>
        <v/>
      </c>
      <c r="B143" t="s">
        <v>298</v>
      </c>
      <c r="C143" t="e">
        <f t="shared" si="10"/>
        <v>#N/A</v>
      </c>
      <c r="D143" t="str">
        <f>IF(ISNUMBER(#REF!),INDEX($U$2:$U$194, MATCH(#REF!,$T$2:$T$194,0)),"")</f>
        <v/>
      </c>
      <c r="H143" t="s">
        <v>258</v>
      </c>
      <c r="I143">
        <v>0.27400000000000002</v>
      </c>
      <c r="K143" t="s">
        <v>354</v>
      </c>
      <c r="L143">
        <v>0.38228000000000001</v>
      </c>
      <c r="N143" t="s">
        <v>267</v>
      </c>
      <c r="O143">
        <v>0.52100000000000002</v>
      </c>
      <c r="Q143" t="s">
        <v>298</v>
      </c>
      <c r="R143">
        <v>0.49096000000000001</v>
      </c>
      <c r="T143" t="s">
        <v>308</v>
      </c>
      <c r="U143" s="5">
        <v>6500</v>
      </c>
      <c r="V143">
        <v>10.3</v>
      </c>
      <c r="W143">
        <v>143</v>
      </c>
      <c r="X143">
        <v>0.78517587939698497</v>
      </c>
      <c r="Y143">
        <v>143</v>
      </c>
      <c r="Z143">
        <v>0.78517587939698497</v>
      </c>
      <c r="AC143">
        <v>0.49096000000000001</v>
      </c>
    </row>
    <row r="144" spans="1:29" x14ac:dyDescent="0.2">
      <c r="A144" t="str">
        <f>IF(E144&gt;1,#REF!, "")</f>
        <v/>
      </c>
      <c r="B144" t="s">
        <v>352</v>
      </c>
      <c r="C144" t="e">
        <f t="shared" si="10"/>
        <v>#N/A</v>
      </c>
      <c r="D144" t="str">
        <f>IF(ISNUMBER(#REF!),INDEX($U$2:$U$194, MATCH(#REF!,$T$2:$T$194,0)),"")</f>
        <v/>
      </c>
      <c r="H144" t="s">
        <v>256</v>
      </c>
      <c r="I144">
        <v>0.27400000000000002</v>
      </c>
      <c r="K144" t="s">
        <v>279</v>
      </c>
      <c r="L144">
        <v>0.37983</v>
      </c>
      <c r="N144" t="s">
        <v>329</v>
      </c>
      <c r="O144">
        <v>0.51924999999999999</v>
      </c>
      <c r="Q144" t="s">
        <v>352</v>
      </c>
      <c r="R144">
        <v>0.49023</v>
      </c>
      <c r="T144" t="s">
        <v>309</v>
      </c>
      <c r="U144" s="5">
        <v>6310</v>
      </c>
      <c r="V144">
        <v>0.06</v>
      </c>
      <c r="W144">
        <v>144</v>
      </c>
      <c r="X144">
        <v>0.78894472361809043</v>
      </c>
      <c r="Y144">
        <v>144</v>
      </c>
      <c r="Z144">
        <v>0.78894472361809043</v>
      </c>
      <c r="AC144">
        <v>0.49023</v>
      </c>
    </row>
    <row r="145" spans="1:29" x14ac:dyDescent="0.2">
      <c r="A145" t="str">
        <f>IF(E145&gt;1,#REF!, "")</f>
        <v/>
      </c>
      <c r="B145" t="s">
        <v>327</v>
      </c>
      <c r="C145" t="e">
        <f t="shared" si="10"/>
        <v>#N/A</v>
      </c>
      <c r="D145" t="str">
        <f>IF(ISNUMBER(#REF!),INDEX($U$2:$U$194, MATCH(#REF!,$T$2:$T$194,0)),"")</f>
        <v/>
      </c>
      <c r="H145" t="s">
        <v>274</v>
      </c>
      <c r="I145">
        <v>0.27400000000000002</v>
      </c>
      <c r="K145" t="s">
        <v>143</v>
      </c>
      <c r="L145">
        <v>0.37729000000000001</v>
      </c>
      <c r="N145" t="s">
        <v>308</v>
      </c>
      <c r="O145">
        <v>0.51817999999999997</v>
      </c>
      <c r="Q145" t="s">
        <v>327</v>
      </c>
      <c r="R145">
        <v>0.48393999999999998</v>
      </c>
      <c r="T145" t="s">
        <v>311</v>
      </c>
      <c r="U145" s="5">
        <v>5000</v>
      </c>
      <c r="V145">
        <v>218.5</v>
      </c>
      <c r="W145">
        <v>145</v>
      </c>
      <c r="X145">
        <v>0.792713567839196</v>
      </c>
      <c r="Y145">
        <v>145</v>
      </c>
      <c r="Z145">
        <v>0.792713567839196</v>
      </c>
      <c r="AC145">
        <v>0.48393999999999998</v>
      </c>
    </row>
    <row r="146" spans="1:29" x14ac:dyDescent="0.2">
      <c r="A146" t="str">
        <f>IF(E146&gt;1,#REF!, "")</f>
        <v/>
      </c>
      <c r="B146" t="s">
        <v>311</v>
      </c>
      <c r="C146" t="e">
        <f t="shared" si="10"/>
        <v>#N/A</v>
      </c>
      <c r="D146" t="str">
        <f>IF(ISNUMBER(#REF!),INDEX($U$2:$U$194, MATCH(#REF!,$T$2:$T$194,0)),"")</f>
        <v/>
      </c>
      <c r="H146" t="s">
        <v>317</v>
      </c>
      <c r="I146">
        <v>0.27400000000000002</v>
      </c>
      <c r="K146" t="s">
        <v>305</v>
      </c>
      <c r="L146">
        <v>0.36377999999999999</v>
      </c>
      <c r="N146" t="s">
        <v>268</v>
      </c>
      <c r="O146">
        <v>0.51488999999999996</v>
      </c>
      <c r="Q146" t="s">
        <v>311</v>
      </c>
      <c r="R146">
        <v>0.48354999999999998</v>
      </c>
      <c r="T146" t="s">
        <v>312</v>
      </c>
      <c r="U146" s="5">
        <v>16050</v>
      </c>
      <c r="V146">
        <v>6.3</v>
      </c>
      <c r="W146">
        <v>146</v>
      </c>
      <c r="X146">
        <v>0.79648241206030157</v>
      </c>
      <c r="Y146">
        <v>146</v>
      </c>
      <c r="Z146">
        <v>0.79648241206030157</v>
      </c>
      <c r="AC146">
        <v>0.48354999999999998</v>
      </c>
    </row>
    <row r="147" spans="1:29" x14ac:dyDescent="0.2">
      <c r="A147" t="str">
        <f>IF(E147&gt;1,#REF!, "")</f>
        <v/>
      </c>
      <c r="B147" t="s">
        <v>313</v>
      </c>
      <c r="C147" t="e">
        <f t="shared" si="10"/>
        <v>#N/A</v>
      </c>
      <c r="D147" t="str">
        <f>IF(ISNUMBER(#REF!),INDEX($U$2:$U$194, MATCH(#REF!,$T$2:$T$194,0)),"")</f>
        <v/>
      </c>
      <c r="H147" t="s">
        <v>365</v>
      </c>
      <c r="I147">
        <v>0.24660000000000001</v>
      </c>
      <c r="K147" t="s">
        <v>309</v>
      </c>
      <c r="L147">
        <v>0.35858000000000001</v>
      </c>
      <c r="N147" t="s">
        <v>276</v>
      </c>
      <c r="O147">
        <v>0.51036000000000004</v>
      </c>
      <c r="Q147" t="s">
        <v>313</v>
      </c>
      <c r="R147">
        <v>0.48171000000000003</v>
      </c>
      <c r="T147" t="s">
        <v>313</v>
      </c>
      <c r="U147" s="5">
        <v>3740</v>
      </c>
      <c r="V147">
        <v>13.7</v>
      </c>
      <c r="W147">
        <v>147</v>
      </c>
      <c r="X147">
        <v>0.80025125628140703</v>
      </c>
      <c r="Y147">
        <v>147</v>
      </c>
      <c r="Z147">
        <v>0.80025125628140703</v>
      </c>
      <c r="AC147">
        <v>0.48171000000000003</v>
      </c>
    </row>
    <row r="148" spans="1:29" x14ac:dyDescent="0.2">
      <c r="A148" t="str">
        <f>IF(E148&gt;1,#REF!, "")</f>
        <v/>
      </c>
      <c r="B148" t="s">
        <v>308</v>
      </c>
      <c r="C148" t="e">
        <f t="shared" si="10"/>
        <v>#N/A</v>
      </c>
      <c r="D148" t="str">
        <f>IF(ISNUMBER(#REF!),INDEX($U$2:$U$194, MATCH(#REF!,$T$2:$T$194,0)),"")</f>
        <v/>
      </c>
      <c r="H148" t="s">
        <v>238</v>
      </c>
      <c r="I148">
        <v>0.24660000000000001</v>
      </c>
      <c r="K148" t="s">
        <v>287</v>
      </c>
      <c r="L148">
        <v>0.35755999999999999</v>
      </c>
      <c r="N148" t="s">
        <v>300</v>
      </c>
      <c r="O148">
        <v>0.50812000000000002</v>
      </c>
      <c r="Q148" t="s">
        <v>308</v>
      </c>
      <c r="R148">
        <v>0.47992000000000001</v>
      </c>
      <c r="T148" t="s">
        <v>315</v>
      </c>
      <c r="U148" s="5">
        <v>2530</v>
      </c>
      <c r="V148">
        <v>0.1</v>
      </c>
      <c r="W148">
        <v>148</v>
      </c>
      <c r="X148">
        <v>0.80402010050251249</v>
      </c>
      <c r="Y148">
        <v>148</v>
      </c>
      <c r="Z148">
        <v>0.80402010050251249</v>
      </c>
      <c r="AC148">
        <v>0.47992000000000001</v>
      </c>
    </row>
    <row r="149" spans="1:29" x14ac:dyDescent="0.2">
      <c r="A149" t="str">
        <f>IF(E149&gt;1,#REF!, "")</f>
        <v/>
      </c>
      <c r="B149" t="s">
        <v>293</v>
      </c>
      <c r="C149" t="e">
        <f t="shared" si="10"/>
        <v>#N/A</v>
      </c>
      <c r="D149" t="str">
        <f>IF(ISNUMBER(#REF!),INDEX($U$2:$U$194, MATCH(#REF!,$T$2:$T$194,0)),"")</f>
        <v/>
      </c>
      <c r="H149" t="s">
        <v>321</v>
      </c>
      <c r="I149">
        <v>0.2329</v>
      </c>
      <c r="K149" t="s">
        <v>233</v>
      </c>
      <c r="L149">
        <v>0.35754000000000002</v>
      </c>
      <c r="N149" t="s">
        <v>321</v>
      </c>
      <c r="O149">
        <v>0.50612000000000001</v>
      </c>
      <c r="Q149" t="s">
        <v>293</v>
      </c>
      <c r="R149">
        <v>0.47841</v>
      </c>
      <c r="T149" t="s">
        <v>316</v>
      </c>
      <c r="U149" s="5">
        <v>14160</v>
      </c>
      <c r="V149">
        <v>44.5</v>
      </c>
      <c r="W149">
        <v>149</v>
      </c>
      <c r="X149">
        <v>0.80778894472361806</v>
      </c>
      <c r="Y149">
        <v>149</v>
      </c>
      <c r="Z149">
        <v>0.80778894472361806</v>
      </c>
      <c r="AC149">
        <v>0.47841</v>
      </c>
    </row>
    <row r="150" spans="1:29" x14ac:dyDescent="0.2">
      <c r="A150" t="str">
        <f>IF(E150&gt;1,#REF!, "")</f>
        <v/>
      </c>
      <c r="B150" t="s">
        <v>297</v>
      </c>
      <c r="C150" t="e">
        <f t="shared" si="10"/>
        <v>#N/A</v>
      </c>
      <c r="D150" t="str">
        <f>IF(ISNUMBER(#REF!),INDEX($U$2:$U$194, MATCH(#REF!,$T$2:$T$194,0)),"")</f>
        <v/>
      </c>
      <c r="H150" t="s">
        <v>359</v>
      </c>
      <c r="I150">
        <v>0.2329</v>
      </c>
      <c r="K150" t="s">
        <v>282</v>
      </c>
      <c r="L150">
        <v>0.34549000000000002</v>
      </c>
      <c r="N150" t="s">
        <v>319</v>
      </c>
      <c r="O150">
        <v>0.50229000000000001</v>
      </c>
      <c r="Q150" t="s">
        <v>297</v>
      </c>
      <c r="R150">
        <v>0.47453000000000001</v>
      </c>
      <c r="T150" t="s">
        <v>317</v>
      </c>
      <c r="U150" s="5">
        <v>2150</v>
      </c>
      <c r="V150">
        <v>16</v>
      </c>
      <c r="W150">
        <v>150</v>
      </c>
      <c r="X150">
        <v>0.81155778894472363</v>
      </c>
      <c r="Y150">
        <v>150</v>
      </c>
      <c r="Z150">
        <v>0.81155778894472363</v>
      </c>
      <c r="AC150">
        <v>0.47453000000000001</v>
      </c>
    </row>
    <row r="151" spans="1:29" x14ac:dyDescent="0.2">
      <c r="A151" t="str">
        <f>IF(E151&gt;1,#REF!, "")</f>
        <v/>
      </c>
      <c r="B151" t="s">
        <v>334</v>
      </c>
      <c r="C151" t="e">
        <f t="shared" si="10"/>
        <v>#N/A</v>
      </c>
      <c r="D151" t="str">
        <f>IF(ISNUMBER(#REF!),INDEX($U$2:$U$194, MATCH(#REF!,$T$2:$T$194,0)),"")</f>
        <v/>
      </c>
      <c r="H151" t="s">
        <v>289</v>
      </c>
      <c r="I151">
        <v>0.2329</v>
      </c>
      <c r="K151" t="s">
        <v>350</v>
      </c>
      <c r="L151">
        <v>0.34194999999999998</v>
      </c>
      <c r="N151" t="s">
        <v>316</v>
      </c>
      <c r="O151">
        <v>0.49671999999999999</v>
      </c>
      <c r="Q151" t="s">
        <v>334</v>
      </c>
      <c r="R151">
        <v>0.47197</v>
      </c>
      <c r="T151" t="s">
        <v>319</v>
      </c>
      <c r="U151" s="5">
        <v>2370</v>
      </c>
      <c r="V151">
        <v>45.9</v>
      </c>
      <c r="W151">
        <v>151</v>
      </c>
      <c r="X151">
        <v>0.81532663316582921</v>
      </c>
      <c r="Y151">
        <v>151</v>
      </c>
      <c r="Z151">
        <v>0.81532663316582921</v>
      </c>
      <c r="AC151">
        <v>0.47197</v>
      </c>
    </row>
    <row r="152" spans="1:29" x14ac:dyDescent="0.2">
      <c r="A152" t="str">
        <f>IF(E152&gt;1,#REF!, "")</f>
        <v/>
      </c>
      <c r="B152" t="s">
        <v>333</v>
      </c>
      <c r="C152" t="e">
        <f t="shared" si="10"/>
        <v>#N/A</v>
      </c>
      <c r="D152" t="str">
        <f>IF(ISNUMBER(#REF!),INDEX($U$2:$U$194, MATCH(#REF!,$T$2:$T$194,0)),"")</f>
        <v/>
      </c>
      <c r="H152" t="s">
        <v>306</v>
      </c>
      <c r="I152">
        <v>0.2329</v>
      </c>
      <c r="K152" t="s">
        <v>276</v>
      </c>
      <c r="L152">
        <v>0.34055999999999997</v>
      </c>
      <c r="N152" t="s">
        <v>368</v>
      </c>
      <c r="O152">
        <v>0.49243999999999999</v>
      </c>
      <c r="Q152" t="s">
        <v>333</v>
      </c>
      <c r="R152">
        <v>0.46427000000000002</v>
      </c>
      <c r="T152" t="s">
        <v>321</v>
      </c>
      <c r="U152" s="8" t="s">
        <v>118</v>
      </c>
      <c r="V152">
        <v>0.01</v>
      </c>
      <c r="W152">
        <v>152</v>
      </c>
      <c r="X152">
        <v>0.81909547738693467</v>
      </c>
      <c r="Y152">
        <v>152</v>
      </c>
      <c r="Z152">
        <v>0.81909547738693467</v>
      </c>
      <c r="AC152">
        <v>0.46427000000000002</v>
      </c>
    </row>
    <row r="153" spans="1:29" x14ac:dyDescent="0.2">
      <c r="A153" t="str">
        <f>IF(E153&gt;1,#REF!, "")</f>
        <v/>
      </c>
      <c r="B153" t="s">
        <v>305</v>
      </c>
      <c r="C153" t="e">
        <f t="shared" si="10"/>
        <v>#N/A</v>
      </c>
      <c r="D153" t="str">
        <f>IF(ISNUMBER(#REF!),INDEX($U$2:$U$194, MATCH(#REF!,$T$2:$T$194,0)),"")</f>
        <v/>
      </c>
      <c r="H153" t="s">
        <v>332</v>
      </c>
      <c r="I153">
        <v>0.21920000000000001</v>
      </c>
      <c r="K153" t="s">
        <v>353</v>
      </c>
      <c r="L153">
        <v>0.3392</v>
      </c>
      <c r="N153" t="s">
        <v>333</v>
      </c>
      <c r="O153">
        <v>0.48616999999999999</v>
      </c>
      <c r="Q153" t="s">
        <v>305</v>
      </c>
      <c r="R153">
        <v>0.46065</v>
      </c>
      <c r="T153" t="s">
        <v>299</v>
      </c>
      <c r="U153" s="5">
        <v>12122</v>
      </c>
      <c r="V153">
        <v>7.5</v>
      </c>
      <c r="W153">
        <v>153</v>
      </c>
      <c r="X153">
        <v>0.82286432160804024</v>
      </c>
      <c r="Y153">
        <v>153</v>
      </c>
      <c r="Z153">
        <v>0.82286432160804024</v>
      </c>
      <c r="AC153">
        <v>0.46065</v>
      </c>
    </row>
    <row r="154" spans="1:29" x14ac:dyDescent="0.2">
      <c r="A154" t="str">
        <f>IF(E154&gt;1,#REF!, "")</f>
        <v/>
      </c>
      <c r="B154" t="s">
        <v>355</v>
      </c>
      <c r="C154" t="e">
        <f t="shared" si="10"/>
        <v>#N/A</v>
      </c>
      <c r="D154" t="str">
        <f>IF(ISNUMBER(#REF!),INDEX($U$2:$U$194, MATCH(#REF!,$T$2:$T$194,0)),"")</f>
        <v/>
      </c>
      <c r="H154" t="s">
        <v>267</v>
      </c>
      <c r="I154">
        <v>0.21920000000000001</v>
      </c>
      <c r="K154" t="s">
        <v>357</v>
      </c>
      <c r="L154">
        <v>0.33764</v>
      </c>
      <c r="N154" t="s">
        <v>240</v>
      </c>
      <c r="O154">
        <v>0.48483999999999999</v>
      </c>
      <c r="Q154" t="s">
        <v>355</v>
      </c>
      <c r="R154">
        <v>0.44323000000000001</v>
      </c>
      <c r="T154" t="s">
        <v>325</v>
      </c>
      <c r="U154" s="5">
        <v>3000</v>
      </c>
      <c r="V154">
        <v>63.6</v>
      </c>
      <c r="W154">
        <v>154</v>
      </c>
      <c r="X154">
        <v>0.8266331658291457</v>
      </c>
      <c r="Y154">
        <v>154</v>
      </c>
      <c r="Z154">
        <v>0.8266331658291457</v>
      </c>
      <c r="AC154">
        <v>0.44323000000000001</v>
      </c>
    </row>
    <row r="155" spans="1:29" x14ac:dyDescent="0.2">
      <c r="A155" t="str">
        <f>IF(E155&gt;1,#REF!, "")</f>
        <v/>
      </c>
      <c r="B155" t="s">
        <v>328</v>
      </c>
      <c r="C155" t="e">
        <f t="shared" si="10"/>
        <v>#N/A</v>
      </c>
      <c r="D155" t="str">
        <f>IF(ISNUMBER(#REF!),INDEX($U$2:$U$194, MATCH(#REF!,$T$2:$T$194,0)),"")</f>
        <v/>
      </c>
      <c r="H155" t="s">
        <v>357</v>
      </c>
      <c r="I155">
        <v>0.21920000000000001</v>
      </c>
      <c r="K155" t="s">
        <v>355</v>
      </c>
      <c r="L155">
        <v>0.33339999999999997</v>
      </c>
      <c r="N155" t="s">
        <v>272</v>
      </c>
      <c r="O155">
        <v>0.4834</v>
      </c>
      <c r="Q155" t="s">
        <v>328</v>
      </c>
      <c r="R155">
        <v>0.44256000000000001</v>
      </c>
      <c r="T155" t="s">
        <v>327</v>
      </c>
      <c r="U155" s="5">
        <v>4170</v>
      </c>
      <c r="V155">
        <v>0.2</v>
      </c>
      <c r="W155">
        <v>155</v>
      </c>
      <c r="X155">
        <v>0.83040201005025127</v>
      </c>
      <c r="Y155">
        <v>155</v>
      </c>
      <c r="Z155">
        <v>0.83040201005025127</v>
      </c>
      <c r="AC155">
        <v>0.44256000000000001</v>
      </c>
    </row>
    <row r="156" spans="1:29" x14ac:dyDescent="0.2">
      <c r="A156" t="str">
        <f>IF(E156&gt;1,#REF!, "")</f>
        <v/>
      </c>
      <c r="B156" t="s">
        <v>363</v>
      </c>
      <c r="C156" t="e">
        <f t="shared" si="10"/>
        <v>#N/A</v>
      </c>
      <c r="D156" t="str">
        <f>IF(ISNUMBER(#REF!),INDEX($U$2:$U$194, MATCH(#REF!,$T$2:$T$194,0)),"")</f>
        <v/>
      </c>
      <c r="H156" t="s">
        <v>371</v>
      </c>
      <c r="I156">
        <v>0.21920000000000001</v>
      </c>
      <c r="K156" t="s">
        <v>261</v>
      </c>
      <c r="L156">
        <v>0.33200000000000002</v>
      </c>
      <c r="N156" t="s">
        <v>339</v>
      </c>
      <c r="O156">
        <v>0.48133999999999999</v>
      </c>
      <c r="Q156" t="s">
        <v>363</v>
      </c>
      <c r="R156">
        <v>0.43922</v>
      </c>
      <c r="T156" t="s">
        <v>329</v>
      </c>
      <c r="U156" s="5">
        <v>4090</v>
      </c>
      <c r="V156">
        <v>27.2</v>
      </c>
      <c r="W156">
        <v>156</v>
      </c>
      <c r="X156">
        <v>0.83417085427135684</v>
      </c>
      <c r="Y156">
        <v>156</v>
      </c>
      <c r="Z156">
        <v>0.83417085427135684</v>
      </c>
      <c r="AC156">
        <v>0.43922</v>
      </c>
    </row>
    <row r="157" spans="1:29" x14ac:dyDescent="0.2">
      <c r="A157" t="str">
        <f>IF(E157&gt;1,#REF!, "")</f>
        <v/>
      </c>
      <c r="B157" t="s">
        <v>338</v>
      </c>
      <c r="C157" t="e">
        <f t="shared" si="10"/>
        <v>#N/A</v>
      </c>
      <c r="D157" t="str">
        <f>IF(ISNUMBER(#REF!),INDEX($U$2:$U$194, MATCH(#REF!,$T$2:$T$194,0)),"")</f>
        <v/>
      </c>
      <c r="H157" t="s">
        <v>352</v>
      </c>
      <c r="I157">
        <v>0.21920000000000001</v>
      </c>
      <c r="K157" t="s">
        <v>299</v>
      </c>
      <c r="L157">
        <v>0.32647999999999999</v>
      </c>
      <c r="N157" t="s">
        <v>332</v>
      </c>
      <c r="O157">
        <v>0.47602</v>
      </c>
      <c r="Q157" t="s">
        <v>338</v>
      </c>
      <c r="R157">
        <v>0.43230000000000002</v>
      </c>
      <c r="T157" t="s">
        <v>332</v>
      </c>
      <c r="U157" s="5">
        <v>6090</v>
      </c>
      <c r="V157">
        <v>35.6</v>
      </c>
      <c r="W157">
        <v>157</v>
      </c>
      <c r="X157">
        <v>0.8379396984924623</v>
      </c>
      <c r="Y157">
        <v>157</v>
      </c>
      <c r="Z157">
        <v>0.8379396984924623</v>
      </c>
      <c r="AC157">
        <v>0.43230000000000002</v>
      </c>
    </row>
    <row r="158" spans="1:29" x14ac:dyDescent="0.2">
      <c r="A158" t="str">
        <f>IF(E158&gt;1,#REF!, "")</f>
        <v/>
      </c>
      <c r="B158" t="s">
        <v>317</v>
      </c>
      <c r="C158" t="e">
        <f t="shared" si="10"/>
        <v>#N/A</v>
      </c>
      <c r="D158" t="str">
        <f>IF(ISNUMBER(#REF!),INDEX($U$2:$U$194, MATCH(#REF!,$T$2:$T$194,0)),"")</f>
        <v/>
      </c>
      <c r="H158" t="s">
        <v>282</v>
      </c>
      <c r="I158">
        <v>0.21920000000000001</v>
      </c>
      <c r="K158" t="s">
        <v>300</v>
      </c>
      <c r="L158">
        <v>0.32594000000000001</v>
      </c>
      <c r="N158" t="s">
        <v>341</v>
      </c>
      <c r="O158">
        <v>0.47493000000000002</v>
      </c>
      <c r="Q158" t="s">
        <v>317</v>
      </c>
      <c r="R158">
        <v>0.39471000000000001</v>
      </c>
      <c r="T158" t="s">
        <v>333</v>
      </c>
      <c r="U158" s="5">
        <v>2740</v>
      </c>
      <c r="V158">
        <v>2.2000000000000002</v>
      </c>
      <c r="W158">
        <v>158</v>
      </c>
      <c r="X158">
        <v>0.84170854271356776</v>
      </c>
      <c r="Y158">
        <v>158</v>
      </c>
      <c r="Z158">
        <v>0.84170854271356776</v>
      </c>
      <c r="AC158">
        <v>0.39471000000000001</v>
      </c>
    </row>
    <row r="159" spans="1:29" x14ac:dyDescent="0.2">
      <c r="A159" t="str">
        <f>IF(E159&gt;1,#REF!, "")</f>
        <v/>
      </c>
      <c r="B159" t="s">
        <v>367</v>
      </c>
      <c r="C159" t="e">
        <f t="shared" si="10"/>
        <v>#N/A</v>
      </c>
      <c r="D159" t="str">
        <f>IF(ISNUMBER(#REF!),INDEX($U$2:$U$194, MATCH(#REF!,$T$2:$T$194,0)),"")</f>
        <v/>
      </c>
      <c r="H159" t="s">
        <v>287</v>
      </c>
      <c r="I159">
        <v>0.21920000000000001</v>
      </c>
      <c r="K159" t="s">
        <v>290</v>
      </c>
      <c r="L159">
        <v>0.32291999999999998</v>
      </c>
      <c r="N159" t="s">
        <v>345</v>
      </c>
      <c r="O159">
        <v>0.46375</v>
      </c>
      <c r="Q159" t="s">
        <v>367</v>
      </c>
      <c r="R159">
        <v>0.38766</v>
      </c>
      <c r="T159" t="s">
        <v>334</v>
      </c>
      <c r="U159" s="8">
        <v>7790</v>
      </c>
      <c r="V159">
        <v>0.01</v>
      </c>
      <c r="W159">
        <v>159</v>
      </c>
      <c r="X159">
        <v>0.84547738693467334</v>
      </c>
      <c r="Y159">
        <v>159</v>
      </c>
      <c r="Z159">
        <v>0.84547738693467334</v>
      </c>
      <c r="AC159">
        <v>0.38766</v>
      </c>
    </row>
    <row r="160" spans="1:29" x14ac:dyDescent="0.2">
      <c r="A160" t="str">
        <f>IF(E160&gt;1,#REF!, "")</f>
        <v/>
      </c>
      <c r="B160" t="s">
        <v>356</v>
      </c>
      <c r="C160" t="e">
        <f t="shared" si="10"/>
        <v>#N/A</v>
      </c>
      <c r="D160" t="str">
        <f>IF(ISNUMBER(#REF!),INDEX($U$2:$U$194, MATCH(#REF!,$T$2:$T$194,0)),"")</f>
        <v/>
      </c>
      <c r="H160" t="s">
        <v>333</v>
      </c>
      <c r="I160">
        <v>0.20549999999999999</v>
      </c>
      <c r="K160" t="s">
        <v>293</v>
      </c>
      <c r="L160">
        <v>0.32203999999999999</v>
      </c>
      <c r="N160" t="s">
        <v>299</v>
      </c>
      <c r="O160">
        <v>0.46084000000000003</v>
      </c>
      <c r="Q160" t="s">
        <v>356</v>
      </c>
      <c r="R160">
        <v>0.38401999999999997</v>
      </c>
      <c r="T160" t="s">
        <v>276</v>
      </c>
      <c r="U160" s="5">
        <v>4170</v>
      </c>
      <c r="V160">
        <v>1.3</v>
      </c>
      <c r="W160">
        <v>160</v>
      </c>
      <c r="X160">
        <v>0.84924623115577891</v>
      </c>
      <c r="Y160">
        <v>160</v>
      </c>
      <c r="Z160">
        <v>0.84924623115577891</v>
      </c>
      <c r="AC160">
        <v>0.38401999999999997</v>
      </c>
    </row>
    <row r="161" spans="1:29" x14ac:dyDescent="0.2">
      <c r="A161" t="str">
        <f>IF(E161&gt;1,#REF!, "")</f>
        <v/>
      </c>
      <c r="B161" t="s">
        <v>325</v>
      </c>
      <c r="C161" t="e">
        <f t="shared" si="10"/>
        <v>#N/A</v>
      </c>
      <c r="D161" t="str">
        <f>IF(ISNUMBER(#REF!),INDEX($U$2:$U$194, MATCH(#REF!,$T$2:$T$194,0)),"")</f>
        <v/>
      </c>
      <c r="H161" t="s">
        <v>361</v>
      </c>
      <c r="I161">
        <v>0.20549999999999999</v>
      </c>
      <c r="K161" t="s">
        <v>270</v>
      </c>
      <c r="L161">
        <v>0.31874999999999998</v>
      </c>
      <c r="N161" t="s">
        <v>365</v>
      </c>
      <c r="O161">
        <v>0.44867000000000001</v>
      </c>
      <c r="Q161" t="s">
        <v>325</v>
      </c>
      <c r="R161">
        <v>0.37920999999999999</v>
      </c>
      <c r="T161" t="s">
        <v>338</v>
      </c>
      <c r="U161" s="5">
        <v>3000</v>
      </c>
      <c r="V161">
        <v>13.5</v>
      </c>
      <c r="W161">
        <v>161</v>
      </c>
      <c r="X161">
        <v>0.85301507537688448</v>
      </c>
      <c r="Y161">
        <v>161</v>
      </c>
      <c r="Z161">
        <v>0.85301507537688448</v>
      </c>
      <c r="AC161">
        <v>0.37920999999999999</v>
      </c>
    </row>
    <row r="162" spans="1:29" x14ac:dyDescent="0.2">
      <c r="A162" t="str">
        <f>IF(E162&gt;1,#REF!, "")</f>
        <v/>
      </c>
      <c r="B162" t="s">
        <v>332</v>
      </c>
      <c r="C162" t="e">
        <f t="shared" si="10"/>
        <v>#N/A</v>
      </c>
      <c r="D162" t="str">
        <f>IF(ISNUMBER(#REF!),INDEX($U$2:$U$194, MATCH(#REF!,$T$2:$T$194,0)),"")</f>
        <v/>
      </c>
      <c r="H162" t="s">
        <v>374</v>
      </c>
      <c r="I162">
        <v>0.20549999999999999</v>
      </c>
      <c r="K162" t="s">
        <v>371</v>
      </c>
      <c r="L162">
        <v>0.31459999999999999</v>
      </c>
      <c r="N162" t="s">
        <v>325</v>
      </c>
      <c r="O162">
        <v>0.43986999999999998</v>
      </c>
      <c r="Q162" t="s">
        <v>332</v>
      </c>
      <c r="R162">
        <v>0.37237999999999999</v>
      </c>
      <c r="T162" t="s">
        <v>339</v>
      </c>
      <c r="U162" s="5">
        <v>2800</v>
      </c>
      <c r="V162">
        <v>8.5</v>
      </c>
      <c r="W162">
        <v>162</v>
      </c>
      <c r="X162">
        <v>0.85678391959798994</v>
      </c>
      <c r="Y162">
        <v>162</v>
      </c>
      <c r="Z162">
        <v>0.85678391959798994</v>
      </c>
      <c r="AC162">
        <v>0.37237999999999999</v>
      </c>
    </row>
    <row r="163" spans="1:29" x14ac:dyDescent="0.2">
      <c r="A163" t="str">
        <f>IF(E163&gt;1,#REF!, "")</f>
        <v/>
      </c>
      <c r="B163" t="s">
        <v>264</v>
      </c>
      <c r="C163" t="e">
        <f t="shared" si="10"/>
        <v>#N/A</v>
      </c>
      <c r="D163" t="str">
        <f>IF(ISNUMBER(#REF!),INDEX($U$2:$U$194, MATCH(#REF!,$T$2:$T$194,0)),"")</f>
        <v/>
      </c>
      <c r="H163" t="s">
        <v>251</v>
      </c>
      <c r="I163">
        <v>0.20549999999999999</v>
      </c>
      <c r="K163" t="s">
        <v>374</v>
      </c>
      <c r="L163">
        <v>0.30839</v>
      </c>
      <c r="N163" t="s">
        <v>343</v>
      </c>
      <c r="O163">
        <v>0.42624000000000001</v>
      </c>
      <c r="Q163" t="s">
        <v>264</v>
      </c>
      <c r="R163">
        <v>0.37235000000000001</v>
      </c>
      <c r="T163" t="s">
        <v>328</v>
      </c>
      <c r="U163" s="8">
        <v>4610</v>
      </c>
      <c r="V163">
        <v>22.1</v>
      </c>
      <c r="W163">
        <v>163</v>
      </c>
      <c r="X163">
        <v>0.86055276381909551</v>
      </c>
      <c r="Y163">
        <v>163</v>
      </c>
      <c r="Z163">
        <v>0.86055276381909551</v>
      </c>
      <c r="AC163">
        <v>0.37235000000000001</v>
      </c>
    </row>
    <row r="164" spans="1:29" x14ac:dyDescent="0.2">
      <c r="A164" t="str">
        <f>IF(E164&gt;1,#REF!, "")</f>
        <v/>
      </c>
      <c r="B164" t="s">
        <v>329</v>
      </c>
      <c r="C164" t="e">
        <f t="shared" si="10"/>
        <v>#N/A</v>
      </c>
      <c r="D164" t="str">
        <f>IF(ISNUMBER(#REF!),INDEX($U$2:$U$194, MATCH(#REF!,$T$2:$T$194,0)),"")</f>
        <v/>
      </c>
      <c r="H164" t="s">
        <v>353</v>
      </c>
      <c r="I164">
        <v>0.1918</v>
      </c>
      <c r="K164" t="s">
        <v>328</v>
      </c>
      <c r="L164">
        <v>0.30678</v>
      </c>
      <c r="N164" t="s">
        <v>311</v>
      </c>
      <c r="O164">
        <v>0.42357</v>
      </c>
      <c r="Q164" t="s">
        <v>329</v>
      </c>
      <c r="R164">
        <v>0.37003999999999998</v>
      </c>
      <c r="T164" t="s">
        <v>341</v>
      </c>
      <c r="U164" s="5">
        <v>1500</v>
      </c>
      <c r="V164">
        <v>20</v>
      </c>
      <c r="W164">
        <v>164</v>
      </c>
      <c r="X164">
        <v>0.86432160804020097</v>
      </c>
      <c r="Y164">
        <v>164</v>
      </c>
      <c r="Z164">
        <v>0.86432160804020097</v>
      </c>
      <c r="AC164">
        <v>0.37003999999999998</v>
      </c>
    </row>
    <row r="165" spans="1:29" x14ac:dyDescent="0.2">
      <c r="A165" t="str">
        <f>IF(E165&gt;1,#REF!, "")</f>
        <v/>
      </c>
      <c r="B165" t="s">
        <v>357</v>
      </c>
      <c r="C165" t="e">
        <f t="shared" si="10"/>
        <v>#N/A</v>
      </c>
      <c r="D165" t="str">
        <f>IF(ISNUMBER(#REF!),INDEX($U$2:$U$194, MATCH(#REF!,$T$2:$T$194,0)),"")</f>
        <v/>
      </c>
      <c r="H165" t="s">
        <v>367</v>
      </c>
      <c r="I165">
        <v>0.17810000000000001</v>
      </c>
      <c r="K165" t="s">
        <v>251</v>
      </c>
      <c r="L165">
        <v>0.30385000000000001</v>
      </c>
      <c r="N165" t="s">
        <v>328</v>
      </c>
      <c r="O165">
        <v>0.41688999999999998</v>
      </c>
      <c r="Q165" t="s">
        <v>357</v>
      </c>
      <c r="R165">
        <v>0.36402000000000001</v>
      </c>
      <c r="T165" t="s">
        <v>343</v>
      </c>
      <c r="U165" s="5">
        <v>2700</v>
      </c>
      <c r="V165">
        <v>0.7</v>
      </c>
      <c r="W165">
        <v>165</v>
      </c>
      <c r="X165">
        <v>0.86809045226130654</v>
      </c>
      <c r="Y165">
        <v>165</v>
      </c>
      <c r="Z165">
        <v>0.86809045226130654</v>
      </c>
      <c r="AC165">
        <v>0.36402000000000001</v>
      </c>
    </row>
    <row r="166" spans="1:29" x14ac:dyDescent="0.2">
      <c r="A166" t="str">
        <f>IF(E166&gt;1,#REF!, "")</f>
        <v/>
      </c>
      <c r="B166" t="s">
        <v>276</v>
      </c>
      <c r="C166" t="e">
        <f t="shared" si="10"/>
        <v>#N/A</v>
      </c>
      <c r="D166" t="str">
        <f>IF(ISNUMBER(#REF!),INDEX($U$2:$U$194, MATCH(#REF!,$T$2:$T$194,0)),"")</f>
        <v/>
      </c>
      <c r="H166" t="s">
        <v>143</v>
      </c>
      <c r="I166">
        <v>0.17810000000000001</v>
      </c>
      <c r="K166" t="s">
        <v>377</v>
      </c>
      <c r="L166">
        <v>0.29709999999999998</v>
      </c>
      <c r="N166" t="s">
        <v>349</v>
      </c>
      <c r="O166">
        <v>0.41409000000000001</v>
      </c>
      <c r="Q166" t="s">
        <v>276</v>
      </c>
      <c r="R166">
        <v>0.35505999999999999</v>
      </c>
      <c r="T166" t="s">
        <v>344</v>
      </c>
      <c r="U166" s="5">
        <v>5860</v>
      </c>
      <c r="V166">
        <v>5</v>
      </c>
      <c r="W166">
        <v>166</v>
      </c>
      <c r="X166">
        <v>0.87185929648241212</v>
      </c>
      <c r="Y166">
        <v>166</v>
      </c>
      <c r="Z166">
        <v>0.87185929648241212</v>
      </c>
      <c r="AC166">
        <v>0.35505999999999999</v>
      </c>
    </row>
    <row r="167" spans="1:29" x14ac:dyDescent="0.2">
      <c r="A167" t="str">
        <f>IF(E167&gt;1,#REF!, "")</f>
        <v/>
      </c>
      <c r="B167" t="s">
        <v>315</v>
      </c>
      <c r="C167" t="e">
        <f t="shared" si="10"/>
        <v>#N/A</v>
      </c>
      <c r="D167" t="str">
        <f>IF(ISNUMBER(#REF!),INDEX($U$2:$U$194, MATCH(#REF!,$T$2:$T$194,0)),"")</f>
        <v/>
      </c>
      <c r="H167" t="s">
        <v>369</v>
      </c>
      <c r="I167">
        <v>0.16439999999999999</v>
      </c>
      <c r="K167" t="s">
        <v>333</v>
      </c>
      <c r="L167">
        <v>0.28637000000000001</v>
      </c>
      <c r="N167" t="s">
        <v>359</v>
      </c>
      <c r="O167">
        <v>0.41021000000000002</v>
      </c>
      <c r="Q167" t="s">
        <v>315</v>
      </c>
      <c r="R167">
        <v>0.35437999999999997</v>
      </c>
      <c r="T167" t="s">
        <v>345</v>
      </c>
      <c r="U167" s="5">
        <v>4170</v>
      </c>
      <c r="V167">
        <v>5.8</v>
      </c>
      <c r="W167">
        <v>167</v>
      </c>
      <c r="X167">
        <v>0.87562814070351758</v>
      </c>
      <c r="Y167">
        <v>167</v>
      </c>
      <c r="Z167">
        <v>0.87562814070351758</v>
      </c>
      <c r="AC167">
        <v>0.35437999999999997</v>
      </c>
    </row>
    <row r="168" spans="1:29" x14ac:dyDescent="0.2">
      <c r="A168" t="str">
        <f>IF(E168&gt;1,#REF!, "")</f>
        <v/>
      </c>
      <c r="B168" t="s">
        <v>366</v>
      </c>
      <c r="C168" t="e">
        <f t="shared" si="10"/>
        <v>#N/A</v>
      </c>
      <c r="D168" t="str">
        <f>IF(ISNUMBER(#REF!),INDEX($U$2:$U$194, MATCH(#REF!,$T$2:$T$194,0)),"")</f>
        <v/>
      </c>
      <c r="H168" t="s">
        <v>300</v>
      </c>
      <c r="I168">
        <v>0.16439999999999999</v>
      </c>
      <c r="K168" t="s">
        <v>298</v>
      </c>
      <c r="L168">
        <v>0.27866999999999997</v>
      </c>
      <c r="N168" t="s">
        <v>366</v>
      </c>
      <c r="O168">
        <v>0.39916000000000001</v>
      </c>
      <c r="Q168" t="s">
        <v>366</v>
      </c>
      <c r="R168">
        <v>0.35367999999999999</v>
      </c>
      <c r="T168" t="s">
        <v>347</v>
      </c>
      <c r="U168" s="5">
        <v>3740</v>
      </c>
      <c r="V168">
        <v>0.1</v>
      </c>
      <c r="W168">
        <v>168</v>
      </c>
      <c r="X168">
        <v>0.87939698492462304</v>
      </c>
      <c r="Y168">
        <v>168</v>
      </c>
      <c r="Z168">
        <v>0.87939698492462304</v>
      </c>
      <c r="AC168">
        <v>0.35367999999999999</v>
      </c>
    </row>
    <row r="169" spans="1:29" x14ac:dyDescent="0.2">
      <c r="A169" t="str">
        <f>IF(E169&gt;1,#REF!, "")</f>
        <v/>
      </c>
      <c r="B169" t="s">
        <v>309</v>
      </c>
      <c r="C169" t="e">
        <f t="shared" si="10"/>
        <v>#N/A</v>
      </c>
      <c r="D169" t="str">
        <f>IF(ISNUMBER(#REF!),INDEX($U$2:$U$194, MATCH(#REF!,$T$2:$T$194,0)),"")</f>
        <v/>
      </c>
      <c r="H169" t="s">
        <v>350</v>
      </c>
      <c r="I169">
        <v>0.16439999999999999</v>
      </c>
      <c r="K169" t="s">
        <v>345</v>
      </c>
      <c r="L169">
        <v>0.27604000000000001</v>
      </c>
      <c r="N169" t="s">
        <v>353</v>
      </c>
      <c r="O169">
        <v>0.39838000000000001</v>
      </c>
      <c r="Q169" t="s">
        <v>309</v>
      </c>
      <c r="R169">
        <v>0.30473</v>
      </c>
      <c r="T169" t="s">
        <v>349</v>
      </c>
      <c r="U169" s="5">
        <v>1600</v>
      </c>
      <c r="V169">
        <v>29.1</v>
      </c>
      <c r="W169">
        <v>169</v>
      </c>
      <c r="X169">
        <v>0.88316582914572861</v>
      </c>
      <c r="Y169">
        <v>169</v>
      </c>
      <c r="Z169">
        <v>0.88316582914572861</v>
      </c>
      <c r="AC169">
        <v>0.30473</v>
      </c>
    </row>
    <row r="170" spans="1:29" x14ac:dyDescent="0.2">
      <c r="A170" t="str">
        <f>IF(E170&gt;1,#REF!, "")</f>
        <v/>
      </c>
      <c r="B170" t="s">
        <v>372</v>
      </c>
      <c r="C170" t="e">
        <f t="shared" si="10"/>
        <v>#N/A</v>
      </c>
      <c r="D170" t="str">
        <f>IF(ISNUMBER(#REF!),INDEX($U$2:$U$194, MATCH(#REF!,$T$2:$T$194,0)),"")</f>
        <v/>
      </c>
      <c r="H170" t="s">
        <v>327</v>
      </c>
      <c r="I170">
        <v>0.16439999999999999</v>
      </c>
      <c r="K170" t="s">
        <v>375</v>
      </c>
      <c r="L170">
        <v>0.26738000000000001</v>
      </c>
      <c r="N170" t="s">
        <v>371</v>
      </c>
      <c r="O170">
        <v>0.39655000000000001</v>
      </c>
      <c r="Q170" t="s">
        <v>372</v>
      </c>
      <c r="R170">
        <v>0.29044999999999999</v>
      </c>
      <c r="T170" t="s">
        <v>350</v>
      </c>
      <c r="U170" s="5">
        <v>2370</v>
      </c>
      <c r="V170">
        <v>123.4</v>
      </c>
      <c r="W170">
        <v>170</v>
      </c>
      <c r="X170">
        <v>0.88693467336683418</v>
      </c>
      <c r="Y170">
        <v>170</v>
      </c>
      <c r="Z170">
        <v>0.88693467336683418</v>
      </c>
      <c r="AC170">
        <v>0.29044999999999999</v>
      </c>
    </row>
    <row r="171" spans="1:29" x14ac:dyDescent="0.2">
      <c r="A171" t="str">
        <f>IF(E171&gt;1,#REF!, "")</f>
        <v/>
      </c>
      <c r="B171" t="s">
        <v>345</v>
      </c>
      <c r="C171" t="e">
        <f t="shared" si="10"/>
        <v>#N/A</v>
      </c>
      <c r="D171" t="str">
        <f>IF(ISNUMBER(#REF!),INDEX($U$2:$U$194, MATCH(#REF!,$T$2:$T$194,0)),"")</f>
        <v/>
      </c>
      <c r="H171" t="s">
        <v>193</v>
      </c>
      <c r="I171">
        <v>0.1507</v>
      </c>
      <c r="K171" t="s">
        <v>369</v>
      </c>
      <c r="L171">
        <v>0.26334999999999997</v>
      </c>
      <c r="N171" t="s">
        <v>361</v>
      </c>
      <c r="O171">
        <v>0.39518999999999999</v>
      </c>
      <c r="Q171" t="s">
        <v>345</v>
      </c>
      <c r="R171">
        <v>0.27757999999999999</v>
      </c>
      <c r="T171" t="s">
        <v>352</v>
      </c>
      <c r="U171" s="5">
        <v>2370</v>
      </c>
      <c r="V171">
        <v>2.1</v>
      </c>
      <c r="W171">
        <v>171</v>
      </c>
      <c r="X171">
        <v>0.89070351758793975</v>
      </c>
      <c r="Y171">
        <v>171</v>
      </c>
      <c r="Z171">
        <v>0.89070351758793975</v>
      </c>
      <c r="AC171">
        <v>0.27757999999999999</v>
      </c>
    </row>
    <row r="172" spans="1:29" x14ac:dyDescent="0.2">
      <c r="A172" t="str">
        <f>IF(E172&gt;1,#REF!, "")</f>
        <v/>
      </c>
      <c r="B172" t="s">
        <v>350</v>
      </c>
      <c r="C172" t="e">
        <f t="shared" si="10"/>
        <v>#N/A</v>
      </c>
      <c r="D172" t="str">
        <f>IF(ISNUMBER(#REF!),INDEX($U$2:$U$194, MATCH(#REF!,$T$2:$T$194,0)),"")</f>
        <v/>
      </c>
      <c r="H172" t="s">
        <v>372</v>
      </c>
      <c r="I172">
        <v>0.1507</v>
      </c>
      <c r="K172" t="s">
        <v>347</v>
      </c>
      <c r="L172">
        <v>0.26211000000000001</v>
      </c>
      <c r="N172" t="s">
        <v>313</v>
      </c>
      <c r="O172">
        <v>0.37146000000000001</v>
      </c>
      <c r="Q172" t="s">
        <v>350</v>
      </c>
      <c r="R172">
        <v>0.26591999999999999</v>
      </c>
      <c r="T172" t="s">
        <v>353</v>
      </c>
      <c r="U172" s="5">
        <v>4230</v>
      </c>
      <c r="V172">
        <v>10.9</v>
      </c>
      <c r="W172">
        <v>172</v>
      </c>
      <c r="X172">
        <v>0.89447236180904521</v>
      </c>
      <c r="Y172">
        <v>172</v>
      </c>
      <c r="Z172">
        <v>0.89447236180904521</v>
      </c>
      <c r="AC172">
        <v>0.26591999999999999</v>
      </c>
    </row>
    <row r="173" spans="1:29" x14ac:dyDescent="0.2">
      <c r="A173" t="str">
        <f>IF(E173&gt;1,#REF!, "")</f>
        <v/>
      </c>
      <c r="B173" t="s">
        <v>354</v>
      </c>
      <c r="C173" t="e">
        <f t="shared" si="10"/>
        <v>#N/A</v>
      </c>
      <c r="D173" t="str">
        <f>IF(ISNUMBER(#REF!),INDEX($U$2:$U$194, MATCH(#REF!,$T$2:$T$194,0)),"")</f>
        <v/>
      </c>
      <c r="H173" t="s">
        <v>347</v>
      </c>
      <c r="I173">
        <v>0.13700000000000001</v>
      </c>
      <c r="K173" t="s">
        <v>312</v>
      </c>
      <c r="L173">
        <v>0.25063999999999997</v>
      </c>
      <c r="N173" t="s">
        <v>369</v>
      </c>
      <c r="O173">
        <v>0.3669</v>
      </c>
      <c r="Q173" t="s">
        <v>354</v>
      </c>
      <c r="R173">
        <v>0.25851000000000002</v>
      </c>
      <c r="T173" t="s">
        <v>354</v>
      </c>
      <c r="U173" s="5">
        <v>1660</v>
      </c>
      <c r="V173">
        <v>8.6999999999999993</v>
      </c>
      <c r="W173">
        <v>173</v>
      </c>
      <c r="X173">
        <v>0.89824120603015079</v>
      </c>
      <c r="Y173">
        <v>173</v>
      </c>
      <c r="Z173">
        <v>0.89824120603015079</v>
      </c>
      <c r="AC173">
        <v>0.25851000000000002</v>
      </c>
    </row>
    <row r="174" spans="1:29" x14ac:dyDescent="0.2">
      <c r="A174" t="str">
        <f>IF(E174&gt;1,#REF!, "")</f>
        <v/>
      </c>
      <c r="B174" t="s">
        <v>359</v>
      </c>
      <c r="C174" t="e">
        <f t="shared" si="10"/>
        <v>#N/A</v>
      </c>
      <c r="D174" t="str">
        <f>IF(ISNUMBER(#REF!),INDEX($U$2:$U$194, MATCH(#REF!,$T$2:$T$194,0)),"")</f>
        <v/>
      </c>
      <c r="H174" t="s">
        <v>290</v>
      </c>
      <c r="I174">
        <v>0.13700000000000001</v>
      </c>
      <c r="K174" t="s">
        <v>321</v>
      </c>
      <c r="L174">
        <v>0.24387</v>
      </c>
      <c r="N174" t="s">
        <v>297</v>
      </c>
      <c r="O174">
        <v>0.34995999999999999</v>
      </c>
      <c r="Q174" t="s">
        <v>359</v>
      </c>
      <c r="R174">
        <v>0.25319999999999998</v>
      </c>
      <c r="T174" t="s">
        <v>355</v>
      </c>
      <c r="U174" s="5">
        <v>2540</v>
      </c>
      <c r="V174">
        <v>23.3</v>
      </c>
      <c r="W174">
        <v>174</v>
      </c>
      <c r="X174">
        <v>0.90201005025125625</v>
      </c>
      <c r="Y174">
        <v>174</v>
      </c>
      <c r="Z174">
        <v>0.90201005025125625</v>
      </c>
      <c r="AC174">
        <v>0.25319999999999998</v>
      </c>
    </row>
    <row r="175" spans="1:29" x14ac:dyDescent="0.2">
      <c r="A175" t="str">
        <f>IF(E175&gt;1,#REF!, "")</f>
        <v/>
      </c>
      <c r="B175" t="s">
        <v>339</v>
      </c>
      <c r="C175" t="e">
        <f t="shared" si="10"/>
        <v>#N/A</v>
      </c>
      <c r="D175" t="str">
        <f>IF(ISNUMBER(#REF!),INDEX($U$2:$U$194, MATCH(#REF!,$T$2:$T$194,0)),"")</f>
        <v/>
      </c>
      <c r="H175" t="s">
        <v>344</v>
      </c>
      <c r="I175">
        <v>0.12330000000000001</v>
      </c>
      <c r="K175" t="s">
        <v>303</v>
      </c>
      <c r="L175">
        <v>0.22982</v>
      </c>
      <c r="N175" t="s">
        <v>295</v>
      </c>
      <c r="O175">
        <v>0.33804000000000001</v>
      </c>
      <c r="Q175" t="s">
        <v>339</v>
      </c>
      <c r="R175">
        <v>0.24736</v>
      </c>
      <c r="T175" t="s">
        <v>356</v>
      </c>
      <c r="U175" s="5">
        <v>4900</v>
      </c>
      <c r="V175">
        <v>1.1000000000000001</v>
      </c>
      <c r="W175">
        <v>175</v>
      </c>
      <c r="X175">
        <v>0.90577889447236182</v>
      </c>
      <c r="Y175">
        <v>175</v>
      </c>
      <c r="Z175">
        <v>0.90577889447236182</v>
      </c>
      <c r="AC175">
        <v>0.24736</v>
      </c>
    </row>
    <row r="176" spans="1:29" x14ac:dyDescent="0.2">
      <c r="A176" t="str">
        <f>IF(E176&gt;1,#REF!, "")</f>
        <v/>
      </c>
      <c r="B176" t="s">
        <v>319</v>
      </c>
      <c r="C176" t="e">
        <f t="shared" si="10"/>
        <v>#N/A</v>
      </c>
      <c r="D176" t="str">
        <f>IF(ISNUMBER(#REF!),INDEX($U$2:$U$194, MATCH(#REF!,$T$2:$T$194,0)),"")</f>
        <v/>
      </c>
      <c r="H176" t="s">
        <v>270</v>
      </c>
      <c r="I176">
        <v>0.12330000000000001</v>
      </c>
      <c r="K176" t="s">
        <v>327</v>
      </c>
      <c r="L176">
        <v>0.21557000000000001</v>
      </c>
      <c r="N176" t="s">
        <v>376</v>
      </c>
      <c r="O176">
        <v>0.33237</v>
      </c>
      <c r="Q176" t="s">
        <v>319</v>
      </c>
      <c r="R176">
        <v>0.22989999999999999</v>
      </c>
      <c r="T176" t="s">
        <v>357</v>
      </c>
      <c r="U176" s="5">
        <v>2420</v>
      </c>
      <c r="V176">
        <v>23.3</v>
      </c>
      <c r="W176">
        <v>176</v>
      </c>
      <c r="X176">
        <v>0.90954773869346739</v>
      </c>
      <c r="Y176">
        <v>176</v>
      </c>
      <c r="Z176">
        <v>0.90954773869346739</v>
      </c>
      <c r="AC176">
        <v>0.22989999999999999</v>
      </c>
    </row>
    <row r="177" spans="1:29" x14ac:dyDescent="0.2">
      <c r="A177" t="str">
        <f>IF(E177&gt;1,#REF!, "")</f>
        <v/>
      </c>
      <c r="B177" t="s">
        <v>360</v>
      </c>
      <c r="C177" t="e">
        <f t="shared" si="10"/>
        <v>#N/A</v>
      </c>
      <c r="D177" t="str">
        <f>IF(ISNUMBER(#REF!),INDEX($U$2:$U$194, MATCH(#REF!,$T$2:$T$194,0)),"")</f>
        <v/>
      </c>
      <c r="H177" t="s">
        <v>233</v>
      </c>
      <c r="I177">
        <v>0.12330000000000001</v>
      </c>
      <c r="K177" t="s">
        <v>356</v>
      </c>
      <c r="L177">
        <v>0.20915</v>
      </c>
      <c r="N177" t="s">
        <v>350</v>
      </c>
      <c r="O177">
        <v>0.32536999999999999</v>
      </c>
      <c r="Q177" t="s">
        <v>360</v>
      </c>
      <c r="R177">
        <v>0.21672</v>
      </c>
      <c r="T177" t="s">
        <v>359</v>
      </c>
      <c r="U177" s="5">
        <v>17330</v>
      </c>
      <c r="V177">
        <v>1.7</v>
      </c>
      <c r="W177">
        <v>177</v>
      </c>
      <c r="X177">
        <v>0.91331658291457285</v>
      </c>
      <c r="Y177">
        <v>177</v>
      </c>
      <c r="Z177">
        <v>0.91331658291457285</v>
      </c>
      <c r="AC177">
        <v>0.21672</v>
      </c>
    </row>
    <row r="178" spans="1:29" x14ac:dyDescent="0.2">
      <c r="A178" t="str">
        <f>IF(E178&gt;1,#REF!, "")</f>
        <v/>
      </c>
      <c r="B178" t="s">
        <v>373</v>
      </c>
      <c r="C178" t="e">
        <f t="shared" si="10"/>
        <v>#N/A</v>
      </c>
      <c r="D178" t="str">
        <f>IF(ISNUMBER(#REF!),INDEX($U$2:$U$194, MATCH(#REF!,$T$2:$T$194,0)),"")</f>
        <v/>
      </c>
      <c r="H178" t="s">
        <v>360</v>
      </c>
      <c r="I178">
        <v>0.1096</v>
      </c>
      <c r="K178" t="s">
        <v>365</v>
      </c>
      <c r="L178">
        <v>0.20671</v>
      </c>
      <c r="N178" t="s">
        <v>352</v>
      </c>
      <c r="O178">
        <v>0.30774000000000001</v>
      </c>
      <c r="Q178" t="s">
        <v>373</v>
      </c>
      <c r="R178">
        <v>0.20874000000000001</v>
      </c>
      <c r="T178" t="s">
        <v>361</v>
      </c>
      <c r="U178" s="5">
        <v>1520</v>
      </c>
      <c r="V178">
        <v>33.9</v>
      </c>
      <c r="W178">
        <v>178</v>
      </c>
      <c r="X178">
        <v>0.91708542713567831</v>
      </c>
      <c r="Y178">
        <v>178</v>
      </c>
      <c r="Z178">
        <v>0.91708542713567831</v>
      </c>
      <c r="AC178">
        <v>0.20874000000000001</v>
      </c>
    </row>
    <row r="179" spans="1:29" x14ac:dyDescent="0.2">
      <c r="A179" t="str">
        <f>IF(E179&gt;1,#REF!, "")</f>
        <v/>
      </c>
      <c r="B179" t="s">
        <v>341</v>
      </c>
      <c r="C179" t="e">
        <f t="shared" si="10"/>
        <v>#N/A</v>
      </c>
      <c r="D179" t="str">
        <f>IF(ISNUMBER(#REF!),INDEX($U$2:$U$194, MATCH(#REF!,$T$2:$T$194,0)),"")</f>
        <v/>
      </c>
      <c r="H179" t="s">
        <v>364</v>
      </c>
      <c r="I179">
        <v>0.1096</v>
      </c>
      <c r="K179" t="s">
        <v>334</v>
      </c>
      <c r="L179">
        <v>0.19438</v>
      </c>
      <c r="N179" t="s">
        <v>344</v>
      </c>
      <c r="O179">
        <v>0.29615000000000002</v>
      </c>
      <c r="Q179" t="s">
        <v>341</v>
      </c>
      <c r="R179">
        <v>0.18862000000000001</v>
      </c>
      <c r="T179" t="s">
        <v>363</v>
      </c>
      <c r="U179" s="5">
        <v>3870</v>
      </c>
      <c r="V179">
        <v>48.1</v>
      </c>
      <c r="W179">
        <v>179</v>
      </c>
      <c r="X179">
        <v>0.92085427135678388</v>
      </c>
      <c r="Y179">
        <v>179</v>
      </c>
      <c r="Z179">
        <v>0.92085427135678388</v>
      </c>
      <c r="AC179">
        <v>0.18862000000000001</v>
      </c>
    </row>
    <row r="180" spans="1:29" x14ac:dyDescent="0.2">
      <c r="A180" t="str">
        <f>IF(E180&gt;1,#REF!, "")</f>
        <v/>
      </c>
      <c r="B180" t="s">
        <v>353</v>
      </c>
      <c r="C180" t="e">
        <f>IF(ISNUMBER(MATCH(B180,$AD$2:$AD$27,0)),AC180,NA())</f>
        <v>#N/A</v>
      </c>
      <c r="D180" t="str">
        <f>IF(ISNUMBER(#REF!),INDEX($U$2:$U$194, MATCH(#REF!,$T$2:$T$194,0)),"")</f>
        <v/>
      </c>
      <c r="H180" t="s">
        <v>316</v>
      </c>
      <c r="I180">
        <v>9.5899999999999999E-2</v>
      </c>
      <c r="K180" t="s">
        <v>359</v>
      </c>
      <c r="L180">
        <v>0.19319</v>
      </c>
      <c r="N180" t="s">
        <v>338</v>
      </c>
      <c r="O180">
        <v>0.28867999999999999</v>
      </c>
      <c r="Q180" t="s">
        <v>353</v>
      </c>
      <c r="R180">
        <v>0.18512999999999999</v>
      </c>
      <c r="T180" t="s">
        <v>365</v>
      </c>
      <c r="U180" s="5">
        <v>1270</v>
      </c>
      <c r="V180">
        <v>102.3</v>
      </c>
      <c r="W180">
        <v>180</v>
      </c>
      <c r="X180">
        <v>0.92462311557788945</v>
      </c>
      <c r="Y180">
        <v>180</v>
      </c>
      <c r="Z180">
        <v>0.92462311557788945</v>
      </c>
      <c r="AC180">
        <v>0.18512999999999999</v>
      </c>
    </row>
    <row r="181" spans="1:29" x14ac:dyDescent="0.2">
      <c r="A181" t="str">
        <f>IF(E181&gt;1,#REF!, "")</f>
        <v/>
      </c>
      <c r="B181" t="s">
        <v>343</v>
      </c>
      <c r="C181" t="e">
        <f t="shared" ref="C181:C195" si="11">IF(ISNUMBER(MATCH(B181,$AD$2:$AD$27,0)),AC181,NA())</f>
        <v>#N/A</v>
      </c>
      <c r="D181" t="str">
        <f>IF(ISNUMBER(#REF!),INDEX($U$2:$U$194, MATCH(#REF!,$T$2:$T$194,0)),"")</f>
        <v/>
      </c>
      <c r="H181" t="s">
        <v>356</v>
      </c>
      <c r="I181">
        <v>9.5899999999999999E-2</v>
      </c>
      <c r="K181" t="s">
        <v>316</v>
      </c>
      <c r="L181">
        <v>0.18754999999999999</v>
      </c>
      <c r="N181" t="s">
        <v>373</v>
      </c>
      <c r="O181">
        <v>0.28833999999999999</v>
      </c>
      <c r="Q181" t="s">
        <v>343</v>
      </c>
      <c r="R181">
        <v>0.18109</v>
      </c>
      <c r="T181" t="s">
        <v>366</v>
      </c>
      <c r="U181" s="5">
        <v>3620</v>
      </c>
      <c r="V181">
        <v>0.9</v>
      </c>
      <c r="W181">
        <v>181</v>
      </c>
      <c r="X181">
        <v>0.92839195979899503</v>
      </c>
      <c r="Y181">
        <v>181</v>
      </c>
      <c r="Z181">
        <v>0.92839195979899503</v>
      </c>
      <c r="AC181">
        <v>0.18109</v>
      </c>
    </row>
    <row r="182" spans="1:29" x14ac:dyDescent="0.2">
      <c r="A182" t="str">
        <f>IF(E182&gt;1,#REF!, "")</f>
        <v/>
      </c>
      <c r="B182" t="s">
        <v>368</v>
      </c>
      <c r="C182" t="e">
        <f t="shared" si="11"/>
        <v>#N/A</v>
      </c>
      <c r="D182" t="str">
        <f>IF(ISNUMBER(#REF!),INDEX($U$2:$U$194, MATCH(#REF!,$T$2:$T$194,0)),"")</f>
        <v/>
      </c>
      <c r="H182" t="s">
        <v>373</v>
      </c>
      <c r="I182">
        <v>9.5899999999999999E-2</v>
      </c>
      <c r="K182" t="s">
        <v>344</v>
      </c>
      <c r="L182">
        <v>0.16879</v>
      </c>
      <c r="N182" t="s">
        <v>367</v>
      </c>
      <c r="O182">
        <v>0.28231000000000001</v>
      </c>
      <c r="Q182" t="s">
        <v>368</v>
      </c>
      <c r="R182">
        <v>0.17452000000000001</v>
      </c>
      <c r="T182" t="s">
        <v>367</v>
      </c>
      <c r="U182" s="5">
        <v>2280</v>
      </c>
      <c r="V182">
        <v>2.8</v>
      </c>
      <c r="W182">
        <v>182</v>
      </c>
      <c r="X182">
        <v>0.9321608040201006</v>
      </c>
      <c r="Y182">
        <v>182</v>
      </c>
      <c r="Z182">
        <v>0.9321608040201006</v>
      </c>
      <c r="AC182">
        <v>0.17452000000000001</v>
      </c>
    </row>
    <row r="183" spans="1:29" x14ac:dyDescent="0.2">
      <c r="A183" t="str">
        <f>IF(E183&gt;1,#REF!, "")</f>
        <v/>
      </c>
      <c r="B183" t="s">
        <v>365</v>
      </c>
      <c r="C183" t="e">
        <f t="shared" si="11"/>
        <v>#N/A</v>
      </c>
      <c r="D183" t="str">
        <f>IF(ISNUMBER(#REF!),INDEX($U$2:$U$194, MATCH(#REF!,$T$2:$T$194,0)),"")</f>
        <v/>
      </c>
      <c r="H183" t="s">
        <v>378</v>
      </c>
      <c r="I183">
        <v>8.2199999999999995E-2</v>
      </c>
      <c r="K183" t="s">
        <v>364</v>
      </c>
      <c r="L183">
        <v>0.15040999999999999</v>
      </c>
      <c r="N183" t="s">
        <v>356</v>
      </c>
      <c r="O183">
        <v>0.27995999999999999</v>
      </c>
      <c r="Q183" t="s">
        <v>365</v>
      </c>
      <c r="R183">
        <v>0.15906000000000001</v>
      </c>
      <c r="T183" t="s">
        <v>369</v>
      </c>
      <c r="U183" s="5">
        <v>1620</v>
      </c>
      <c r="V183">
        <v>5.4</v>
      </c>
      <c r="W183">
        <v>183</v>
      </c>
      <c r="X183">
        <v>0.93592964824120606</v>
      </c>
      <c r="Y183">
        <v>183</v>
      </c>
      <c r="Z183">
        <v>0.93592964824120606</v>
      </c>
      <c r="AC183">
        <v>0.15906000000000001</v>
      </c>
    </row>
    <row r="184" spans="1:29" x14ac:dyDescent="0.2">
      <c r="A184" t="str">
        <f>IF(E184&gt;1,#REF!, "")</f>
        <v/>
      </c>
      <c r="B184" t="s">
        <v>374</v>
      </c>
      <c r="C184" t="e">
        <f t="shared" si="11"/>
        <v>#N/A</v>
      </c>
      <c r="D184" t="str">
        <f>IF(ISNUMBER(#REF!),INDEX($U$2:$U$194, MATCH(#REF!,$T$2:$T$194,0)),"")</f>
        <v/>
      </c>
      <c r="H184" t="s">
        <v>345</v>
      </c>
      <c r="I184">
        <v>8.2199999999999995E-2</v>
      </c>
      <c r="K184" t="s">
        <v>360</v>
      </c>
      <c r="L184">
        <v>0.14379</v>
      </c>
      <c r="N184" t="s">
        <v>354</v>
      </c>
      <c r="O184">
        <v>0.27184999999999998</v>
      </c>
      <c r="Q184" t="s">
        <v>374</v>
      </c>
      <c r="R184">
        <v>0.15783</v>
      </c>
      <c r="T184" t="s">
        <v>371</v>
      </c>
      <c r="U184" s="5">
        <v>840</v>
      </c>
      <c r="V184">
        <v>12.9</v>
      </c>
      <c r="W184">
        <v>184</v>
      </c>
      <c r="X184">
        <v>0.93969849246231152</v>
      </c>
      <c r="Y184">
        <v>184</v>
      </c>
      <c r="Z184">
        <v>0.93969849246231152</v>
      </c>
      <c r="AC184">
        <v>0.15783</v>
      </c>
    </row>
    <row r="185" spans="1:29" x14ac:dyDescent="0.2">
      <c r="A185" t="str">
        <f>IF(E185&gt;1,#REF!, "")</f>
        <v/>
      </c>
      <c r="B185" t="s">
        <v>349</v>
      </c>
      <c r="C185" t="e">
        <f t="shared" si="11"/>
        <v>#N/A</v>
      </c>
      <c r="D185" t="str">
        <f>IF(ISNUMBER(#REF!),INDEX($U$2:$U$194, MATCH(#REF!,$T$2:$T$194,0)),"")</f>
        <v/>
      </c>
      <c r="H185" t="s">
        <v>363</v>
      </c>
      <c r="I185">
        <v>6.8500000000000005E-2</v>
      </c>
      <c r="K185" t="s">
        <v>373</v>
      </c>
      <c r="L185">
        <v>0.13785</v>
      </c>
      <c r="N185" t="s">
        <v>372</v>
      </c>
      <c r="O185">
        <v>0.26704</v>
      </c>
      <c r="Q185" t="s">
        <v>349</v>
      </c>
      <c r="R185">
        <v>0.15178</v>
      </c>
      <c r="T185" t="s">
        <v>368</v>
      </c>
      <c r="U185" s="5">
        <v>840</v>
      </c>
      <c r="V185">
        <v>26.1</v>
      </c>
      <c r="W185">
        <v>185</v>
      </c>
      <c r="X185">
        <v>0.94346733668341709</v>
      </c>
      <c r="Y185">
        <v>185</v>
      </c>
      <c r="Z185">
        <v>0.94346733668341709</v>
      </c>
      <c r="AC185">
        <v>0.15178</v>
      </c>
    </row>
    <row r="186" spans="1:29" x14ac:dyDescent="0.2">
      <c r="A186" t="str">
        <f>IF(E186&gt;1,#REF!, "")</f>
        <v/>
      </c>
      <c r="B186" t="s">
        <v>377</v>
      </c>
      <c r="C186" t="e">
        <f t="shared" si="11"/>
        <v>#N/A</v>
      </c>
      <c r="D186" t="str">
        <f>IF(ISNUMBER(#REF!),INDEX($U$2:$U$194, MATCH(#REF!,$T$2:$T$194,0)),"")</f>
        <v/>
      </c>
      <c r="H186" t="s">
        <v>328</v>
      </c>
      <c r="I186">
        <v>6.8500000000000005E-2</v>
      </c>
      <c r="K186" t="s">
        <v>372</v>
      </c>
      <c r="L186">
        <v>0.13774</v>
      </c>
      <c r="N186" t="s">
        <v>360</v>
      </c>
      <c r="O186">
        <v>0.26429999999999998</v>
      </c>
      <c r="Q186" t="s">
        <v>377</v>
      </c>
      <c r="R186">
        <v>0.14324000000000001</v>
      </c>
      <c r="T186" t="s">
        <v>372</v>
      </c>
      <c r="U186" s="8">
        <v>1840</v>
      </c>
      <c r="V186">
        <v>34.4</v>
      </c>
      <c r="W186">
        <v>186</v>
      </c>
      <c r="X186">
        <v>0.94723618090452266</v>
      </c>
      <c r="Y186">
        <v>186</v>
      </c>
      <c r="Z186">
        <v>0.94723618090452266</v>
      </c>
      <c r="AC186">
        <v>0.14324000000000001</v>
      </c>
    </row>
    <row r="187" spans="1:29" x14ac:dyDescent="0.2">
      <c r="A187" t="str">
        <f>IF(E187&gt;1,#REF!, "")</f>
        <v/>
      </c>
      <c r="B187" t="s">
        <v>376</v>
      </c>
      <c r="C187" t="e">
        <f t="shared" si="11"/>
        <v>#N/A</v>
      </c>
      <c r="D187" t="str">
        <f>IF(ISNUMBER(#REF!),INDEX($U$2:$U$194, MATCH(#REF!,$T$2:$T$194,0)),"")</f>
        <v/>
      </c>
      <c r="H187" t="s">
        <v>334</v>
      </c>
      <c r="I187">
        <v>6.8500000000000005E-2</v>
      </c>
      <c r="K187" t="s">
        <v>363</v>
      </c>
      <c r="L187">
        <v>0.1293</v>
      </c>
      <c r="N187" t="s">
        <v>363</v>
      </c>
      <c r="O187">
        <v>0.25931999999999999</v>
      </c>
      <c r="Q187" t="s">
        <v>376</v>
      </c>
      <c r="R187">
        <v>0.14054</v>
      </c>
      <c r="T187" t="s">
        <v>373</v>
      </c>
      <c r="U187" s="5">
        <v>2110</v>
      </c>
      <c r="V187">
        <v>11.7</v>
      </c>
      <c r="W187">
        <v>187</v>
      </c>
      <c r="X187">
        <v>0.95100502512562812</v>
      </c>
      <c r="Y187">
        <v>187</v>
      </c>
      <c r="Z187">
        <v>0.95100502512562812</v>
      </c>
      <c r="AC187">
        <v>0.14054</v>
      </c>
    </row>
    <row r="188" spans="1:29" x14ac:dyDescent="0.2">
      <c r="A188" t="str">
        <f>IF(E188&gt;1,#REF!, "")</f>
        <v/>
      </c>
      <c r="B188" t="s">
        <v>347</v>
      </c>
      <c r="C188" t="e">
        <f t="shared" si="11"/>
        <v>#N/A</v>
      </c>
      <c r="D188" t="str">
        <f>IF(ISNUMBER(#REF!),INDEX($U$2:$U$194, MATCH(#REF!,$T$2:$T$194,0)),"")</f>
        <v/>
      </c>
      <c r="H188" t="s">
        <v>261</v>
      </c>
      <c r="I188">
        <v>5.4800000000000001E-2</v>
      </c>
      <c r="K188" t="s">
        <v>352</v>
      </c>
      <c r="L188">
        <v>0.12703</v>
      </c>
      <c r="N188" t="s">
        <v>378</v>
      </c>
      <c r="O188">
        <v>0.17130000000000001</v>
      </c>
      <c r="Q188" t="s">
        <v>347</v>
      </c>
      <c r="R188">
        <v>0.13502</v>
      </c>
      <c r="T188" t="s">
        <v>374</v>
      </c>
      <c r="U188" s="5">
        <v>1830</v>
      </c>
      <c r="V188">
        <v>27.2</v>
      </c>
      <c r="W188">
        <v>188</v>
      </c>
      <c r="X188">
        <v>0.95477386934673358</v>
      </c>
      <c r="Y188">
        <v>188</v>
      </c>
      <c r="Z188">
        <v>0.95477386934673358</v>
      </c>
      <c r="AC188">
        <v>0.13502</v>
      </c>
    </row>
    <row r="189" spans="1:29" x14ac:dyDescent="0.2">
      <c r="A189" t="str">
        <f>IF(E189&gt;1,#REF!, "")</f>
        <v/>
      </c>
      <c r="B189" t="s">
        <v>369</v>
      </c>
      <c r="C189" t="e">
        <f t="shared" si="11"/>
        <v>#N/A</v>
      </c>
      <c r="D189" t="str">
        <f>IF(ISNUMBER(#REF!),INDEX($U$2:$U$194, MATCH(#REF!,$T$2:$T$194,0)),"")</f>
        <v/>
      </c>
      <c r="H189" t="s">
        <v>303</v>
      </c>
      <c r="I189">
        <v>5.4800000000000001E-2</v>
      </c>
      <c r="K189" t="s">
        <v>378</v>
      </c>
      <c r="L189">
        <v>0.1128</v>
      </c>
      <c r="N189" t="s">
        <v>374</v>
      </c>
      <c r="O189">
        <v>0.16850999999999999</v>
      </c>
      <c r="Q189" t="s">
        <v>369</v>
      </c>
      <c r="R189">
        <v>0.12379</v>
      </c>
      <c r="T189" t="s">
        <v>360</v>
      </c>
      <c r="U189" s="8">
        <v>1500</v>
      </c>
      <c r="V189">
        <v>41.1</v>
      </c>
      <c r="W189">
        <v>189</v>
      </c>
      <c r="X189">
        <v>0.95854271356783916</v>
      </c>
      <c r="Y189">
        <v>189</v>
      </c>
      <c r="Z189">
        <v>0.95854271356783916</v>
      </c>
      <c r="AC189">
        <v>0.12379</v>
      </c>
    </row>
    <row r="190" spans="1:29" x14ac:dyDescent="0.2">
      <c r="A190" t="str">
        <f>IF(E190&gt;1,#REF!, "")</f>
        <v/>
      </c>
      <c r="B190" t="s">
        <v>375</v>
      </c>
      <c r="C190" t="e">
        <f t="shared" si="11"/>
        <v>#N/A</v>
      </c>
      <c r="D190" t="str">
        <f>IF(ISNUMBER(#REF!),INDEX($U$2:$U$194, MATCH(#REF!,$T$2:$T$194,0)),"")</f>
        <v/>
      </c>
      <c r="H190" t="s">
        <v>312</v>
      </c>
      <c r="I190">
        <v>4.1099999999999998E-2</v>
      </c>
      <c r="K190" t="s">
        <v>367</v>
      </c>
      <c r="L190">
        <v>9.5509999999999998E-2</v>
      </c>
      <c r="N190" t="s">
        <v>357</v>
      </c>
      <c r="O190">
        <v>0.16677</v>
      </c>
      <c r="Q190" t="s">
        <v>375</v>
      </c>
      <c r="R190">
        <v>0.11945</v>
      </c>
      <c r="T190" t="s">
        <v>375</v>
      </c>
      <c r="U190" s="5">
        <v>920</v>
      </c>
      <c r="V190">
        <v>17.8</v>
      </c>
      <c r="W190">
        <v>190</v>
      </c>
      <c r="X190">
        <v>0.96231155778894473</v>
      </c>
      <c r="Y190">
        <v>190</v>
      </c>
      <c r="Z190">
        <v>0.96231155778894473</v>
      </c>
      <c r="AC190">
        <v>0.11945</v>
      </c>
    </row>
    <row r="191" spans="1:29" x14ac:dyDescent="0.2">
      <c r="A191" t="str">
        <f>IF(E191&gt;1,#REF!, "")</f>
        <v/>
      </c>
      <c r="B191" t="s">
        <v>361</v>
      </c>
      <c r="C191" t="e">
        <f t="shared" si="11"/>
        <v>#N/A</v>
      </c>
      <c r="D191" t="str">
        <f>IF(ISNUMBER(#REF!),INDEX($U$2:$U$194, MATCH(#REF!,$T$2:$T$194,0)),"")</f>
        <v/>
      </c>
      <c r="H191" t="s">
        <v>80</v>
      </c>
      <c r="I191">
        <v>1.37E-2</v>
      </c>
      <c r="K191" t="s">
        <v>80</v>
      </c>
      <c r="L191">
        <v>8.0759999999999998E-2</v>
      </c>
      <c r="N191" t="s">
        <v>364</v>
      </c>
      <c r="O191">
        <v>0.15212000000000001</v>
      </c>
      <c r="Q191" t="s">
        <v>361</v>
      </c>
      <c r="R191">
        <v>6.3210000000000002E-2</v>
      </c>
      <c r="T191" t="s">
        <v>376</v>
      </c>
      <c r="U191" s="5">
        <v>980</v>
      </c>
      <c r="V191">
        <v>3.7</v>
      </c>
      <c r="W191">
        <v>191</v>
      </c>
      <c r="X191">
        <v>0.9660804020100503</v>
      </c>
      <c r="Y191">
        <v>191</v>
      </c>
      <c r="Z191">
        <v>0.9660804020100503</v>
      </c>
      <c r="AC191">
        <v>6.3210000000000002E-2</v>
      </c>
    </row>
    <row r="192" spans="1:29" x14ac:dyDescent="0.2">
      <c r="A192" t="str">
        <f>IF(E192&gt;1,#REF!, "")</f>
        <v/>
      </c>
      <c r="B192" t="s">
        <v>364</v>
      </c>
      <c r="C192" t="e">
        <f t="shared" si="11"/>
        <v>#N/A</v>
      </c>
      <c r="D192" t="str">
        <f>IF(ISNUMBER(#REF!),INDEX($U$2:$U$194, MATCH(#REF!,$T$2:$T$194,0)),"")</f>
        <v/>
      </c>
      <c r="H192" t="s">
        <v>376</v>
      </c>
      <c r="I192">
        <v>1.37E-2</v>
      </c>
      <c r="K192" t="s">
        <v>368</v>
      </c>
      <c r="L192">
        <v>2.9080000000000002E-2</v>
      </c>
      <c r="N192" t="s">
        <v>375</v>
      </c>
      <c r="O192">
        <v>0.14879000000000001</v>
      </c>
      <c r="Q192" t="s">
        <v>364</v>
      </c>
      <c r="R192">
        <v>5.4730000000000001E-2</v>
      </c>
      <c r="T192" t="s">
        <v>377</v>
      </c>
      <c r="V192">
        <v>17.600000000000001</v>
      </c>
      <c r="W192">
        <v>192</v>
      </c>
      <c r="X192">
        <v>0.96984924623115587</v>
      </c>
      <c r="Y192">
        <v>192</v>
      </c>
      <c r="Z192">
        <v>0.96984924623115587</v>
      </c>
      <c r="AC192">
        <v>5.4730000000000001E-2</v>
      </c>
    </row>
    <row r="193" spans="1:29" x14ac:dyDescent="0.2">
      <c r="A193" t="str">
        <f>IF(E193&gt;1,#REF!, "")</f>
        <v/>
      </c>
      <c r="B193" t="s">
        <v>371</v>
      </c>
      <c r="C193" t="e">
        <f t="shared" si="11"/>
        <v>#N/A</v>
      </c>
      <c r="D193" t="str">
        <f>IF(ISNUMBER(#REF!),INDEX($U$2:$U$194, MATCH(#REF!,$T$2:$T$194,0)),"")</f>
        <v/>
      </c>
      <c r="H193" t="s">
        <v>366</v>
      </c>
      <c r="I193">
        <v>0</v>
      </c>
      <c r="K193" t="s">
        <v>366</v>
      </c>
      <c r="L193">
        <v>2.299E-2</v>
      </c>
      <c r="N193" t="s">
        <v>355</v>
      </c>
      <c r="O193">
        <v>0.12497999999999999</v>
      </c>
      <c r="Q193" t="s">
        <v>371</v>
      </c>
      <c r="R193">
        <v>3.3050000000000003E-2</v>
      </c>
      <c r="T193" t="s">
        <v>364</v>
      </c>
      <c r="U193" s="8">
        <v>1200</v>
      </c>
      <c r="V193">
        <v>10.9</v>
      </c>
      <c r="W193">
        <v>193</v>
      </c>
      <c r="X193">
        <v>0.97361809045226133</v>
      </c>
      <c r="Y193">
        <v>193</v>
      </c>
      <c r="Z193">
        <v>0.97361809045226133</v>
      </c>
      <c r="AC193">
        <v>3.3050000000000003E-2</v>
      </c>
    </row>
    <row r="194" spans="1:29" x14ac:dyDescent="0.2">
      <c r="A194" t="str">
        <f>IF(E194&gt;1,#REF!, "")</f>
        <v/>
      </c>
      <c r="B194" t="s">
        <v>378</v>
      </c>
      <c r="C194" t="e">
        <f t="shared" si="11"/>
        <v>#N/A</v>
      </c>
      <c r="H194" t="s">
        <v>368</v>
      </c>
      <c r="I194">
        <v>0</v>
      </c>
      <c r="K194" t="s">
        <v>376</v>
      </c>
      <c r="L194">
        <v>0</v>
      </c>
      <c r="N194" t="s">
        <v>377</v>
      </c>
      <c r="O194">
        <v>0</v>
      </c>
      <c r="Q194" t="s">
        <v>378</v>
      </c>
      <c r="R194">
        <v>0</v>
      </c>
      <c r="T194" t="s">
        <v>378</v>
      </c>
      <c r="U194" s="8">
        <v>980</v>
      </c>
      <c r="V194">
        <v>5.5</v>
      </c>
      <c r="W194">
        <v>194</v>
      </c>
      <c r="X194">
        <v>0.97738693467336679</v>
      </c>
      <c r="Y194">
        <v>194</v>
      </c>
      <c r="Z194">
        <v>0.97738693467336679</v>
      </c>
      <c r="AC194">
        <v>0</v>
      </c>
    </row>
    <row r="195" spans="1:29" x14ac:dyDescent="0.2">
      <c r="N195" t="s">
        <v>381</v>
      </c>
      <c r="W195">
        <v>195</v>
      </c>
      <c r="X195">
        <v>0.98115577889447236</v>
      </c>
      <c r="Y195">
        <v>195</v>
      </c>
      <c r="Z195">
        <v>0.98115577889447236</v>
      </c>
    </row>
    <row r="196" spans="1:29" x14ac:dyDescent="0.2">
      <c r="W196">
        <v>196</v>
      </c>
      <c r="X196">
        <v>0.98492462311557794</v>
      </c>
      <c r="Y196">
        <v>196</v>
      </c>
      <c r="Z196">
        <v>0.98492462311557794</v>
      </c>
    </row>
    <row r="197" spans="1:29" x14ac:dyDescent="0.2">
      <c r="W197">
        <v>197</v>
      </c>
      <c r="X197">
        <v>0.9886934673366834</v>
      </c>
      <c r="Y197">
        <v>197</v>
      </c>
      <c r="Z197">
        <v>0.9886934673366834</v>
      </c>
    </row>
    <row r="198" spans="1:29" x14ac:dyDescent="0.2">
      <c r="W198">
        <v>198</v>
      </c>
      <c r="X198">
        <v>0.99246231155778886</v>
      </c>
      <c r="Y198">
        <v>198</v>
      </c>
      <c r="Z198">
        <v>0.99246231155778886</v>
      </c>
    </row>
    <row r="199" spans="1:29" x14ac:dyDescent="0.2">
      <c r="W199">
        <v>199</v>
      </c>
      <c r="X199">
        <v>0.99623115577889443</v>
      </c>
      <c r="Y199">
        <v>199</v>
      </c>
      <c r="Z199">
        <v>0.99623115577889443</v>
      </c>
    </row>
    <row r="200" spans="1:29" x14ac:dyDescent="0.2">
      <c r="W200">
        <v>200</v>
      </c>
      <c r="X200">
        <v>1</v>
      </c>
      <c r="Y200">
        <v>200</v>
      </c>
      <c r="Z200">
        <v>1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VH</vt:lpstr>
      <vt:lpstr>PPP</vt:lpstr>
      <vt:lpstr>OSI</vt:lpstr>
      <vt:lpstr>OSI_VH</vt:lpstr>
      <vt:lpstr>TII</vt:lpstr>
      <vt:lpstr>TII_VH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Kelly</dc:creator>
  <cp:lastModifiedBy>Gerard Kelly</cp:lastModifiedBy>
  <dcterms:created xsi:type="dcterms:W3CDTF">2025-04-09T22:53:46Z</dcterms:created>
  <dcterms:modified xsi:type="dcterms:W3CDTF">2025-04-10T09:07:28Z</dcterms:modified>
</cp:coreProperties>
</file>